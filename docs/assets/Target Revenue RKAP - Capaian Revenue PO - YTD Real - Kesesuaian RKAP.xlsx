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K Summary Data" sheetId="1" r:id="rId5"/>
    <sheet state="visible" name="Business Performance Dashboard" sheetId="2" r:id="rId6"/>
  </sheets>
  <definedNames/>
  <calcPr/>
</workbook>
</file>

<file path=xl/sharedStrings.xml><?xml version="1.0" encoding="utf-8"?>
<sst xmlns="http://schemas.openxmlformats.org/spreadsheetml/2006/main" count="3958" uniqueCount="428">
  <si>
    <t>Performa Bisnis Tahun 2026</t>
  </si>
  <si>
    <t>SUMMARY LABA RUGI 2026</t>
  </si>
  <si>
    <t>Insert Month</t>
  </si>
  <si>
    <t>September</t>
  </si>
  <si>
    <t>1 Sales &amp; Profitability</t>
  </si>
  <si>
    <t>Konsolidasi</t>
  </si>
  <si>
    <t>Target Tahunan Sales Qty (kg) RKAP</t>
  </si>
  <si>
    <t xml:space="preserve">Revenue YoY YTD Growth </t>
  </si>
  <si>
    <t xml:space="preserve">Target Tahunan Revenue (IDR) RKAP </t>
  </si>
  <si>
    <t>GPM YoY YTD Growth</t>
  </si>
  <si>
    <t>KONSOL &amp; STAND ALONE</t>
  </si>
  <si>
    <t>OPM Yoy YTD Growth</t>
  </si>
  <si>
    <t>NPM YoY YTD Growth</t>
  </si>
  <si>
    <t>Revenue</t>
  </si>
  <si>
    <t>Monthly Laba Rugi Konsolidasi 2026</t>
  </si>
  <si>
    <t>Monthly Neraca Konsolidasi 2026</t>
  </si>
  <si>
    <t>Monthly Arus Kas Konsolidasi 2026</t>
  </si>
  <si>
    <t>Monthly CALK Konsolidasi 2026</t>
  </si>
  <si>
    <t>QTY Sales Achived</t>
  </si>
  <si>
    <t>Penjualan</t>
  </si>
  <si>
    <t>Harga Pokok Penjualan</t>
  </si>
  <si>
    <t>Laba Kotor</t>
  </si>
  <si>
    <t>Beban Usaha</t>
  </si>
  <si>
    <t>Beban Umum dan Administrasi</t>
  </si>
  <si>
    <t>Beban Penjualan dan Pemasaran</t>
  </si>
  <si>
    <t>Beban Analisa Lab</t>
  </si>
  <si>
    <t>Jumlah Beban Usaha</t>
  </si>
  <si>
    <t>Laba Usaha</t>
  </si>
  <si>
    <t>Pendapatan (Beban) Lain-lain</t>
  </si>
  <si>
    <t>Pendapatan Lain-lain</t>
  </si>
  <si>
    <t>Beban Diluar Usaha Lainnya</t>
  </si>
  <si>
    <t>Jumlah Pendapatan (Beban) Lain-lain</t>
  </si>
  <si>
    <t>Laba Sebelum Pajak</t>
  </si>
  <si>
    <t>Beban Pajak Penghasilan</t>
  </si>
  <si>
    <t>Pajak tangguhan</t>
  </si>
  <si>
    <t>Jumlah Beban Pajak</t>
  </si>
  <si>
    <t>Laba Bersih Setelah Pajak</t>
  </si>
  <si>
    <t>Penghasilan Komprehensif Lain</t>
  </si>
  <si>
    <t xml:space="preserve">Keuntungan/Kerugian aktuarial </t>
  </si>
  <si>
    <t>atas liabilitas imbalan kerja</t>
  </si>
  <si>
    <t>Jumlah Penghasilan (Rugi) Komprehensif Lain</t>
  </si>
  <si>
    <t>ASET</t>
  </si>
  <si>
    <t>Aset Lancar</t>
  </si>
  <si>
    <t>Kas dan Setara Kas</t>
  </si>
  <si>
    <t>Piutang Usaha</t>
  </si>
  <si>
    <t>Anjak Piutang</t>
  </si>
  <si>
    <t>Cadangan Kerugian Piutang Tak Tertagih</t>
  </si>
  <si>
    <t>Piutang Lain Pihak Terkait</t>
  </si>
  <si>
    <t>Persediaan</t>
  </si>
  <si>
    <t>Persediaan dalam Proses</t>
  </si>
  <si>
    <t>Persediaan Barang Dagang</t>
  </si>
  <si>
    <t>Biaya Dibayar Dimuka</t>
  </si>
  <si>
    <t>Pajak Dibayar Dimuka</t>
  </si>
  <si>
    <t>Jumlah Aset Lancar</t>
  </si>
  <si>
    <t>Aset Tidak Lancar</t>
  </si>
  <si>
    <t>Investasi</t>
  </si>
  <si>
    <t>Aset Tetap</t>
  </si>
  <si>
    <t>Aset Tidak Lancar Lainnya</t>
  </si>
  <si>
    <t>Aset Pajak Tangguhan</t>
  </si>
  <si>
    <t>Jumlah Aset Tidak Lancar</t>
  </si>
  <si>
    <t>Jumlah Aset</t>
  </si>
  <si>
    <t>LIABILITAS DAN EKUITAS</t>
  </si>
  <si>
    <t>Liabilitas Lancar</t>
  </si>
  <si>
    <t>Hutang Usaha</t>
  </si>
  <si>
    <t>Barang yang belum terinvoice</t>
  </si>
  <si>
    <t>Persediaan Barang Diterima Belum di BAST (LPB)</t>
  </si>
  <si>
    <t>Hutang Pajak</t>
  </si>
  <si>
    <t>Uang Muka Penjualan</t>
  </si>
  <si>
    <t>Hutang Lain-Lain</t>
  </si>
  <si>
    <t>Hutang Bunga Bank</t>
  </si>
  <si>
    <t>Hutang Bank Jangka Pendek</t>
  </si>
  <si>
    <t>Jumlah Liabilitas Lancar</t>
  </si>
  <si>
    <t>Liabilitas Tidak Lancar</t>
  </si>
  <si>
    <t>Hutang Bank Jangka Panjang</t>
  </si>
  <si>
    <t>Hutang Leasing</t>
  </si>
  <si>
    <t xml:space="preserve"> Hutang Pemegang Saham </t>
  </si>
  <si>
    <t>Hutang Imbalan Pasca Kerja</t>
  </si>
  <si>
    <t>Liabilitas pajak tangguhan</t>
  </si>
  <si>
    <t>Jumlah Liabilitas Tidak Lancar</t>
  </si>
  <si>
    <t>Jumlah Liabilitas</t>
  </si>
  <si>
    <t>Ekuitas</t>
  </si>
  <si>
    <t>Modal Disetor</t>
  </si>
  <si>
    <t>Saldo Laba</t>
  </si>
  <si>
    <t>Laba-Rugi Periode Berjalan</t>
  </si>
  <si>
    <t>Laba-Rugi Ditahan</t>
  </si>
  <si>
    <t>Akumulasi penghasilan komprehensif lain</t>
  </si>
  <si>
    <t>Kepentingan non pengendali - Rugi/Laba</t>
  </si>
  <si>
    <t>Kepentingan non pengendali - Modal</t>
  </si>
  <si>
    <t>Jumlah Ekuitas</t>
  </si>
  <si>
    <t>Jumlah Liabilitas dan Ekuitas</t>
  </si>
  <si>
    <t>Arus Kas dari Aktivitas Operasi</t>
  </si>
  <si>
    <t>Laba (rugi) bersih</t>
  </si>
  <si>
    <t>Penyesuaian :</t>
  </si>
  <si>
    <t>Penyusutan</t>
  </si>
  <si>
    <t>Akumulasi Komprehensif Lain</t>
  </si>
  <si>
    <t>Penurunan (Kenaikan) :</t>
  </si>
  <si>
    <t>Piutang usaha</t>
  </si>
  <si>
    <t>Piutang Afiliasi &amp; Lainnya</t>
  </si>
  <si>
    <t>Biaya dibayar dimuka</t>
  </si>
  <si>
    <t>Pajak dibayar dimuka</t>
  </si>
  <si>
    <t>Kenaikan (Penurunan) :</t>
  </si>
  <si>
    <t>Utang Usaha</t>
  </si>
  <si>
    <t>Hutang Afiliasi &amp; Lainnya</t>
  </si>
  <si>
    <t>Utang Pajak</t>
  </si>
  <si>
    <t>Biaya yg masih harus dibayar</t>
  </si>
  <si>
    <t>Hutang jangka Panjang</t>
  </si>
  <si>
    <t>Capaian Revenue (%)</t>
  </si>
  <si>
    <t>Kas Bersih yang digunakan untuk Aktivitas Operasi</t>
  </si>
  <si>
    <t>Arus Kas dari Aktivitas Investasi :</t>
  </si>
  <si>
    <t>(Penambahan) Pengurangan Aset Tetap</t>
  </si>
  <si>
    <t>(Penambahan) Pengurangan Investasi</t>
  </si>
  <si>
    <t>(Penambahan) Pengurangan Konstruksi Dalam Pengerjaan</t>
  </si>
  <si>
    <t>Kas Bersih yang diperoleh/ digunakan untuk Aktivitas Investasi</t>
  </si>
  <si>
    <t>Arus Kas dari Aktivitas Pendanaan :</t>
  </si>
  <si>
    <t>Utang Bank</t>
  </si>
  <si>
    <t>Modal di setor</t>
  </si>
  <si>
    <t>Kas Bersih yang diperoleh/ digunakan untuk Aktivitas Pendanaan</t>
  </si>
  <si>
    <t>Kenaikan Kas &amp; Setara Kas</t>
  </si>
  <si>
    <t>Kas &amp; Setara Kas awal periode</t>
  </si>
  <si>
    <t>Kas &amp; Setara Kas akhir periode</t>
  </si>
  <si>
    <t>Retur Penjualan</t>
  </si>
  <si>
    <t>Diskon Penjualan</t>
  </si>
  <si>
    <t>Jumlah Penjualan</t>
  </si>
  <si>
    <t>BEBAN POKOK PENJUALAN</t>
  </si>
  <si>
    <t>Harga Pokok Penjualan 
Afiliasi</t>
  </si>
  <si>
    <t>Harga Pokok Penjualan Non Afiliasi</t>
  </si>
  <si>
    <t>Beban Bea Masuk Import</t>
  </si>
  <si>
    <t>Beban Penyusutan Mesin</t>
  </si>
  <si>
    <t>Beban Pemeliharaan Mesin Ew</t>
  </si>
  <si>
    <t>Beban Pemeliharaan Mesin Line 1</t>
  </si>
  <si>
    <t>Beban Pemeliharaan Mesin Line 2</t>
  </si>
  <si>
    <t>Beban Pemeliharaan Mesin Line 3</t>
  </si>
  <si>
    <t>Beban Pemeliharaan Mesin Line 4</t>
  </si>
  <si>
    <t>Beban Pemeliharaan Mesin Line 5</t>
  </si>
  <si>
    <t>Beban Pemeliharaan Mesin Copper Sulphate</t>
  </si>
  <si>
    <t>Beban Penyusutan Peralatan Pabrik</t>
  </si>
  <si>
    <t>Beban Sewa Kendaraan</t>
  </si>
  <si>
    <t>Selisih Stock Opname</t>
  </si>
  <si>
    <t>Selisih Timbang</t>
  </si>
  <si>
    <t>Beban Tenaga Kerja Langsung</t>
  </si>
  <si>
    <t>Beban Transportasi Bahan Baku</t>
  </si>
  <si>
    <t>Beban Transportasi Produk Jadi</t>
  </si>
  <si>
    <t>Beban Transportasi Produk Jadi (Bonus dan Fee Marketing)</t>
  </si>
  <si>
    <t>Beban Pemeliharaan Kendaraan Pabrik</t>
  </si>
  <si>
    <t>Beban Pemeliharaan Aset Pabrik</t>
  </si>
  <si>
    <t>Beban Rumah Tangga Pabrik</t>
  </si>
  <si>
    <t>Beban Gaji Staff Pabrik</t>
  </si>
  <si>
    <t>Beban Tenaga Kerja Tidak Langsung</t>
  </si>
  <si>
    <t>Beban Pemeliharaan Mesin Pramaterial</t>
  </si>
  <si>
    <t>Beban Listrik Pabrik</t>
  </si>
  <si>
    <t>QTY Sales  Achived (%)</t>
  </si>
  <si>
    <t>Beban Listrik Pabrik (Gudang Timur)</t>
  </si>
  <si>
    <t>Beban Transportasi Lainnya</t>
  </si>
  <si>
    <t>Beban Perlengkapan Pabrik</t>
  </si>
  <si>
    <t>Beban Bbm Pabrik</t>
  </si>
  <si>
    <t>Beban Bongkar</t>
  </si>
  <si>
    <t>Beban Qc Produk</t>
  </si>
  <si>
    <t>Beban Transportasi Impor</t>
  </si>
  <si>
    <t>Beban Gudang Pelabuhan</t>
  </si>
  <si>
    <t>Beban  Administrasi Pabean</t>
  </si>
  <si>
    <t>Beban Muat</t>
  </si>
  <si>
    <t>Beban Klaim</t>
  </si>
  <si>
    <t>Beban Gaji PHL</t>
  </si>
  <si>
    <t>Beban Asuransi Pengiriman</t>
  </si>
  <si>
    <t>Beban Sample</t>
  </si>
  <si>
    <t>Beban Demplot</t>
  </si>
  <si>
    <t>Gap Revenue to RKAP</t>
  </si>
  <si>
    <t>Beban Pemeliharaan Bangunan Pabrik</t>
  </si>
  <si>
    <t>Beban Pemeliharaan Sarana Prasarana Pabrik</t>
  </si>
  <si>
    <t>Beban Perlengkapan Mekanik</t>
  </si>
  <si>
    <t>Beban Perlengkapan Elektrikal</t>
  </si>
  <si>
    <t>Beban Pemeliharaan Mesin Crf</t>
  </si>
  <si>
    <t>Beban Riset Dan Percobaan Lapangan</t>
  </si>
  <si>
    <t>Beban Pemeliharaan Mesin Copper Sulphate Line 2</t>
  </si>
  <si>
    <t>Beban Pemeliharaan Aset Lab</t>
  </si>
  <si>
    <t>Beban Operasional Gudang</t>
  </si>
  <si>
    <t>Beban Uji Dosis (Internal)</t>
  </si>
  <si>
    <t>Beban Perlengkapan Lab</t>
  </si>
  <si>
    <t>Beban Kerugian Bibit Afkir</t>
  </si>
  <si>
    <t>Beban Pemeliharaan Mesin NPK</t>
  </si>
  <si>
    <t>Jumlah Harga Pokok Penjualan</t>
  </si>
  <si>
    <t>BEBAN UMUM DAN ADMINISTRASI</t>
  </si>
  <si>
    <t>Beban Pelatihan</t>
  </si>
  <si>
    <t>Beban Pelatihan Internal</t>
  </si>
  <si>
    <t>Beban Perlengkapan Kantor</t>
  </si>
  <si>
    <t>Beban Hse</t>
  </si>
  <si>
    <t>Beban Penyusutan Kendaraan</t>
  </si>
  <si>
    <t>Beban Penyusutan Inventaris Kantor</t>
  </si>
  <si>
    <t>Beban Amortisasi Ditangguhkan SHGB</t>
  </si>
  <si>
    <t>Beban Penyusutan Bangunan</t>
  </si>
  <si>
    <t>Beban Gaji BOD</t>
  </si>
  <si>
    <t>Beban Gaji Staff Kantor</t>
  </si>
  <si>
    <t>Tunjangan Lembur</t>
  </si>
  <si>
    <t>Gap QTY to RKAP</t>
  </si>
  <si>
    <t>Tunjangan Hari Raya - THR</t>
  </si>
  <si>
    <t>Beban Asuransi - BPJS KES</t>
  </si>
  <si>
    <t>Beban Asuransi - BPJS TK</t>
  </si>
  <si>
    <t>Beban Pemeliharaan Aset Kantor</t>
  </si>
  <si>
    <t>Beban Rumah Tangga Kantor</t>
  </si>
  <si>
    <t>Beban Pengembangan System/Software</t>
  </si>
  <si>
    <t>Beban Kompensasi Ganti Rugi</t>
  </si>
  <si>
    <t>Beban Koreksi Fiskal</t>
  </si>
  <si>
    <t>Beban Asuransi Kebakaran</t>
  </si>
  <si>
    <t>Beban Pemeliharaan Kendaraan Kantor</t>
  </si>
  <si>
    <t>Beban Bbm Kantor</t>
  </si>
  <si>
    <t>Beban Perjalanan Dinas Kantor</t>
  </si>
  <si>
    <t>Beban Perjalanan Dinas Tamu</t>
  </si>
  <si>
    <t>Beban Obat/Pengobatan</t>
  </si>
  <si>
    <t>Beban Sewa</t>
  </si>
  <si>
    <t>Biaya Legal Dan Perijinan</t>
  </si>
  <si>
    <t>Beban Rakor</t>
  </si>
  <si>
    <t>Beban Audit</t>
  </si>
  <si>
    <t>Beban Perayaan Hari Besar</t>
  </si>
  <si>
    <t>Beban Atk Kantor</t>
  </si>
  <si>
    <t>Beban Internet/Vsat</t>
  </si>
  <si>
    <t>Beban Cetak/Fotocopy</t>
  </si>
  <si>
    <t>Beban Air Minum Kantor</t>
  </si>
  <si>
    <t>Beban Konsumsi Dan Oleh-Oleh Tamu</t>
  </si>
  <si>
    <t>Beban Kirim Paket (Sampel/Dokumen)</t>
  </si>
  <si>
    <t>Beban Listrik Kantor</t>
  </si>
  <si>
    <t>Beban Telepon Kantor</t>
  </si>
  <si>
    <t>Pajak Kendaraan &amp; PBB</t>
  </si>
  <si>
    <t>Beban Suka/Duka</t>
  </si>
  <si>
    <t>Beban Pph 4 Ayat 2</t>
  </si>
  <si>
    <t>Beban Pph Pasal 23</t>
  </si>
  <si>
    <t>Beban Pph Pasal 21</t>
  </si>
  <si>
    <t>Beban Pph 25</t>
  </si>
  <si>
    <t>Gap Revenue to RKAP (%)</t>
  </si>
  <si>
    <t>Beban Pinalti Pajak</t>
  </si>
  <si>
    <t>Beban Pph Pasal 29</t>
  </si>
  <si>
    <t>Beban Olahraga Dan Rekreasi</t>
  </si>
  <si>
    <t>Biaya Kaizen</t>
  </si>
  <si>
    <t>Beban Pemutusan Hubungan Kerja</t>
  </si>
  <si>
    <t>Beban Apraisal</t>
  </si>
  <si>
    <t>Beban Konsultan Keuangan</t>
  </si>
  <si>
    <t>Beban Bphtb</t>
  </si>
  <si>
    <t>Beban Kerugian Investasi</t>
  </si>
  <si>
    <t>Beban Apresiasi Karyawan</t>
  </si>
  <si>
    <t>Beban Imbalan Pasca Kerja</t>
  </si>
  <si>
    <t>Beban Notaris</t>
  </si>
  <si>
    <t>Beban Gaji Staff Laboratorium</t>
  </si>
  <si>
    <t>Beban Csr (Corporate Social Responsibility)</t>
  </si>
  <si>
    <t>Beban Cadangan Kerugian Piutang Tak Tertagih</t>
  </si>
  <si>
    <t>Beban Brand Development</t>
  </si>
  <si>
    <t>Beban Ppn Tidak Bisa Dikreditkan</t>
  </si>
  <si>
    <t>Beban Penyusutan Software</t>
  </si>
  <si>
    <t>Beban Rekrutmen</t>
  </si>
  <si>
    <t>Beban Rups</t>
  </si>
  <si>
    <t>Beban Aktuaria</t>
  </si>
  <si>
    <t>Beban Riset Corporate &amp; Strategy</t>
  </si>
  <si>
    <t>Beban Gaji Managemen</t>
  </si>
  <si>
    <t>Beban Gaji Principal</t>
  </si>
  <si>
    <t>Beban Sarana Prasarana Kantor</t>
  </si>
  <si>
    <t>Beban Outsourcing</t>
  </si>
  <si>
    <t>Biaya Pemeliharaan Bangunan Kantor</t>
  </si>
  <si>
    <t>Beban Beasiswa</t>
  </si>
  <si>
    <t>Beban Kesejahteraan Karyawan</t>
  </si>
  <si>
    <t>Jumlah Beban Administrasi dan Umum</t>
  </si>
  <si>
    <t>BEBAN PENJUALAN DAN PEMASARAN</t>
  </si>
  <si>
    <t>Beban Operasional Pemasaran</t>
  </si>
  <si>
    <t>Beban Relasi</t>
  </si>
  <si>
    <t>Beban Promosi</t>
  </si>
  <si>
    <t>Jumlah Beban Penjualan dan Pemasaran</t>
  </si>
  <si>
    <t>BEBAN ANALISA LAB</t>
  </si>
  <si>
    <t>Gap QTY to RKAP (%)</t>
  </si>
  <si>
    <t>Jumlah Analisa Lab</t>
  </si>
  <si>
    <t>PENDAPATAN</t>
  </si>
  <si>
    <t>Pendapatan Jasa Giro</t>
  </si>
  <si>
    <t>Pendapatan Lain-Lain</t>
  </si>
  <si>
    <t>Pendapatan Selisih Lebih Kurs</t>
  </si>
  <si>
    <t>Pendapatan Aval</t>
  </si>
  <si>
    <t>Pendapatan Selisih Koma</t>
  </si>
  <si>
    <t xml:space="preserve"> Pendapatan Klaim</t>
  </si>
  <si>
    <t>Pendapatan Jasa Maklon</t>
  </si>
  <si>
    <t>Jumlah Pendapatan</t>
  </si>
  <si>
    <t>BEBAN DILUAR USAHA</t>
  </si>
  <si>
    <t>Beban Adm Bank</t>
  </si>
  <si>
    <t>Beban Marjin Pinjaman</t>
  </si>
  <si>
    <t>Beban Administrasi Kredit - Mk</t>
  </si>
  <si>
    <t>Beban Selisih Kurang Kurs</t>
  </si>
  <si>
    <t>Beban Selisih Koma</t>
  </si>
  <si>
    <t>Beban Market Place</t>
  </si>
  <si>
    <t>Beban Lain-Lain</t>
  </si>
  <si>
    <t>Beban Zakat</t>
  </si>
  <si>
    <t>Beban Qurban</t>
  </si>
  <si>
    <t>Beban Administrasi Kredit - LC/SKBDN</t>
  </si>
  <si>
    <t>Jumlah Beban Diluar Usaha</t>
  </si>
  <si>
    <t>PAJAK PENGHASILAN</t>
  </si>
  <si>
    <t>Jumlah Pajak Penghasilan</t>
  </si>
  <si>
    <t>Jumlah Beban</t>
  </si>
  <si>
    <t>EBITDA</t>
  </si>
  <si>
    <t>January</t>
  </si>
  <si>
    <t>Industry Benchmark</t>
  </si>
  <si>
    <t>YoY</t>
  </si>
  <si>
    <t>Gross Profit</t>
  </si>
  <si>
    <t>-</t>
  </si>
  <si>
    <t>February</t>
  </si>
  <si>
    <t>Gross Profit Margin (%)</t>
  </si>
  <si>
    <t>Operating Profit</t>
  </si>
  <si>
    <t>March</t>
  </si>
  <si>
    <t>Operating Profit Margin (%)</t>
  </si>
  <si>
    <t>Net Profit</t>
  </si>
  <si>
    <t>April</t>
  </si>
  <si>
    <t>Net Profit Margin (%)</t>
  </si>
  <si>
    <t>May</t>
  </si>
  <si>
    <t>Stand Alone</t>
  </si>
  <si>
    <t>TARGET</t>
  </si>
  <si>
    <t>ANR (Stand Alone)</t>
  </si>
  <si>
    <t>ANR Non Afiliasi</t>
  </si>
  <si>
    <t>AMG</t>
  </si>
  <si>
    <t>API</t>
  </si>
  <si>
    <t>Target Sales Qty (kg) RKAP</t>
  </si>
  <si>
    <t>Target Revenue RKAP (IDR)</t>
  </si>
  <si>
    <t>June</t>
  </si>
  <si>
    <t>ANR (Non Afiliasi)</t>
  </si>
  <si>
    <t>ANR</t>
  </si>
  <si>
    <t>July</t>
  </si>
  <si>
    <t xml:space="preserve">  -   </t>
  </si>
  <si>
    <t>August</t>
  </si>
  <si>
    <t>GPM (%)</t>
  </si>
  <si>
    <t>OPM (%)</t>
  </si>
  <si>
    <t>NPM (%)</t>
  </si>
  <si>
    <t>October</t>
  </si>
  <si>
    <t>November</t>
  </si>
  <si>
    <t>December</t>
  </si>
  <si>
    <t>2 Liquidity &amp; Solvability</t>
  </si>
  <si>
    <t>Laba Rugi Konsolidasi up to month X in 2026</t>
  </si>
  <si>
    <t>Ratio</t>
  </si>
  <si>
    <t>Competitors' Benchmark
(Nilai Median)</t>
  </si>
  <si>
    <t>Competitors' Benchmark
(Rentang Nilai)</t>
  </si>
  <si>
    <t>Current Ratio</t>
  </si>
  <si>
    <t>Neraca Konsolidasi up to month x in 2026</t>
  </si>
  <si>
    <t>Arus Kas Konsolidasi up to month X in 2026</t>
  </si>
  <si>
    <t>Monthly CALK Konsolidasi up to month X 2026</t>
  </si>
  <si>
    <t>Quick Ratio (Acid Ratio)</t>
  </si>
  <si>
    <t>Debt to Equity Ratio (DER)</t>
  </si>
  <si>
    <t>Historical Performance</t>
  </si>
  <si>
    <t>Rasio</t>
  </si>
  <si>
    <t>Jan-Mei 2023</t>
  </si>
  <si>
    <t>Jan-Mei 2024</t>
  </si>
  <si>
    <t>Jan-Mei 2025</t>
  </si>
  <si>
    <t>Jan-Mei 2026</t>
  </si>
  <si>
    <t>Days Inventory Outstanding (DIO)</t>
  </si>
  <si>
    <t>Days Sales Outanstanding (DSO)</t>
  </si>
  <si>
    <t>Days Payable Outstanding DPO</t>
  </si>
  <si>
    <t>Cash Conversion Cycle</t>
  </si>
  <si>
    <t>Ratios</t>
  </si>
  <si>
    <t>Laba Rugi Konsolidasi up to month X in 2025</t>
  </si>
  <si>
    <t>Neraca Konsolidasi up to month x in 2025</t>
  </si>
  <si>
    <t>Arus Kas Konsolidasi up to month X in 2025</t>
  </si>
  <si>
    <t>Monthly CALK Konsolidasi up to month X 2025</t>
  </si>
  <si>
    <t>Beban Pajak Penghasilan (Pajak Kini)</t>
  </si>
  <si>
    <t>Aset tidak berwujud - bersih</t>
  </si>
  <si>
    <t>Pekerjaan dalam proses konstruksi</t>
  </si>
  <si>
    <t>Akrual</t>
  </si>
  <si>
    <t>Pendapatan diterima dimuka</t>
  </si>
  <si>
    <t>Penjualan Afiliasi</t>
  </si>
  <si>
    <t>Penjualan Non Afiliasi</t>
  </si>
  <si>
    <t>Beban Clearance Impor</t>
  </si>
  <si>
    <t>Potongan Pembelian</t>
  </si>
  <si>
    <t>Retur Pembelian</t>
  </si>
  <si>
    <t>Beban Pemeliharaan Mesin Mixing</t>
  </si>
  <si>
    <t>Beban Operasional</t>
  </si>
  <si>
    <t>Beban Listrik Pabrik (Tengah)</t>
  </si>
  <si>
    <t>Beban Telepon Pabrik</t>
  </si>
  <si>
    <t>Beban Royalti Merk</t>
  </si>
  <si>
    <t>Beban Operasional Kebun</t>
  </si>
  <si>
    <t>Beban Perlengkapan Kebun</t>
  </si>
  <si>
    <t>Beban Bbm Kebun</t>
  </si>
  <si>
    <t>Beban Jasa Maklon</t>
  </si>
  <si>
    <t>Beban Administrasi Dan Umum</t>
  </si>
  <si>
    <t>Beban Tunjangan Keluarga</t>
  </si>
  <si>
    <t>Bebang Tunjangan Kemahalan</t>
  </si>
  <si>
    <t>Beban Tunjangan Kinerja</t>
  </si>
  <si>
    <t>Beban Bonus</t>
  </si>
  <si>
    <t>Beban Bunga Imbalan Kerja</t>
  </si>
  <si>
    <t>Beban Kerugian Aktuaria</t>
  </si>
  <si>
    <t>Beban Operasional Direksi</t>
  </si>
  <si>
    <t>Beban Asuransi Managemen</t>
  </si>
  <si>
    <t>Beban Pengikatan Kredit</t>
  </si>
  <si>
    <t>Beban Infak</t>
  </si>
  <si>
    <t>Beban Kerugian Penjualan Aset</t>
  </si>
  <si>
    <t>Laba Rugi Konsolidasi up to month X in 2024</t>
  </si>
  <si>
    <t>Neraca Konsolidasi up to month x in 2024</t>
  </si>
  <si>
    <t>Arus Kas Konsolidasi up to month X in 2024</t>
  </si>
  <si>
    <t>Monthly CALK Konsolidasi up to month X 2024</t>
  </si>
  <si>
    <t xml:space="preserve">  - </t>
  </si>
  <si>
    <t>Laba Rugi Konsolidasi up to month X in 2023</t>
  </si>
  <si>
    <t>Neraca Konsolidasi up to month x in 2023</t>
  </si>
  <si>
    <t>Arus Kas Konsolidasi up to month X in 2023</t>
  </si>
  <si>
    <t>Monthly CALK Konsolidasi up to month X 2023</t>
  </si>
  <si>
    <t>Beban Administrasi Pabean</t>
  </si>
  <si>
    <t>--</t>
  </si>
  <si>
    <t>Laba Rugi Konsolidasi up to month X in 2022</t>
  </si>
  <si>
    <t>Neraca Konsolidasi up to month x in 2022</t>
  </si>
  <si>
    <t>Arus Kas Konsolidasi up to month X in 2022</t>
  </si>
  <si>
    <t>Monthly CALK Konsolidasi up to month X 2022</t>
  </si>
  <si>
    <t>Laba Rugi Konsolidasi up to month X in 2021</t>
  </si>
  <si>
    <t>Neraca Konsolidasi up to month x in 2021</t>
  </si>
  <si>
    <t>Arus Kas Konsolidasi up to month X in 2021</t>
  </si>
  <si>
    <t>Monthly CALK Konsolidasi up to month X 2021</t>
  </si>
  <si>
    <t>Laba Rugi Konsolidasi up to month X in 2020</t>
  </si>
  <si>
    <t>Arus Kas Konsolidasi up to month X in 2020</t>
  </si>
  <si>
    <t>Monthly CALK Konsolidasi up to month X 2020</t>
  </si>
  <si>
    <t>Monthly Laba Rugi 2026 - ANR</t>
  </si>
  <si>
    <t>Neraca ANR up to month x in 2026</t>
  </si>
  <si>
    <t>Laba/Rugi Setelah Pajak</t>
  </si>
  <si>
    <t>Keuntungan (Kerugian) Aktuarial Imbalan Kerja (Oci)</t>
  </si>
  <si>
    <t>Jumlah Penghasilan Komprehensif Tahun Berjalan</t>
  </si>
  <si>
    <t>Laba Rugi up to month X in 2026 - ANR</t>
  </si>
  <si>
    <t>Neraca ANR up to month x in 2025</t>
  </si>
  <si>
    <t>Laba Rugi Revenue 2026 - AMG</t>
  </si>
  <si>
    <t>Neraca AMG up to month x in 2026</t>
  </si>
  <si>
    <t>Beban Pokok Penjualan</t>
  </si>
  <si>
    <t>Jumlah Biaya-Biaya</t>
  </si>
  <si>
    <t>Pendapatan dan Beban Lain-Lain</t>
  </si>
  <si>
    <t>Total Pendapatan dan Beban Lain-Lain</t>
  </si>
  <si>
    <t>Laba/Rugi Sebelum Pajak</t>
  </si>
  <si>
    <t>Beban Pajak</t>
  </si>
  <si>
    <t>Jumlah Liabilitas dan Ekuitas / Jumlah Pasiva</t>
  </si>
  <si>
    <t>Laba Rugi up to month X in 2026 - AMG</t>
  </si>
  <si>
    <t>Neraca AMG up to month x in 2025</t>
  </si>
  <si>
    <t>Monthly Laba Rugi 2026 - API</t>
  </si>
  <si>
    <t>Neraca API up to month x in 2026</t>
  </si>
  <si>
    <t>Keuntungan (Kerugian) Aktuarial Imbalan Kerja (OCI)</t>
  </si>
  <si>
    <t xml:space="preserve">   Hutang Pajak</t>
  </si>
  <si>
    <t>Laba Rugi up to month X in 2026 - API</t>
  </si>
  <si>
    <t>Neraca API up to month x in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</si>
</sst>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_);_(@_)"/>
    <numFmt numFmtId="165" formatCode="_-* #,##0.00_-;\-* #,##0.00_-;_-* &quot;-&quot;??_-;_-@"/>
    <numFmt numFmtId="166" formatCode="_-* #,##0_-;\-* #,##0_-;_-* &quot;-&quot;??_-;_-@"/>
    <numFmt numFmtId="167" formatCode="_-* #,##0_-;\-* #,##0_-;_-* &quot;-&quot;_-;_-@"/>
    <numFmt numFmtId="168" formatCode="#,##0_);\(#,##0\);&quot;-- &quot;"/>
    <numFmt numFmtId="169" formatCode="#,##0.000"/>
  </numFmts>
  <fonts count="73">
    <font>
      <sz val="10.0"/>
      <color rgb="FF000000"/>
      <name val="Arial"/>
      <scheme val="minor"/>
    </font>
    <font>
      <b/>
      <sz val="14.0"/>
      <color theme="1"/>
      <name val="Arial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Arial"/>
    </font>
    <font>
      <color theme="1"/>
      <name val="Arial"/>
    </font>
    <font>
      <color rgb="FFFFFFFF"/>
      <name val="Arial"/>
    </font>
    <font>
      <sz val="10.0"/>
      <color rgb="FF000000"/>
      <name val="Arial"/>
    </font>
    <font>
      <sz val="10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1.0"/>
      <color rgb="FFFFFFFF"/>
      <name val="Arial"/>
    </font>
    <font>
      <b/>
      <sz val="11.0"/>
      <color rgb="FFFFFFFF"/>
      <name val="Calibri"/>
    </font>
    <font>
      <b/>
      <color rgb="FFFFFFFF"/>
      <name val="Arial"/>
    </font>
    <font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"/>
      <name val="Calibri"/>
    </font>
    <font>
      <b/>
      <u/>
      <sz val="11.0"/>
      <color theme="1"/>
      <name val="Calibri"/>
    </font>
    <font>
      <u/>
      <color theme="1"/>
      <name val="Arial"/>
    </font>
    <font>
      <b/>
      <u/>
      <color theme="1"/>
      <name val="Arial"/>
    </font>
    <font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u/>
      <color theme="1"/>
      <name val="Arial"/>
    </font>
    <font>
      <b/>
      <u/>
      <color theme="1"/>
      <name val="Arial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theme="1"/>
      <name val="Calibri"/>
    </font>
    <font>
      <u/>
      <color theme="1"/>
      <name val="Arial"/>
    </font>
    <font>
      <b/>
      <u/>
      <color theme="1"/>
      <name val="Arial"/>
    </font>
    <font>
      <u/>
      <color theme="1"/>
      <name val="Arial"/>
    </font>
    <font>
      <u/>
      <color theme="1"/>
      <name val="Arial"/>
    </font>
    <font>
      <b/>
      <u/>
      <color theme="1"/>
      <name val="Arial"/>
    </font>
    <font>
      <u/>
      <color theme="1"/>
      <name val="Arial"/>
    </font>
    <font>
      <b/>
      <u/>
      <color theme="1"/>
      <name val="Arial"/>
    </font>
    <font>
      <sz val="12.0"/>
      <color theme="1"/>
      <name val="Calibri"/>
    </font>
    <font>
      <u/>
      <sz val="12.0"/>
      <color theme="1"/>
      <name val="Arial"/>
    </font>
    <font>
      <b/>
      <u/>
      <sz val="12.0"/>
      <color theme="1"/>
      <name val="Arial"/>
    </font>
    <font>
      <b/>
      <u/>
      <sz val="11.0"/>
      <color rgb="FFFFFFFF"/>
      <name val="Calibri"/>
    </font>
    <font>
      <u/>
      <sz val="11.0"/>
      <color theme="1"/>
      <name val="Calibri"/>
    </font>
    <font>
      <sz val="10.0"/>
      <color theme="1"/>
      <name val="Calibri"/>
    </font>
    <font>
      <b/>
      <u/>
      <color theme="1"/>
      <name val="Arial"/>
    </font>
    <font>
      <u/>
      <color theme="1"/>
      <name val="Arial"/>
    </font>
    <font>
      <u/>
      <sz val="11.0"/>
      <color theme="1"/>
      <name val="Calibri"/>
    </font>
    <font>
      <sz val="10.0"/>
      <color theme="1"/>
      <name val="Aptos Narrow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color theme="1"/>
      <name val="Arial"/>
    </font>
    <font>
      <b/>
      <u/>
      <color theme="1"/>
      <name val="Arial"/>
    </font>
    <font>
      <b/>
      <sz val="11.0"/>
      <color rgb="FF000000"/>
      <name val="Calibri"/>
    </font>
    <font>
      <b/>
      <color rgb="FF000000"/>
      <name val="Calibri"/>
    </font>
    <font>
      <b/>
      <u/>
      <sz val="11.0"/>
      <color theme="1"/>
      <name val="Calibri"/>
    </font>
    <font>
      <b/>
      <sz val="10.0"/>
      <color theme="1"/>
      <name val="Calibri"/>
    </font>
    <font>
      <b/>
      <sz val="10.0"/>
      <color rgb="FF000000"/>
      <name val="Calibri"/>
    </font>
    <font>
      <color rgb="FF000000"/>
      <name val="Calibri"/>
    </font>
    <font>
      <u/>
      <color rgb="FF000000"/>
      <name val="Calibri"/>
    </font>
    <font>
      <b/>
      <u/>
      <color rgb="FF000000"/>
      <name val="Calibri"/>
    </font>
    <font>
      <u/>
      <sz val="11.0"/>
      <color rgb="FF000000"/>
      <name val="Calibri"/>
    </font>
    <font>
      <b/>
      <u/>
      <sz val="11.0"/>
      <color rgb="FF000000"/>
      <name val="Calibri"/>
    </font>
    <font>
      <color rgb="FFFFFFFF"/>
      <name val="Calibri"/>
    </font>
    <font>
      <b/>
      <u/>
      <sz val="11.0"/>
      <color rgb="FF000000"/>
      <name val="Calibri"/>
    </font>
    <font>
      <b/>
      <u/>
      <sz val="11.0"/>
      <color theme="1"/>
      <name val="Calibri"/>
    </font>
    <font>
      <color theme="1"/>
      <name val="Calibri"/>
    </font>
    <font>
      <u/>
      <color theme="1"/>
      <name val="Calibri"/>
    </font>
    <font>
      <u/>
      <color theme="1"/>
      <name val="Calibri"/>
    </font>
    <font>
      <b/>
      <color rgb="FFFFFFFF"/>
      <name val="Calibri"/>
    </font>
    <font>
      <b/>
      <sz val="10.0"/>
      <color theme="1"/>
      <name val="Arial"/>
    </font>
    <font>
      <u/>
      <sz val="11.0"/>
      <color theme="1"/>
      <name val="Calibri"/>
    </font>
    <font>
      <b/>
      <color theme="1"/>
      <name val="Calibri"/>
    </font>
    <font>
      <u/>
      <sz val="11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0B5394"/>
        <bgColor rgb="FF0B5394"/>
      </patternFill>
    </fill>
    <fill>
      <patternFill patternType="solid">
        <fgColor rgb="FF1C4587"/>
        <bgColor rgb="FF1C4587"/>
      </patternFill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E69138"/>
        <bgColor rgb="FFE69138"/>
      </patternFill>
    </fill>
    <fill>
      <patternFill patternType="solid">
        <fgColor rgb="FF9900FF"/>
        <bgColor rgb="FF9900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0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4" numFmtId="3" xfId="0" applyAlignment="1" applyFont="1" applyNumberFormat="1">
      <alignment vertical="bottom"/>
    </xf>
    <xf borderId="0" fillId="0" fontId="5" numFmtId="0" xfId="0" applyFont="1"/>
    <xf borderId="0" fillId="2" fontId="6" numFmtId="0" xfId="0" applyFill="1" applyFont="1"/>
    <xf borderId="1" fillId="3" fontId="5" numFmtId="0" xfId="0" applyAlignment="1" applyBorder="1" applyFill="1" applyFont="1">
      <alignment horizontal="center"/>
    </xf>
    <xf borderId="0" fillId="4" fontId="3" numFmtId="0" xfId="0" applyFill="1" applyFont="1"/>
    <xf borderId="0" fillId="4" fontId="5" numFmtId="0" xfId="0" applyFill="1" applyFont="1"/>
    <xf borderId="0" fillId="0" fontId="3" numFmtId="0" xfId="0" applyAlignment="1" applyFont="1">
      <alignment horizontal="center" shrinkToFit="0" vertical="center" wrapText="1"/>
    </xf>
    <xf borderId="0" fillId="5" fontId="3" numFmtId="0" xfId="0" applyFill="1" applyFont="1"/>
    <xf borderId="0" fillId="5" fontId="3" numFmtId="0" xfId="0" applyAlignment="1" applyFill="1" applyFont="1">
      <alignment horizontal="center" shrinkToFit="0" vertical="center" wrapText="1"/>
    </xf>
    <xf borderId="0" fillId="5" fontId="5" numFmtId="0" xfId="0" applyFill="1" applyFont="1"/>
    <xf borderId="1" fillId="0" fontId="3" numFmtId="0" xfId="0" applyBorder="1" applyFont="1"/>
    <xf borderId="1" fillId="0" fontId="7" numFmtId="3" xfId="0" applyAlignment="1" applyBorder="1" applyFont="1" applyNumberFormat="1">
      <alignment shrinkToFit="0" vertical="bottom" wrapText="0"/>
    </xf>
    <xf borderId="1" fillId="0" fontId="5" numFmtId="10" xfId="0" applyAlignment="1" applyBorder="1" applyFont="1" applyNumberFormat="1">
      <alignment horizontal="center"/>
    </xf>
    <xf borderId="1" fillId="0" fontId="8" numFmtId="3" xfId="0" applyAlignment="1" applyBorder="1" applyFont="1" applyNumberFormat="1">
      <alignment horizontal="right" vertical="center"/>
    </xf>
    <xf borderId="0" fillId="0" fontId="3" numFmtId="10" xfId="0" applyFont="1" applyNumberFormat="1"/>
    <xf borderId="2" fillId="0" fontId="2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3" fillId="0" fontId="4" numFmtId="3" xfId="0" applyAlignment="1" applyBorder="1" applyFont="1" applyNumberFormat="1">
      <alignment vertical="bottom"/>
    </xf>
    <xf borderId="1" fillId="6" fontId="5" numFmtId="3" xfId="0" applyBorder="1" applyFill="1" applyFont="1" applyNumberFormat="1"/>
    <xf borderId="4" fillId="0" fontId="4" numFmtId="0" xfId="0" applyAlignment="1" applyBorder="1" applyFont="1">
      <alignment vertical="bottom"/>
    </xf>
    <xf borderId="0" fillId="0" fontId="4" numFmtId="10" xfId="0" applyAlignment="1" applyFont="1" applyNumberFormat="1">
      <alignment vertical="bottom"/>
    </xf>
    <xf borderId="1" fillId="0" fontId="3" numFmtId="0" xfId="0" applyAlignment="1" applyBorder="1" applyFont="1">
      <alignment horizontal="center" shrinkToFit="0" vertical="center" wrapText="1"/>
    </xf>
    <xf borderId="1" fillId="0" fontId="5" numFmtId="0" xfId="0" applyBorder="1" applyFont="1"/>
    <xf borderId="1" fillId="0" fontId="5" numFmtId="3" xfId="0" applyBorder="1" applyFont="1" applyNumberFormat="1"/>
    <xf borderId="4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3" xfId="0" applyAlignment="1" applyFont="1" applyNumberFormat="1">
      <alignment vertical="bottom"/>
    </xf>
    <xf borderId="0" fillId="0" fontId="9" numFmtId="0" xfId="0" applyFont="1"/>
    <xf borderId="0" fillId="0" fontId="10" numFmtId="0" xfId="0" applyFont="1"/>
    <xf borderId="1" fillId="7" fontId="11" numFmtId="0" xfId="0" applyAlignment="1" applyBorder="1" applyFill="1" applyFont="1">
      <alignment horizontal="center" shrinkToFit="0" vertical="center" wrapText="1"/>
    </xf>
    <xf borderId="1" fillId="7" fontId="12" numFmtId="0" xfId="0" applyAlignment="1" applyBorder="1" applyFill="1" applyFont="1">
      <alignment horizontal="center" shrinkToFit="0" vertical="center" wrapText="1"/>
    </xf>
    <xf borderId="1" fillId="7" fontId="12" numFmtId="3" xfId="0" applyAlignment="1" applyBorder="1" applyFill="1" applyFont="1" applyNumberFormat="1">
      <alignment horizontal="center" shrinkToFit="0" vertical="center" wrapText="1"/>
    </xf>
    <xf borderId="1" fillId="7" fontId="13" numFmtId="0" xfId="0" applyAlignment="1" applyBorder="1" applyFill="1" applyFont="1">
      <alignment horizontal="center" shrinkToFit="0" vertical="center" wrapText="1"/>
    </xf>
    <xf borderId="1" fillId="8" fontId="14" numFmtId="0" xfId="0" applyAlignment="1" applyBorder="1" applyFill="1" applyFont="1">
      <alignment horizontal="center" shrinkToFit="0" vertical="center" wrapText="1"/>
    </xf>
    <xf borderId="1" fillId="0" fontId="5" numFmtId="4" xfId="0" applyBorder="1" applyFont="1" applyNumberFormat="1"/>
    <xf borderId="1" fillId="8" fontId="14" numFmtId="3" xfId="0" applyAlignment="1" applyBorder="1" applyFill="1" applyFont="1" applyNumberFormat="1">
      <alignment horizontal="center" shrinkToFit="0" vertical="center" wrapText="1"/>
    </xf>
    <xf borderId="1" fillId="8" fontId="6" numFmtId="0" xfId="0" applyAlignment="1" applyBorder="1" applyFill="1" applyFont="1">
      <alignment horizontal="center" vertical="center"/>
    </xf>
    <xf borderId="1" fillId="0" fontId="5" numFmtId="10" xfId="0" applyBorder="1" applyFont="1" applyNumberFormat="1"/>
    <xf borderId="1" fillId="7" fontId="6" numFmtId="0" xfId="0" applyAlignment="1" applyBorder="1" applyFill="1" applyFont="1">
      <alignment horizontal="center" vertical="center"/>
    </xf>
    <xf borderId="1" fillId="7" fontId="6" numFmtId="3" xfId="0" applyAlignment="1" applyBorder="1" applyFill="1" applyFont="1" applyNumberFormat="1">
      <alignment horizontal="center" vertical="center"/>
    </xf>
    <xf borderId="1" fillId="9" fontId="5" numFmtId="10" xfId="0" applyBorder="1" applyFill="1" applyFont="1" applyNumberFormat="1"/>
    <xf borderId="1" fillId="7" fontId="6" numFmtId="164" xfId="0" applyAlignment="1" applyBorder="1" applyFill="1" applyFont="1" applyNumberFormat="1">
      <alignment horizontal="center" vertical="center"/>
    </xf>
    <xf borderId="1" fillId="7" fontId="6" numFmtId="165" xfId="0" applyAlignment="1" applyBorder="1" applyFill="1" applyFont="1" applyNumberFormat="1">
      <alignment horizontal="center" vertical="center"/>
    </xf>
    <xf borderId="1" fillId="9" fontId="5" numFmtId="4" xfId="0" applyBorder="1" applyFill="1" applyFont="1" applyNumberFormat="1"/>
    <xf borderId="1" fillId="0" fontId="15" numFmtId="0" xfId="0" applyAlignment="1" applyBorder="1" applyFont="1">
      <alignment horizontal="center" shrinkToFit="0" vertical="center" wrapText="1"/>
    </xf>
    <xf borderId="1" fillId="0" fontId="16" numFmtId="3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center" vertical="center"/>
    </xf>
    <xf borderId="1" fillId="0" fontId="17" numFmtId="3" xfId="0" applyAlignment="1" applyBorder="1" applyFont="1" applyNumberFormat="1">
      <alignment horizontal="right" vertical="bottom"/>
    </xf>
    <xf borderId="1" fillId="0" fontId="15" numFmtId="3" xfId="0" applyAlignment="1" applyBorder="1" applyFont="1" applyNumberFormat="1">
      <alignment horizontal="right" vertical="bottom"/>
    </xf>
    <xf borderId="1" fillId="0" fontId="18" numFmtId="3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center"/>
    </xf>
    <xf borderId="1" fillId="0" fontId="16" numFmtId="0" xfId="0" applyAlignment="1" applyBorder="1" applyFont="1">
      <alignment vertical="bottom"/>
    </xf>
    <xf borderId="1" fillId="0" fontId="16" numFmtId="3" xfId="0" applyAlignment="1" applyBorder="1" applyFont="1" applyNumberFormat="1">
      <alignment vertical="bottom"/>
    </xf>
    <xf borderId="1" fillId="0" fontId="16" numFmtId="164" xfId="0" applyAlignment="1" applyBorder="1" applyFont="1" applyNumberFormat="1">
      <alignment horizontal="center" vertical="bottom"/>
    </xf>
    <xf borderId="1" fillId="0" fontId="15" numFmtId="164" xfId="0" applyAlignment="1" applyBorder="1" applyFont="1" applyNumberFormat="1">
      <alignment vertical="bottom"/>
    </xf>
    <xf borderId="1" fillId="0" fontId="3" numFmtId="3" xfId="0" applyAlignment="1" applyBorder="1" applyFont="1" applyNumberFormat="1">
      <alignment horizontal="center" vertical="center"/>
    </xf>
    <xf borderId="1" fillId="0" fontId="19" numFmtId="3" xfId="0" applyBorder="1" applyFont="1" applyNumberFormat="1"/>
    <xf borderId="1" fillId="0" fontId="3" numFmtId="3" xfId="0" applyBorder="1" applyFont="1" applyNumberFormat="1"/>
    <xf borderId="1" fillId="0" fontId="20" numFmtId="3" xfId="0" applyBorder="1" applyFont="1" applyNumberFormat="1"/>
    <xf borderId="0" fillId="0" fontId="15" numFmtId="0" xfId="0" applyAlignment="1" applyFont="1">
      <alignment horizontal="center" shrinkToFit="0" vertical="center" wrapText="1"/>
    </xf>
    <xf borderId="1" fillId="0" fontId="5" numFmtId="4" xfId="0" applyAlignment="1" applyBorder="1" applyFont="1" applyNumberFormat="1">
      <alignment horizontal="right"/>
    </xf>
    <xf borderId="1" fillId="0" fontId="5" numFmtId="3" xfId="0" applyAlignment="1" applyBorder="1" applyFont="1" applyNumberFormat="1">
      <alignment horizontal="center"/>
    </xf>
    <xf borderId="1" fillId="0" fontId="5" numFmtId="166" xfId="0" applyBorder="1" applyFont="1" applyNumberFormat="1"/>
    <xf borderId="1" fillId="9" fontId="5" numFmtId="0" xfId="0" applyAlignment="1" applyBorder="1" applyFill="1" applyFont="1">
      <alignment horizontal="center"/>
    </xf>
    <xf borderId="1" fillId="0" fontId="3" numFmtId="4" xfId="0" applyBorder="1" applyFont="1" applyNumberFormat="1"/>
    <xf borderId="1" fillId="0" fontId="5" numFmtId="166" xfId="0" applyAlignment="1" applyBorder="1" applyFont="1" applyNumberFormat="1">
      <alignment vertical="bottom"/>
    </xf>
    <xf borderId="1" fillId="0" fontId="5" numFmtId="164" xfId="0" applyAlignment="1" applyBorder="1" applyFont="1" applyNumberFormat="1">
      <alignment horizontal="right" vertical="bottom"/>
    </xf>
    <xf borderId="1" fillId="0" fontId="5" numFmtId="164" xfId="0" applyAlignment="1" applyBorder="1" applyFont="1" applyNumberFormat="1">
      <alignment vertical="bottom"/>
    </xf>
    <xf borderId="1" fillId="0" fontId="21" numFmtId="164" xfId="0" applyAlignment="1" applyBorder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vertical="bottom"/>
    </xf>
    <xf borderId="1" fillId="0" fontId="22" numFmtId="164" xfId="0" applyAlignment="1" applyBorder="1" applyFont="1" applyNumberFormat="1">
      <alignment horizontal="right" vertical="bottom"/>
    </xf>
    <xf borderId="1" fillId="0" fontId="3" numFmtId="3" xfId="0" applyAlignment="1" applyBorder="1" applyFont="1" applyNumberFormat="1">
      <alignment horizontal="right" vertical="bottom"/>
    </xf>
    <xf borderId="1" fillId="0" fontId="23" numFmtId="3" xfId="0" applyAlignment="1" applyBorder="1" applyFont="1" applyNumberFormat="1">
      <alignment horizontal="right" vertical="bottom"/>
    </xf>
    <xf borderId="1" fillId="0" fontId="3" numFmtId="166" xfId="0" applyBorder="1" applyFont="1" applyNumberFormat="1"/>
    <xf borderId="1" fillId="0" fontId="24" numFmtId="166" xfId="0" applyBorder="1" applyFont="1" applyNumberFormat="1"/>
    <xf borderId="1" fillId="0" fontId="5" numFmtId="165" xfId="0" applyBorder="1" applyFont="1" applyNumberFormat="1"/>
    <xf borderId="1" fillId="0" fontId="16" numFmtId="167" xfId="0" applyAlignment="1" applyBorder="1" applyFont="1" applyNumberFormat="1">
      <alignment vertical="bottom"/>
    </xf>
    <xf borderId="1" fillId="0" fontId="25" numFmtId="166" xfId="0" applyBorder="1" applyFont="1" applyNumberFormat="1"/>
    <xf borderId="5" fillId="0" fontId="26" numFmtId="3" xfId="0" applyAlignment="1" applyBorder="1" applyFont="1" applyNumberFormat="1">
      <alignment horizontal="right" shrinkToFit="0" vertical="bottom" wrapText="0"/>
    </xf>
    <xf borderId="5" fillId="0" fontId="27" numFmtId="3" xfId="0" applyAlignment="1" applyBorder="1" applyFont="1" applyNumberFormat="1">
      <alignment horizontal="right" shrinkToFit="0" vertical="bottom" wrapText="0"/>
    </xf>
    <xf borderId="1" fillId="0" fontId="26" numFmtId="3" xfId="0" applyAlignment="1" applyBorder="1" applyFont="1" applyNumberFormat="1">
      <alignment horizontal="right" shrinkToFit="0" vertical="bottom" wrapText="0"/>
    </xf>
    <xf borderId="1" fillId="0" fontId="28" numFmtId="3" xfId="0" applyAlignment="1" applyBorder="1" applyFont="1" applyNumberFormat="1">
      <alignment horizontal="right" shrinkToFit="0" vertical="bottom" wrapText="0"/>
    </xf>
    <xf borderId="1" fillId="0" fontId="29" numFmtId="3" xfId="0" applyAlignment="1" applyBorder="1" applyFont="1" applyNumberFormat="1">
      <alignment horizontal="right" shrinkToFit="0" vertical="bottom" wrapText="0"/>
    </xf>
    <xf borderId="1" fillId="0" fontId="15" numFmtId="3" xfId="0" applyAlignment="1" applyBorder="1" applyFont="1" applyNumberFormat="1">
      <alignment horizontal="right" shrinkToFit="0" vertical="bottom" wrapText="0"/>
    </xf>
    <xf borderId="5" fillId="0" fontId="26" numFmtId="167" xfId="0" applyAlignment="1" applyBorder="1" applyFont="1" applyNumberFormat="1">
      <alignment horizontal="center" shrinkToFit="0" vertical="bottom" wrapText="0"/>
    </xf>
    <xf borderId="5" fillId="0" fontId="26" numFmtId="3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horizontal="center" vertical="bottom"/>
    </xf>
    <xf borderId="1" fillId="0" fontId="5" numFmtId="164" xfId="0" applyBorder="1" applyFont="1" applyNumberFormat="1"/>
    <xf borderId="1" fillId="0" fontId="5" numFmtId="3" xfId="0" applyAlignment="1" applyBorder="1" applyFont="1" applyNumberFormat="1">
      <alignment horizontal="right"/>
    </xf>
    <xf borderId="1" fillId="0" fontId="30" numFmtId="164" xfId="0" applyBorder="1" applyFont="1" applyNumberFormat="1"/>
    <xf borderId="1" fillId="0" fontId="3" numFmtId="164" xfId="0" applyBorder="1" applyFont="1" applyNumberFormat="1"/>
    <xf borderId="1" fillId="0" fontId="31" numFmtId="164" xfId="0" applyBorder="1" applyFont="1" applyNumberFormat="1"/>
    <xf borderId="1" fillId="6" fontId="5" numFmtId="3" xfId="0" applyAlignment="1" applyBorder="1" applyFill="1" applyFont="1" applyNumberFormat="1">
      <alignment horizontal="right"/>
    </xf>
    <xf borderId="1" fillId="0" fontId="5" numFmtId="168" xfId="0" applyBorder="1" applyFont="1" applyNumberFormat="1"/>
    <xf borderId="1" fillId="0" fontId="5" numFmtId="166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0" fontId="5" numFmtId="0" xfId="0" applyAlignment="1" applyBorder="1" applyFont="1">
      <alignment vertical="bottom"/>
    </xf>
    <xf borderId="1" fillId="4" fontId="5" numFmtId="0" xfId="0" applyBorder="1" applyFill="1" applyFont="1"/>
    <xf borderId="1" fillId="0" fontId="4" numFmtId="167" xfId="0" applyAlignment="1" applyBorder="1" applyFont="1" applyNumberFormat="1">
      <alignment vertical="bottom"/>
    </xf>
    <xf borderId="1" fillId="0" fontId="4" numFmtId="3" xfId="0" applyAlignment="1" applyBorder="1" applyFont="1" applyNumberFormat="1">
      <alignment vertical="bottom"/>
    </xf>
    <xf borderId="0" fillId="0" fontId="32" numFmtId="3" xfId="0" applyFont="1" applyNumberFormat="1"/>
    <xf borderId="0" fillId="0" fontId="16" numFmtId="166" xfId="0" applyAlignment="1" applyFont="1" applyNumberFormat="1">
      <alignment horizontal="right" vertical="bottom"/>
    </xf>
    <xf borderId="1" fillId="0" fontId="16" numFmtId="166" xfId="0" applyAlignment="1" applyBorder="1" applyFont="1" applyNumberFormat="1">
      <alignment horizontal="right" vertical="bottom"/>
    </xf>
    <xf borderId="1" fillId="0" fontId="4" numFmtId="164" xfId="0" applyAlignment="1" applyBorder="1" applyFont="1" applyNumberFormat="1">
      <alignment vertical="bottom"/>
    </xf>
    <xf borderId="0" fillId="0" fontId="5" numFmtId="3" xfId="0" applyFont="1" applyNumberFormat="1"/>
    <xf borderId="1" fillId="0" fontId="33" numFmtId="0" xfId="0" applyBorder="1" applyFont="1"/>
    <xf borderId="0" fillId="0" fontId="3" numFmtId="0" xfId="0" applyAlignment="1" applyFont="1">
      <alignment horizontal="center" vertical="bottom"/>
    </xf>
    <xf borderId="1" fillId="0" fontId="34" numFmtId="0" xfId="0" applyBorder="1" applyFont="1"/>
    <xf borderId="1" fillId="0" fontId="5" numFmtId="4" xfId="0" applyAlignment="1" applyBorder="1" applyFont="1" applyNumberFormat="1">
      <alignment horizontal="right" vertical="bottom"/>
    </xf>
    <xf borderId="1" fillId="0" fontId="5" numFmtId="10" xfId="0" applyAlignment="1" applyBorder="1" applyFont="1" applyNumberFormat="1">
      <alignment horizontal="right" vertical="bottom"/>
    </xf>
    <xf borderId="0" fillId="10" fontId="5" numFmtId="0" xfId="0" applyFill="1" applyFont="1"/>
    <xf borderId="0" fillId="10" fontId="16" numFmtId="3" xfId="0" applyAlignment="1" applyFill="1" applyFont="1" applyNumberFormat="1">
      <alignment horizontal="right"/>
    </xf>
    <xf borderId="0" fillId="10" fontId="5" numFmtId="3" xfId="0" applyFill="1" applyFont="1" applyNumberFormat="1"/>
    <xf borderId="0" fillId="10" fontId="5" numFmtId="10" xfId="0" applyFill="1" applyFont="1" applyNumberFormat="1"/>
    <xf borderId="0" fillId="10" fontId="35" numFmtId="0" xfId="0" applyFill="1" applyFont="1"/>
    <xf borderId="0" fillId="10" fontId="3" numFmtId="0" xfId="0" applyFill="1" applyFont="1"/>
    <xf borderId="0" fillId="10" fontId="36" numFmtId="0" xfId="0" applyFill="1" applyFont="1"/>
    <xf borderId="0" fillId="10" fontId="3" numFmtId="3" xfId="0" applyFill="1" applyFont="1" applyNumberFormat="1"/>
    <xf borderId="0" fillId="0" fontId="37" numFmtId="3" xfId="0" applyAlignment="1" applyFont="1" applyNumberFormat="1">
      <alignment horizontal="right"/>
    </xf>
    <xf borderId="0" fillId="0" fontId="5" numFmtId="0" xfId="0" applyAlignment="1" applyFont="1">
      <alignment shrinkToFit="0" vertical="center" wrapText="1"/>
    </xf>
    <xf borderId="0" fillId="0" fontId="10" numFmtId="3" xfId="0" applyFont="1" applyNumberFormat="1"/>
    <xf borderId="0" fillId="0" fontId="38" numFmtId="0" xfId="0" applyFont="1"/>
    <xf borderId="0" fillId="0" fontId="39" numFmtId="0" xfId="0" applyFont="1"/>
    <xf borderId="1" fillId="0" fontId="5" numFmtId="4" xfId="0" applyAlignment="1" applyBorder="1" applyFont="1" applyNumberFormat="1">
      <alignment horizontal="center"/>
    </xf>
    <xf borderId="1" fillId="11" fontId="5" numFmtId="4" xfId="0" applyAlignment="1" applyBorder="1" applyFill="1" applyFont="1" applyNumberFormat="1">
      <alignment horizontal="center"/>
    </xf>
    <xf borderId="0" fillId="0" fontId="9" numFmtId="3" xfId="0" applyAlignment="1" applyFont="1" applyNumberFormat="1">
      <alignment vertical="bottom"/>
    </xf>
    <xf borderId="0" fillId="8" fontId="5" numFmtId="0" xfId="0" applyFill="1" applyFont="1"/>
    <xf borderId="1" fillId="11" fontId="5" numFmtId="0" xfId="0" applyBorder="1" applyFill="1" applyFont="1"/>
    <xf borderId="1" fillId="8" fontId="12" numFmtId="3" xfId="0" applyAlignment="1" applyBorder="1" applyFill="1" applyFont="1" applyNumberFormat="1">
      <alignment horizontal="center" shrinkToFit="0" vertical="center" wrapText="1"/>
    </xf>
    <xf borderId="1" fillId="8" fontId="12" numFmtId="0" xfId="0" applyAlignment="1" applyBorder="1" applyFill="1" applyFont="1">
      <alignment horizontal="center" shrinkToFit="0" vertical="center" wrapText="1"/>
    </xf>
    <xf borderId="1" fillId="8" fontId="13" numFmtId="0" xfId="0" applyAlignment="1" applyBorder="1" applyFill="1" applyFont="1">
      <alignment horizontal="center" shrinkToFit="0" vertical="center" wrapText="1"/>
    </xf>
    <xf borderId="1" fillId="8" fontId="40" numFmtId="0" xfId="0" applyAlignment="1" applyBorder="1" applyFill="1" applyFont="1">
      <alignment horizontal="center" shrinkToFit="0" vertical="center" wrapText="1"/>
    </xf>
    <xf borderId="1" fillId="7" fontId="13" numFmtId="3" xfId="0" applyAlignment="1" applyBorder="1" applyFill="1" applyFont="1" applyNumberFormat="1">
      <alignment horizontal="center" vertical="center"/>
    </xf>
    <xf borderId="0" fillId="7" fontId="6" numFmtId="0" xfId="0" applyAlignment="1" applyFill="1" applyFont="1">
      <alignment horizontal="center" vertical="center"/>
    </xf>
    <xf borderId="5" fillId="0" fontId="16" numFmtId="3" xfId="0" applyAlignment="1" applyBorder="1" applyFont="1" applyNumberFormat="1">
      <alignment horizontal="right" vertical="bottom"/>
    </xf>
    <xf borderId="5" fillId="0" fontId="41" numFmtId="3" xfId="0" applyAlignment="1" applyBorder="1" applyFont="1" applyNumberFormat="1">
      <alignment horizontal="right" vertical="bottom"/>
    </xf>
    <xf borderId="5" fillId="0" fontId="15" numFmtId="3" xfId="0" applyAlignment="1" applyBorder="1" applyFont="1" applyNumberFormat="1">
      <alignment horizontal="right" vertical="bottom"/>
    </xf>
    <xf borderId="1" fillId="0" fontId="16" numFmtId="3" xfId="0" applyAlignment="1" applyBorder="1" applyFont="1" applyNumberFormat="1">
      <alignment horizontal="center" vertical="bottom"/>
    </xf>
    <xf borderId="1" fillId="0" fontId="26" numFmtId="165" xfId="0" applyAlignment="1" applyBorder="1" applyFont="1" applyNumberFormat="1">
      <alignment horizontal="center" shrinkToFit="0" vertical="bottom" wrapText="0"/>
    </xf>
    <xf borderId="0" fillId="0" fontId="15" numFmtId="164" xfId="0" applyAlignment="1" applyFont="1" applyNumberFormat="1">
      <alignment horizontal="right" vertical="bottom"/>
    </xf>
    <xf borderId="1" fillId="0" fontId="16" numFmtId="3" xfId="0" applyAlignment="1" applyBorder="1" applyFont="1" applyNumberFormat="1">
      <alignment horizontal="right"/>
    </xf>
    <xf borderId="1" fillId="0" fontId="15" numFmtId="3" xfId="0" applyAlignment="1" applyBorder="1" applyFont="1" applyNumberFormat="1">
      <alignment horizontal="right"/>
    </xf>
    <xf borderId="0" fillId="0" fontId="42" numFmtId="166" xfId="0" applyFont="1" applyNumberFormat="1"/>
    <xf borderId="1" fillId="0" fontId="16" numFmtId="3" xfId="0" applyAlignment="1" applyBorder="1" applyFont="1" applyNumberFormat="1">
      <alignment horizontal="right" shrinkToFit="0" vertical="bottom" wrapText="0"/>
    </xf>
    <xf borderId="1" fillId="0" fontId="16" numFmtId="167" xfId="0" applyAlignment="1" applyBorder="1" applyFont="1" applyNumberFormat="1">
      <alignment shrinkToFit="0" vertical="bottom" wrapText="0"/>
    </xf>
    <xf borderId="1" fillId="0" fontId="15" numFmtId="3" xfId="0" applyAlignment="1" applyBorder="1" applyFont="1" applyNumberFormat="1">
      <alignment shrinkToFit="0" vertical="bottom" wrapText="0"/>
    </xf>
    <xf borderId="1" fillId="0" fontId="26" numFmtId="0" xfId="0" applyAlignment="1" applyBorder="1" applyFont="1">
      <alignment shrinkToFit="0" vertical="bottom" wrapText="0"/>
    </xf>
    <xf borderId="1" fillId="12" fontId="15" numFmtId="0" xfId="0" applyAlignment="1" applyBorder="1" applyFill="1" applyFont="1">
      <alignment horizontal="center" shrinkToFit="0" vertical="center" wrapText="1"/>
    </xf>
    <xf borderId="1" fillId="12" fontId="16" numFmtId="3" xfId="0" applyAlignment="1" applyBorder="1" applyFill="1" applyFont="1" applyNumberFormat="1">
      <alignment horizontal="right"/>
    </xf>
    <xf borderId="1" fillId="12" fontId="15" numFmtId="3" xfId="0" applyAlignment="1" applyBorder="1" applyFill="1" applyFont="1" applyNumberFormat="1">
      <alignment horizontal="right"/>
    </xf>
    <xf borderId="1" fillId="12" fontId="15" numFmtId="3" xfId="0" applyAlignment="1" applyBorder="1" applyFill="1" applyFont="1" applyNumberFormat="1">
      <alignment horizontal="right" vertical="bottom"/>
    </xf>
    <xf borderId="1" fillId="12" fontId="5" numFmtId="0" xfId="0" applyBorder="1" applyFill="1" applyFont="1"/>
    <xf borderId="1" fillId="12" fontId="5" numFmtId="3" xfId="0" applyBorder="1" applyFill="1" applyFont="1" applyNumberFormat="1"/>
    <xf borderId="1" fillId="12" fontId="26" numFmtId="165" xfId="0" applyAlignment="1" applyBorder="1" applyFill="1" applyFont="1" applyNumberFormat="1">
      <alignment horizontal="center" shrinkToFit="0" vertical="bottom" wrapText="0"/>
    </xf>
    <xf borderId="1" fillId="12" fontId="3" numFmtId="3" xfId="0" applyBorder="1" applyFill="1" applyFont="1" applyNumberFormat="1"/>
    <xf borderId="0" fillId="12" fontId="5" numFmtId="0" xfId="0" applyFill="1" applyFont="1"/>
    <xf borderId="1" fillId="12" fontId="43" numFmtId="3" xfId="0" applyBorder="1" applyFill="1" applyFont="1" applyNumberFormat="1"/>
    <xf borderId="1" fillId="12" fontId="44" numFmtId="3" xfId="0" applyBorder="1" applyFill="1" applyFont="1" applyNumberFormat="1"/>
    <xf borderId="1" fillId="12" fontId="3" numFmtId="0" xfId="0" applyBorder="1" applyFill="1" applyFont="1"/>
    <xf borderId="1" fillId="12" fontId="5" numFmtId="0" xfId="0" applyAlignment="1" applyBorder="1" applyFill="1" applyFont="1">
      <alignment vertical="bottom"/>
    </xf>
    <xf borderId="1" fillId="12" fontId="5" numFmtId="168" xfId="0" applyAlignment="1" applyBorder="1" applyFill="1" applyFont="1" applyNumberFormat="1">
      <alignment horizontal="right" vertical="bottom"/>
    </xf>
    <xf borderId="1" fillId="12" fontId="5" numFmtId="168" xfId="0" applyAlignment="1" applyBorder="1" applyFill="1" applyFont="1" applyNumberFormat="1">
      <alignment vertical="bottom"/>
    </xf>
    <xf borderId="0" fillId="12" fontId="15" numFmtId="0" xfId="0" applyAlignment="1" applyFill="1" applyFont="1">
      <alignment horizontal="center" shrinkToFit="0" vertical="center" wrapText="1"/>
    </xf>
    <xf borderId="1" fillId="12" fontId="5" numFmtId="4" xfId="0" applyBorder="1" applyFill="1" applyFont="1" applyNumberFormat="1"/>
    <xf borderId="0" fillId="12" fontId="5" numFmtId="3" xfId="0" applyFill="1" applyFont="1" applyNumberFormat="1"/>
    <xf borderId="1" fillId="0" fontId="5" numFmtId="168" xfId="0" applyAlignment="1" applyBorder="1" applyFont="1" applyNumberFormat="1">
      <alignment horizontal="right" vertical="bottom"/>
    </xf>
    <xf borderId="1" fillId="0" fontId="5" numFmtId="168" xfId="0" applyAlignment="1" applyBorder="1" applyFont="1" applyNumberFormat="1">
      <alignment vertical="bottom"/>
    </xf>
    <xf borderId="5" fillId="0" fontId="16" numFmtId="3" xfId="0" applyAlignment="1" applyBorder="1" applyFont="1" applyNumberFormat="1">
      <alignment horizontal="right" shrinkToFit="0" vertical="bottom" wrapText="0"/>
    </xf>
    <xf borderId="1" fillId="0" fontId="45" numFmtId="3" xfId="0" applyAlignment="1" applyBorder="1" applyFont="1" applyNumberFormat="1">
      <alignment horizontal="right"/>
    </xf>
    <xf borderId="1" fillId="0" fontId="5" numFmtId="0" xfId="0" applyAlignment="1" applyBorder="1" applyFont="1">
      <alignment horizontal="left"/>
    </xf>
    <xf borderId="1" fillId="0" fontId="3" numFmtId="165" xfId="0" applyBorder="1" applyFont="1" applyNumberFormat="1"/>
    <xf borderId="0" fillId="0" fontId="16" numFmtId="3" xfId="0" applyAlignment="1" applyFont="1" applyNumberFormat="1">
      <alignment horizontal="right"/>
    </xf>
    <xf borderId="1" fillId="0" fontId="5" numFmtId="164" xfId="0" applyAlignment="1" applyBorder="1" applyFont="1" applyNumberFormat="1">
      <alignment horizontal="left" vertical="bottom"/>
    </xf>
    <xf borderId="1" fillId="0" fontId="5" numFmtId="3" xfId="0" applyAlignment="1" applyBorder="1" applyFont="1" applyNumberFormat="1">
      <alignment horizontal="right" vertical="bottom"/>
    </xf>
    <xf borderId="1" fillId="0" fontId="16" numFmtId="0" xfId="0" applyAlignment="1" applyBorder="1" applyFont="1">
      <alignment shrinkToFit="0" vertical="bottom" wrapText="0"/>
    </xf>
    <xf borderId="1" fillId="0" fontId="5" numFmtId="164" xfId="0" applyAlignment="1" applyBorder="1" applyFont="1" applyNumberFormat="1">
      <alignment horizontal="left"/>
    </xf>
    <xf borderId="1" fillId="0" fontId="3" numFmtId="164" xfId="0" applyAlignment="1" applyBorder="1" applyFont="1" applyNumberFormat="1">
      <alignment vertical="bottom"/>
    </xf>
    <xf borderId="1" fillId="0" fontId="5" numFmtId="3" xfId="0" applyAlignment="1" applyBorder="1" applyFont="1" applyNumberFormat="1">
      <alignment vertical="bottom"/>
    </xf>
    <xf borderId="1" fillId="0" fontId="3" numFmtId="3" xfId="0" applyAlignment="1" applyBorder="1" applyFont="1" applyNumberFormat="1">
      <alignment vertical="bottom"/>
    </xf>
    <xf borderId="1" fillId="0" fontId="5" numFmtId="165" xfId="0" applyAlignment="1" applyBorder="1" applyFont="1" applyNumberFormat="1">
      <alignment vertical="bottom"/>
    </xf>
    <xf borderId="1" fillId="0" fontId="3" numFmtId="166" xfId="0" applyAlignment="1" applyBorder="1" applyFont="1" applyNumberFormat="1">
      <alignment horizontal="right" vertical="bottom"/>
    </xf>
    <xf borderId="1" fillId="0" fontId="3" numFmtId="166" xfId="0" applyAlignment="1" applyBorder="1" applyFont="1" applyNumberFormat="1">
      <alignment horizontal="center" vertical="bottom"/>
    </xf>
    <xf borderId="0" fillId="0" fontId="46" numFmtId="166" xfId="0" applyFont="1" applyNumberFormat="1"/>
    <xf borderId="1" fillId="0" fontId="42" numFmtId="166" xfId="0" applyBorder="1" applyFont="1" applyNumberFormat="1"/>
    <xf borderId="1" fillId="0" fontId="9" numFmtId="0" xfId="0" applyBorder="1" applyFont="1"/>
    <xf borderId="1" fillId="0" fontId="37" numFmtId="3" xfId="0" applyAlignment="1" applyBorder="1" applyFont="1" applyNumberFormat="1">
      <alignment horizontal="right"/>
    </xf>
    <xf borderId="1" fillId="8" fontId="5" numFmtId="0" xfId="0" applyBorder="1" applyFill="1" applyFont="1"/>
    <xf borderId="0" fillId="0" fontId="5" numFmtId="169" xfId="0" applyFont="1" applyNumberFormat="1"/>
    <xf borderId="1" fillId="13" fontId="5" numFmtId="3" xfId="0" applyBorder="1" applyFill="1" applyFont="1" applyNumberFormat="1"/>
    <xf borderId="1" fillId="0" fontId="15" numFmtId="164" xfId="0" applyAlignment="1" applyBorder="1" applyFont="1" applyNumberFormat="1">
      <alignment horizontal="right" vertical="bottom"/>
    </xf>
    <xf borderId="5" fillId="0" fontId="47" numFmtId="3" xfId="0" applyAlignment="1" applyBorder="1" applyFont="1" applyNumberFormat="1">
      <alignment horizontal="right" shrinkToFit="0" vertical="bottom" wrapText="0"/>
    </xf>
    <xf borderId="0" fillId="0" fontId="16" numFmtId="3" xfId="0" applyAlignment="1" applyFont="1" applyNumberFormat="1">
      <alignment horizontal="right" shrinkToFit="0" vertical="bottom" wrapText="0"/>
    </xf>
    <xf borderId="0" fillId="0" fontId="48" numFmtId="3" xfId="0" applyAlignment="1" applyFont="1" applyNumberFormat="1">
      <alignment horizontal="right" shrinkToFit="0" vertical="bottom" wrapText="0"/>
    </xf>
    <xf borderId="0" fillId="0" fontId="15" numFmtId="3" xfId="0" applyAlignment="1" applyFont="1" applyNumberFormat="1">
      <alignment horizontal="right"/>
    </xf>
    <xf borderId="0" fillId="0" fontId="15" numFmtId="3" xfId="0" applyAlignment="1" applyFont="1" applyNumberFormat="1">
      <alignment horizontal="right" vertical="bottom"/>
    </xf>
    <xf borderId="0" fillId="0" fontId="49" numFmtId="3" xfId="0" applyAlignment="1" applyFont="1" applyNumberFormat="1">
      <alignment horizontal="right" vertical="bottom"/>
    </xf>
    <xf borderId="1" fillId="0" fontId="5" numFmtId="169" xfId="0" applyBorder="1" applyFont="1" applyNumberFormat="1"/>
    <xf borderId="0" fillId="0" fontId="3" numFmtId="3" xfId="0" applyFont="1" applyNumberFormat="1"/>
    <xf borderId="0" fillId="14" fontId="5" numFmtId="0" xfId="0" applyFill="1" applyFont="1"/>
    <xf borderId="0" fillId="14" fontId="16" numFmtId="3" xfId="0" applyAlignment="1" applyFill="1" applyFont="1" applyNumberFormat="1">
      <alignment horizontal="right"/>
    </xf>
    <xf borderId="0" fillId="14" fontId="5" numFmtId="3" xfId="0" applyFill="1" applyFont="1" applyNumberFormat="1"/>
    <xf borderId="0" fillId="14" fontId="5" numFmtId="10" xfId="0" applyFill="1" applyFont="1" applyNumberFormat="1"/>
    <xf borderId="0" fillId="14" fontId="50" numFmtId="0" xfId="0" applyFill="1" applyFont="1"/>
    <xf borderId="0" fillId="14" fontId="3" numFmtId="0" xfId="0" applyFill="1" applyFont="1"/>
    <xf borderId="0" fillId="14" fontId="51" numFmtId="0" xfId="0" applyFill="1" applyFont="1"/>
    <xf borderId="0" fillId="14" fontId="3" numFmtId="3" xfId="0" applyFill="1" applyFont="1" applyNumberFormat="1"/>
    <xf borderId="0" fillId="14" fontId="2" numFmtId="0" xfId="0" applyAlignment="1" applyFill="1" applyFont="1">
      <alignment vertical="bottom"/>
    </xf>
    <xf borderId="0" fillId="14" fontId="16" numFmtId="3" xfId="0" applyAlignment="1" applyFill="1" applyFont="1" applyNumberFormat="1">
      <alignment horizontal="right" vertical="bottom"/>
    </xf>
    <xf borderId="0" fillId="14" fontId="4" numFmtId="0" xfId="0" applyAlignment="1" applyFill="1" applyFont="1">
      <alignment vertical="bottom"/>
    </xf>
    <xf borderId="0" fillId="14" fontId="4" numFmtId="3" xfId="0" applyAlignment="1" applyFill="1" applyFont="1" applyNumberFormat="1">
      <alignment vertical="bottom"/>
    </xf>
    <xf borderId="4" fillId="0" fontId="2" numFmtId="0" xfId="0" applyAlignment="1" applyBorder="1" applyFont="1">
      <alignment vertical="bottom"/>
    </xf>
    <xf borderId="0" fillId="0" fontId="16" numFmtId="3" xfId="0" applyAlignment="1" applyFont="1" applyNumberFormat="1">
      <alignment horizontal="right" vertical="bottom"/>
    </xf>
    <xf borderId="1" fillId="15" fontId="11" numFmtId="0" xfId="0" applyAlignment="1" applyBorder="1" applyFill="1" applyFont="1">
      <alignment horizontal="center" shrinkToFit="0" vertical="center" wrapText="1"/>
    </xf>
    <xf borderId="1" fillId="15" fontId="12" numFmtId="3" xfId="0" applyAlignment="1" applyBorder="1" applyFill="1" applyFont="1" applyNumberFormat="1">
      <alignment horizontal="center" shrinkToFit="0" vertical="center" wrapText="1"/>
    </xf>
    <xf borderId="1" fillId="15" fontId="11" numFmtId="3" xfId="0" applyAlignment="1" applyBorder="1" applyFill="1" applyFont="1" applyNumberFormat="1">
      <alignment horizontal="center" shrinkToFit="0" vertical="center" wrapText="1"/>
    </xf>
    <xf borderId="1" fillId="15" fontId="12" numFmtId="0" xfId="0" applyAlignment="1" applyBorder="1" applyFill="1" applyFont="1">
      <alignment horizontal="center" shrinkToFit="0" vertical="center" wrapText="1"/>
    </xf>
    <xf borderId="1" fillId="15" fontId="14" numFmtId="0" xfId="0" applyAlignment="1" applyBorder="1" applyFill="1" applyFont="1">
      <alignment horizontal="center" shrinkToFit="0" vertical="center" wrapText="1"/>
    </xf>
    <xf borderId="1" fillId="15" fontId="14" numFmtId="3" xfId="0" applyAlignment="1" applyBorder="1" applyFill="1" applyFont="1" applyNumberFormat="1">
      <alignment horizontal="center" shrinkToFit="0" vertical="center" wrapText="1"/>
    </xf>
    <xf borderId="1" fillId="0" fontId="26" numFmtId="3" xfId="0" applyAlignment="1" applyBorder="1" applyFont="1" applyNumberFormat="1">
      <alignment horizontal="right" shrinkToFit="0" vertical="center" wrapText="0"/>
    </xf>
    <xf borderId="1" fillId="0" fontId="52" numFmtId="3" xfId="0" applyAlignment="1" applyBorder="1" applyFont="1" applyNumberFormat="1">
      <alignment horizontal="center" shrinkToFit="0" wrapText="0"/>
    </xf>
    <xf borderId="1" fillId="0" fontId="16" numFmtId="3" xfId="0" applyAlignment="1" applyBorder="1" applyFont="1" applyNumberFormat="1">
      <alignment horizontal="right" vertical="center"/>
    </xf>
    <xf borderId="1" fillId="0" fontId="53" numFmtId="3" xfId="0" applyAlignment="1" applyBorder="1" applyFont="1" applyNumberFormat="1">
      <alignment horizontal="center" shrinkToFit="0" wrapText="0"/>
    </xf>
    <xf borderId="0" fillId="0" fontId="13" numFmtId="0" xfId="0" applyAlignment="1" applyFont="1">
      <alignment horizontal="center" shrinkToFit="0" vertical="center" wrapText="1"/>
    </xf>
    <xf borderId="5" fillId="0" fontId="54" numFmtId="3" xfId="0" applyAlignment="1" applyBorder="1" applyFont="1" applyNumberFormat="1">
      <alignment horizontal="right" vertical="bottom"/>
    </xf>
    <xf borderId="1" fillId="0" fontId="55" numFmtId="3" xfId="0" applyAlignment="1" applyBorder="1" applyFont="1" applyNumberFormat="1">
      <alignment horizontal="right" vertical="bottom"/>
    </xf>
    <xf borderId="1" fillId="0" fontId="56" numFmtId="3" xfId="0" applyAlignment="1" applyBorder="1" applyFont="1" applyNumberFormat="1">
      <alignment horizontal="right" shrinkToFit="0" wrapText="0"/>
    </xf>
    <xf borderId="5" fillId="0" fontId="15" numFmtId="3" xfId="0" applyAlignment="1" applyBorder="1" applyFont="1" applyNumberFormat="1">
      <alignment horizontal="right" shrinkToFit="0" vertical="bottom" wrapText="0"/>
    </xf>
    <xf borderId="6" fillId="0" fontId="26" numFmtId="3" xfId="0" applyAlignment="1" applyBorder="1" applyFont="1" applyNumberFormat="1">
      <alignment horizontal="right" shrinkToFit="0" vertical="bottom" wrapText="0"/>
    </xf>
    <xf borderId="1" fillId="0" fontId="55" numFmtId="3" xfId="0" applyAlignment="1" applyBorder="1" applyFont="1" applyNumberFormat="1">
      <alignment horizontal="right" shrinkToFit="0" vertical="bottom" wrapText="0"/>
    </xf>
    <xf borderId="1" fillId="0" fontId="53" numFmtId="4" xfId="0" applyAlignment="1" applyBorder="1" applyFont="1" applyNumberFormat="1">
      <alignment horizontal="center" shrinkToFit="0" wrapText="0"/>
    </xf>
    <xf borderId="1" fillId="0" fontId="57" numFmtId="3" xfId="0" applyAlignment="1" applyBorder="1" applyFont="1" applyNumberFormat="1">
      <alignment shrinkToFit="0" vertical="bottom" wrapText="0"/>
    </xf>
    <xf borderId="1" fillId="0" fontId="58" numFmtId="3" xfId="0" applyAlignment="1" applyBorder="1" applyFont="1" applyNumberFormat="1">
      <alignment shrinkToFit="0" vertical="bottom" wrapText="0"/>
    </xf>
    <xf borderId="1" fillId="0" fontId="53" numFmtId="3" xfId="0" applyAlignment="1" applyBorder="1" applyFont="1" applyNumberFormat="1">
      <alignment shrinkToFit="0" vertical="bottom" wrapText="0"/>
    </xf>
    <xf borderId="1" fillId="0" fontId="57" numFmtId="0" xfId="0" applyAlignment="1" applyBorder="1" applyFont="1">
      <alignment shrinkToFit="0" vertical="bottom" wrapText="0"/>
    </xf>
    <xf borderId="1" fillId="0" fontId="59" numFmtId="3" xfId="0" applyAlignment="1" applyBorder="1" applyFont="1" applyNumberFormat="1">
      <alignment shrinkToFit="0" vertical="bottom" wrapText="0"/>
    </xf>
    <xf borderId="5" fillId="0" fontId="55" numFmtId="3" xfId="0" applyAlignment="1" applyBorder="1" applyFont="1" applyNumberFormat="1">
      <alignment horizontal="right" shrinkToFit="0" vertical="bottom" wrapText="0"/>
    </xf>
    <xf borderId="7" fillId="0" fontId="42" numFmtId="164" xfId="0" applyBorder="1" applyFont="1" applyNumberFormat="1"/>
    <xf borderId="1" fillId="16" fontId="11" numFmtId="0" xfId="0" applyAlignment="1" applyBorder="1" applyFill="1" applyFont="1">
      <alignment horizontal="center" shrinkToFit="0" vertical="center" wrapText="1"/>
    </xf>
    <xf borderId="1" fillId="16" fontId="14" numFmtId="3" xfId="0" applyAlignment="1" applyBorder="1" applyFill="1" applyFont="1" applyNumberFormat="1">
      <alignment horizontal="center" shrinkToFit="0" vertical="center" wrapText="1"/>
    </xf>
    <xf borderId="1" fillId="16" fontId="12" numFmtId="3" xfId="0" applyAlignment="1" applyBorder="1" applyFill="1" applyFont="1" applyNumberFormat="1">
      <alignment horizontal="center" shrinkToFit="0" vertical="center" wrapText="1"/>
    </xf>
    <xf borderId="1" fillId="16" fontId="11" numFmtId="3" xfId="0" applyAlignment="1" applyBorder="1" applyFill="1" applyFont="1" applyNumberFormat="1">
      <alignment horizontal="center" shrinkToFit="0" vertical="center" wrapText="1"/>
    </xf>
    <xf borderId="1" fillId="16" fontId="12" numFmtId="0" xfId="0" applyAlignment="1" applyBorder="1" applyFill="1" applyFont="1">
      <alignment horizontal="center" shrinkToFit="0" vertical="center" wrapText="1"/>
    </xf>
    <xf borderId="1" fillId="16" fontId="14" numFmtId="0" xfId="0" applyAlignment="1" applyBorder="1" applyFill="1" applyFont="1">
      <alignment horizontal="center" shrinkToFit="0" vertical="center" wrapText="1"/>
    </xf>
    <xf borderId="1" fillId="0" fontId="52" numFmtId="3" xfId="0" applyAlignment="1" applyBorder="1" applyFont="1" applyNumberFormat="1">
      <alignment horizontal="right" shrinkToFit="0" wrapText="0"/>
    </xf>
    <xf borderId="1" fillId="0" fontId="60" numFmtId="3" xfId="0" applyAlignment="1" applyBorder="1" applyFont="1" applyNumberFormat="1">
      <alignment horizontal="right" shrinkToFit="0" wrapText="0"/>
    </xf>
    <xf borderId="1" fillId="0" fontId="61" numFmtId="3" xfId="0" applyAlignment="1" applyBorder="1" applyFont="1" applyNumberFormat="1">
      <alignment horizontal="right" shrinkToFit="0" vertical="bottom" wrapText="0"/>
    </xf>
    <xf borderId="1" fillId="17" fontId="11" numFmtId="0" xfId="0" applyAlignment="1" applyBorder="1" applyFill="1" applyFont="1">
      <alignment horizontal="center" shrinkToFit="0" vertical="center" wrapText="1"/>
    </xf>
    <xf borderId="2" fillId="17" fontId="14" numFmtId="3" xfId="0" applyAlignment="1" applyBorder="1" applyFill="1" applyFont="1" applyNumberFormat="1">
      <alignment horizontal="center" shrinkToFit="0" vertical="center" wrapText="1"/>
    </xf>
    <xf borderId="4" fillId="17" fontId="14" numFmtId="3" xfId="0" applyAlignment="1" applyBorder="1" applyFill="1" applyFont="1" applyNumberFormat="1">
      <alignment horizontal="center" shrinkToFit="0" vertical="center" wrapText="1"/>
    </xf>
    <xf borderId="4" fillId="17" fontId="12" numFmtId="3" xfId="0" applyAlignment="1" applyBorder="1" applyFill="1" applyFont="1" applyNumberFormat="1">
      <alignment horizontal="center" shrinkToFit="0" vertical="center" wrapText="1"/>
    </xf>
    <xf borderId="8" fillId="17" fontId="12" numFmtId="3" xfId="0" applyAlignment="1" applyBorder="1" applyFill="1" applyFont="1" applyNumberFormat="1">
      <alignment horizontal="center" shrinkToFit="0" vertical="center" wrapText="1"/>
    </xf>
    <xf borderId="1" fillId="17" fontId="11" numFmtId="3" xfId="0" applyAlignment="1" applyBorder="1" applyFill="1" applyFont="1" applyNumberFormat="1">
      <alignment horizontal="center" shrinkToFit="0" vertical="center" wrapText="1"/>
    </xf>
    <xf borderId="1" fillId="17" fontId="12" numFmtId="0" xfId="0" applyAlignment="1" applyBorder="1" applyFill="1" applyFont="1">
      <alignment horizontal="center" shrinkToFit="0" vertical="center" wrapText="1"/>
    </xf>
    <xf borderId="1" fillId="16" fontId="62" numFmtId="0" xfId="0" applyAlignment="1" applyBorder="1" applyFill="1" applyFont="1">
      <alignment horizontal="center" shrinkToFit="0" vertical="center" wrapText="1"/>
    </xf>
    <xf borderId="1" fillId="16" fontId="62" numFmtId="3" xfId="0" applyAlignment="1" applyBorder="1" applyFill="1" applyFont="1" applyNumberFormat="1">
      <alignment horizontal="center" shrinkToFit="0" vertical="center" wrapText="1"/>
    </xf>
    <xf borderId="1" fillId="16" fontId="13" numFmtId="0" xfId="0" applyAlignment="1" applyBorder="1" applyFill="1" applyFont="1">
      <alignment horizontal="center" shrinkToFit="0" vertical="center" wrapText="1"/>
    </xf>
    <xf borderId="1" fillId="0" fontId="63" numFmtId="3" xfId="0" applyAlignment="1" applyBorder="1" applyFont="1" applyNumberFormat="1">
      <alignment horizontal="right" shrinkToFit="0" wrapText="0"/>
    </xf>
    <xf borderId="5" fillId="0" fontId="52" numFmtId="3" xfId="0" applyAlignment="1" applyBorder="1" applyFont="1" applyNumberFormat="1">
      <alignment horizontal="right" shrinkToFit="0" wrapText="0"/>
    </xf>
    <xf borderId="9" fillId="0" fontId="15" numFmtId="3" xfId="0" applyAlignment="1" applyBorder="1" applyFont="1" applyNumberFormat="1">
      <alignment horizontal="right" vertical="bottom"/>
    </xf>
    <xf borderId="5" fillId="0" fontId="4" numFmtId="3" xfId="0" applyAlignment="1" applyBorder="1" applyFont="1" applyNumberFormat="1">
      <alignment vertical="bottom"/>
    </xf>
    <xf borderId="5" fillId="0" fontId="16" numFmtId="164" xfId="0" applyAlignment="1" applyBorder="1" applyFont="1" applyNumberFormat="1">
      <alignment horizontal="center" vertical="bottom"/>
    </xf>
    <xf borderId="9" fillId="0" fontId="15" numFmtId="164" xfId="0" applyAlignment="1" applyBorder="1" applyFont="1" applyNumberFormat="1">
      <alignment horizontal="right" vertical="bottom"/>
    </xf>
    <xf borderId="1" fillId="0" fontId="64" numFmtId="3" xfId="0" applyAlignment="1" applyBorder="1" applyFont="1" applyNumberFormat="1">
      <alignment horizontal="right"/>
    </xf>
    <xf borderId="1" fillId="0" fontId="26" numFmtId="3" xfId="0" applyAlignment="1" applyBorder="1" applyFont="1" applyNumberFormat="1">
      <alignment horizontal="right" shrinkToFit="0" wrapText="0"/>
    </xf>
    <xf borderId="10" fillId="0" fontId="52" numFmtId="3" xfId="0" applyAlignment="1" applyBorder="1" applyFont="1" applyNumberFormat="1">
      <alignment horizontal="right" shrinkToFit="0" wrapText="0"/>
    </xf>
    <xf borderId="9" fillId="0" fontId="52" numFmtId="3" xfId="0" applyAlignment="1" applyBorder="1" applyFont="1" applyNumberFormat="1">
      <alignment horizontal="right" shrinkToFit="0" wrapText="0"/>
    </xf>
    <xf borderId="1" fillId="0" fontId="65" numFmtId="0" xfId="0" applyAlignment="1" applyBorder="1" applyFont="1">
      <alignment shrinkToFit="0" vertical="bottom" wrapText="0"/>
    </xf>
    <xf borderId="1" fillId="0" fontId="65" numFmtId="3" xfId="0" applyAlignment="1" applyBorder="1" applyFont="1" applyNumberFormat="1">
      <alignment shrinkToFit="0" vertical="bottom" wrapText="0"/>
    </xf>
    <xf borderId="1" fillId="0" fontId="66" numFmtId="3" xfId="0" applyAlignment="1" applyBorder="1" applyFont="1" applyNumberFormat="1">
      <alignment shrinkToFit="0" vertical="bottom" wrapText="0"/>
    </xf>
    <xf borderId="1" fillId="0" fontId="67" numFmtId="0" xfId="0" applyAlignment="1" applyBorder="1" applyFont="1">
      <alignment shrinkToFit="0" vertical="bottom" wrapText="0"/>
    </xf>
    <xf borderId="11" fillId="0" fontId="57" numFmtId="3" xfId="0" applyAlignment="1" applyBorder="1" applyFont="1" applyNumberFormat="1">
      <alignment horizontal="right" shrinkToFit="0" wrapText="0"/>
    </xf>
    <xf borderId="1" fillId="18" fontId="11" numFmtId="0" xfId="0" applyAlignment="1" applyBorder="1" applyFill="1" applyFont="1">
      <alignment horizontal="center" shrinkToFit="0" vertical="center" wrapText="1"/>
    </xf>
    <xf borderId="2" fillId="18" fontId="14" numFmtId="3" xfId="0" applyAlignment="1" applyBorder="1" applyFill="1" applyFont="1" applyNumberFormat="1">
      <alignment horizontal="center" shrinkToFit="0" vertical="center" wrapText="1"/>
    </xf>
    <xf borderId="4" fillId="18" fontId="14" numFmtId="3" xfId="0" applyAlignment="1" applyBorder="1" applyFill="1" applyFont="1" applyNumberFormat="1">
      <alignment horizontal="center" shrinkToFit="0" vertical="center" wrapText="1"/>
    </xf>
    <xf borderId="4" fillId="18" fontId="12" numFmtId="3" xfId="0" applyAlignment="1" applyBorder="1" applyFill="1" applyFont="1" applyNumberFormat="1">
      <alignment horizontal="center" shrinkToFit="0" vertical="center" wrapText="1"/>
    </xf>
    <xf borderId="8" fillId="18" fontId="12" numFmtId="3" xfId="0" applyAlignment="1" applyBorder="1" applyFill="1" applyFont="1" applyNumberFormat="1">
      <alignment horizontal="center" shrinkToFit="0" vertical="center" wrapText="1"/>
    </xf>
    <xf borderId="1" fillId="18" fontId="11" numFmtId="3" xfId="0" applyAlignment="1" applyBorder="1" applyFill="1" applyFont="1" applyNumberFormat="1">
      <alignment horizontal="center" shrinkToFit="0" vertical="center" wrapText="1"/>
    </xf>
    <xf borderId="1" fillId="18" fontId="12" numFmtId="0" xfId="0" applyAlignment="1" applyBorder="1" applyFill="1" applyFont="1">
      <alignment horizontal="center" shrinkToFit="0" vertical="center" wrapText="1"/>
    </xf>
    <xf borderId="1" fillId="18" fontId="13" numFmtId="0" xfId="0" applyAlignment="1" applyBorder="1" applyFill="1" applyFont="1">
      <alignment horizontal="center" shrinkToFit="0" vertical="center" wrapText="1"/>
    </xf>
    <xf borderId="1" fillId="18" fontId="13" numFmtId="3" xfId="0" applyAlignment="1" applyBorder="1" applyFill="1" applyFont="1" applyNumberFormat="1">
      <alignment horizontal="center" shrinkToFit="0" vertical="center" wrapText="1"/>
    </xf>
    <xf borderId="0" fillId="18" fontId="13" numFmtId="0" xfId="0" applyAlignment="1" applyFill="1" applyFont="1">
      <alignment horizontal="center" shrinkToFit="0" vertical="center" wrapText="1"/>
    </xf>
    <xf borderId="0" fillId="10" fontId="15" numFmtId="3" xfId="0" applyAlignment="1" applyFill="1" applyFont="1" applyNumberFormat="1">
      <alignment horizontal="right"/>
    </xf>
    <xf borderId="1" fillId="18" fontId="62" numFmtId="0" xfId="0" applyAlignment="1" applyBorder="1" applyFill="1" applyFont="1">
      <alignment horizontal="center" shrinkToFit="0" vertical="center" wrapText="1"/>
    </xf>
    <xf borderId="1" fillId="18" fontId="68" numFmtId="0" xfId="0" applyAlignment="1" applyBorder="1" applyFill="1" applyFont="1">
      <alignment horizontal="center" shrinkToFit="0" vertical="center" wrapText="1"/>
    </xf>
    <xf borderId="1" fillId="18" fontId="62" numFmtId="3" xfId="0" applyAlignment="1" applyBorder="1" applyFill="1" applyFont="1" applyNumberFormat="1">
      <alignment horizontal="center" shrinkToFit="0" vertical="center" wrapText="1"/>
    </xf>
    <xf borderId="1" fillId="0" fontId="69" numFmtId="3" xfId="0" applyBorder="1" applyFont="1" applyNumberFormat="1"/>
    <xf borderId="1" fillId="0" fontId="70" numFmtId="3" xfId="0" applyBorder="1" applyFont="1" applyNumberFormat="1"/>
    <xf borderId="1" fillId="0" fontId="15" numFmtId="3" xfId="0" applyBorder="1" applyFont="1" applyNumberFormat="1"/>
    <xf borderId="1" fillId="0" fontId="2" numFmtId="164" xfId="0" applyAlignment="1" applyBorder="1" applyFont="1" applyNumberFormat="1">
      <alignment vertical="bottom"/>
    </xf>
    <xf borderId="1" fillId="0" fontId="55" numFmtId="3" xfId="0" applyAlignment="1" applyBorder="1" applyFont="1" applyNumberFormat="1">
      <alignment shrinkToFit="0" vertical="bottom" wrapText="0"/>
    </xf>
    <xf borderId="1" fillId="0" fontId="71" numFmtId="3" xfId="0" applyAlignment="1" applyBorder="1" applyFont="1" applyNumberFormat="1">
      <alignment shrinkToFit="0" vertical="bottom" wrapText="0"/>
    </xf>
    <xf borderId="1" fillId="0" fontId="72" numFmtId="3" xfId="0" applyAlignment="1" applyBorder="1" applyFont="1" applyNumberFormat="1">
      <alignment shrinkToFit="0" vertical="bottom" wrapText="0"/>
    </xf>
    <xf borderId="12" fillId="0" fontId="57" numFmtId="3" xfId="0" applyAlignment="1" applyBorder="1" applyFont="1" applyNumberFormat="1">
      <alignment horizontal="center" shrinkToFit="0" vertical="bottom" wrapText="0"/>
    </xf>
    <xf borderId="6" fillId="0" fontId="53" numFmtId="3" xfId="0" applyAlignment="1" applyBorder="1" applyFont="1" applyNumberForma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47.13"/>
    <col customWidth="1" min="2" max="2" width="13.5"/>
    <col customWidth="1" min="3" max="3" width="16.75"/>
    <col customWidth="1" min="4" max="4" width="20.5"/>
    <col customWidth="1" min="5" max="5" width="16.0"/>
    <col customWidth="1" min="6" max="6" width="15.88"/>
    <col customWidth="1" min="7" max="7" width="14.25"/>
    <col customWidth="1" min="8" max="8" width="18.0"/>
    <col customWidth="1" min="9" max="9" width="14.88"/>
    <col customWidth="1" min="10" max="10" width="14.0"/>
    <col customWidth="1" min="12" max="12" width="17.63"/>
    <col customWidth="1" min="13" max="13" width="14.0"/>
    <col customWidth="1" min="14" max="14" width="15.0"/>
    <col customWidth="1" min="15" max="15" width="16.63"/>
    <col customWidth="1" min="16" max="16" width="13.88"/>
    <col customWidth="1" min="18" max="18" width="16.25"/>
    <col customWidth="1" min="19" max="19" width="16.88"/>
    <col customWidth="1" min="20" max="20" width="17.63"/>
    <col customWidth="1" min="21" max="21" width="17.88"/>
    <col customWidth="1" min="22" max="22" width="15.63"/>
    <col customWidth="1" min="23" max="23" width="25.0"/>
    <col customWidth="1" min="24" max="24" width="17.13"/>
    <col customWidth="1" min="25" max="25" width="15.75"/>
    <col customWidth="1" min="26" max="27" width="18.38"/>
    <col customWidth="1" min="30" max="30" width="16.75"/>
    <col customWidth="1" min="35" max="35" width="14.5"/>
    <col customWidth="1" min="40" max="40" width="18.13"/>
    <col customWidth="1" min="41" max="41" width="13.38"/>
    <col customWidth="1" min="43" max="43" width="14.63"/>
    <col customWidth="1" min="48" max="49" width="13.63"/>
    <col customWidth="1" min="53" max="53" width="13.63"/>
    <col customWidth="1" min="63" max="63" width="13.5"/>
    <col customWidth="1" min="64" max="64" width="13.63"/>
    <col customWidth="1" min="66" max="66" width="14.13"/>
    <col customWidth="1" min="72" max="72" width="13.63"/>
    <col customWidth="1" min="81" max="81" width="13.63"/>
    <col customWidth="1" min="82" max="82" width="14.0"/>
    <col customWidth="1" min="85" max="85" width="24.0"/>
    <col customWidth="1" min="86" max="86" width="14.0"/>
    <col customWidth="1" min="87" max="87" width="11.5"/>
    <col customWidth="1" min="88" max="88" width="12.25"/>
    <col customWidth="1" min="89" max="89" width="23.0"/>
    <col customWidth="1" min="91" max="91" width="18.63"/>
    <col customWidth="1" min="92" max="92" width="13.75"/>
    <col customWidth="1" min="93" max="94" width="19.75"/>
    <col customWidth="1" min="95" max="96" width="16.88"/>
    <col customWidth="1" min="97" max="97" width="13.75"/>
    <col customWidth="1" min="98" max="98" width="18.63"/>
    <col customWidth="1" min="99" max="99" width="12.25"/>
    <col customWidth="1" min="100" max="100" width="19.5"/>
    <col customWidth="1" min="101" max="101" width="12.25"/>
    <col customWidth="1" min="102" max="102" width="17.38"/>
    <col customWidth="1" min="103" max="103" width="22.88"/>
    <col customWidth="1" min="104" max="104" width="18.38"/>
    <col customWidth="1" min="105" max="105" width="38.75"/>
    <col customWidth="1" min="106" max="106" width="25.63"/>
    <col customWidth="1" min="107" max="107" width="30.88"/>
    <col customWidth="1" min="108" max="108" width="29.5"/>
    <col customWidth="1" min="109" max="109" width="45.0"/>
    <col customWidth="1" min="110" max="110" width="47.25"/>
    <col customWidth="1" min="111" max="111" width="27.63"/>
    <col customWidth="1" min="112" max="112" width="13.13"/>
    <col customWidth="1" min="113" max="113" width="11.5"/>
    <col customWidth="1" min="114" max="114" width="49.25"/>
    <col customWidth="1" min="115" max="115" width="21.63"/>
    <col customWidth="1" min="116" max="116" width="24.13"/>
    <col customWidth="1" min="117" max="117" width="24.25"/>
    <col customWidth="1" min="122" max="122" width="26.5"/>
    <col customWidth="1" min="123" max="124" width="17.25"/>
    <col customWidth="1" min="125" max="125" width="14.0"/>
    <col customWidth="1" min="126" max="126" width="14.25"/>
    <col customWidth="1" min="128" max="128" width="23.38"/>
    <col customWidth="1" min="129" max="129" width="18.5"/>
    <col customWidth="1" min="130" max="131" width="27.25"/>
    <col customWidth="1" min="132" max="135" width="20.0"/>
    <col customWidth="1" min="136" max="136" width="24.25"/>
    <col customWidth="1" min="137" max="141" width="26.5"/>
    <col customWidth="1" min="142" max="142" width="34.5"/>
    <col customWidth="1" min="143" max="143" width="27.88"/>
    <col customWidth="1" min="144" max="144" width="26.75"/>
    <col customWidth="1" min="145" max="145" width="19.13"/>
    <col customWidth="1" min="146" max="146" width="17.38"/>
    <col customWidth="1" min="147" max="148" width="23.88"/>
    <col customWidth="1" min="149" max="149" width="25.0"/>
    <col customWidth="1" min="150" max="150" width="24.75"/>
    <col customWidth="1" min="151" max="151" width="45.38"/>
    <col customWidth="1" min="152" max="152" width="30.38"/>
    <col customWidth="1" min="153" max="153" width="26.25"/>
    <col customWidth="1" min="154" max="154" width="22.75"/>
    <col customWidth="1" min="155" max="155" width="18.25"/>
    <col customWidth="1" min="156" max="156" width="28.38"/>
    <col customWidth="1" min="157" max="157" width="30.5"/>
    <col customWidth="1" min="158" max="158" width="16.75"/>
    <col customWidth="1" min="159" max="159" width="28.88"/>
    <col customWidth="1" min="160" max="160" width="28.0"/>
    <col customWidth="1" min="161" max="161" width="22.88"/>
    <col customWidth="1" min="162" max="163" width="21.75"/>
    <col customWidth="1" min="164" max="165" width="17.25"/>
    <col customWidth="1" min="166" max="166" width="13.38"/>
    <col customWidth="1" min="167" max="170" width="22.0"/>
    <col customWidth="1" min="171" max="171" width="13.25"/>
    <col customWidth="1" min="172" max="172" width="15.5"/>
    <col customWidth="1" min="173" max="174" width="13.0"/>
    <col customWidth="1" min="175" max="178" width="21.63"/>
    <col customWidth="1" min="179" max="179" width="28.38"/>
    <col customWidth="1" min="180" max="182" width="29.75"/>
    <col customWidth="1" min="183" max="183" width="35.75"/>
    <col customWidth="1" min="184" max="184" width="23.25"/>
    <col customWidth="1" min="185" max="185" width="23.75"/>
    <col customWidth="1" min="186" max="186" width="24.13"/>
    <col customWidth="1" min="187" max="187" width="30.0"/>
    <col customWidth="1" min="188" max="188" width="39.5"/>
    <col customWidth="1" min="189" max="189" width="23.63"/>
    <col customWidth="1" min="190" max="190" width="21.63"/>
    <col customWidth="1" min="191" max="193" width="24.38"/>
    <col customWidth="1" min="194" max="194" width="25.38"/>
    <col customWidth="1" min="195" max="195" width="24.38"/>
    <col customWidth="1" min="197" max="197" width="28.63"/>
    <col customWidth="1" min="198" max="198" width="24.25"/>
    <col customWidth="1" min="199" max="199" width="13.25"/>
    <col customWidth="1" min="200" max="200" width="19.25"/>
    <col customWidth="1" min="201" max="201" width="21.88"/>
    <col customWidth="1" min="202" max="202" width="11.38"/>
    <col customWidth="1" min="203" max="203" width="23.75"/>
    <col customWidth="1" min="204" max="204" width="28.13"/>
    <col customWidth="1" min="205" max="205" width="30.0"/>
    <col customWidth="1" min="206" max="206" width="23.13"/>
    <col customWidth="1" min="207" max="207" width="13.38"/>
    <col customWidth="1" min="208" max="208" width="18.5"/>
    <col customWidth="1" min="209" max="209" width="21.25"/>
    <col customWidth="1" min="210" max="210" width="23.88"/>
    <col customWidth="1" min="211" max="211" width="14.88"/>
    <col customWidth="1" min="212" max="215" width="22.63"/>
    <col customWidth="1" min="216" max="216" width="21.0"/>
    <col customWidth="1" min="217" max="217" width="25.75"/>
    <col customWidth="1" min="218" max="218" width="23.0"/>
    <col customWidth="1" min="219" max="219" width="31.13"/>
    <col customWidth="1" min="220" max="220" width="23.75"/>
    <col customWidth="1" min="221" max="222" width="21.25"/>
    <col customWidth="1" min="223" max="223" width="30.5"/>
    <col customWidth="1" min="224" max="224" width="15.13"/>
    <col customWidth="1" min="225" max="225" width="24.38"/>
    <col customWidth="1" min="226" max="226" width="23.5"/>
    <col customWidth="1" min="227" max="227" width="19.38"/>
    <col customWidth="1" min="228" max="228" width="13.63"/>
    <col customWidth="1" min="229" max="229" width="20.13"/>
    <col customWidth="1" min="230" max="230" width="10.75"/>
    <col customWidth="1" min="231" max="232" width="21.75"/>
    <col customWidth="1" min="233" max="233" width="14.0"/>
    <col customWidth="1" min="234" max="234" width="15.75"/>
    <col customWidth="1" min="235" max="235" width="18.0"/>
    <col customWidth="1" min="236" max="236" width="19.13"/>
    <col customWidth="1" min="237" max="237" width="29.75"/>
    <col customWidth="1" min="238" max="238" width="29.63"/>
    <col customWidth="1" min="239" max="239" width="16.0"/>
    <col customWidth="1" min="240" max="240" width="17.5"/>
    <col customWidth="1" min="241" max="241" width="19.13"/>
    <col customWidth="1" min="242" max="242" width="16.25"/>
    <col customWidth="1" min="243" max="243" width="21.88"/>
    <col customWidth="1" min="244" max="244" width="19.5"/>
    <col customWidth="1" min="245" max="247" width="16.25"/>
    <col customWidth="1" min="248" max="251" width="23.75"/>
    <col customWidth="1" min="252" max="262" width="33.63"/>
    <col customWidth="1" min="263" max="265" width="26.25"/>
    <col customWidth="1" min="266" max="268" width="22.13"/>
    <col customWidth="1" min="269" max="271" width="19.0"/>
    <col customWidth="1" min="272" max="272" width="26.25"/>
    <col customWidth="1" min="273" max="273" width="19.0"/>
    <col customWidth="1" min="274" max="274" width="16.13"/>
    <col customWidth="1" min="275" max="275" width="25.13"/>
    <col customWidth="1" min="276" max="276" width="15.25"/>
    <col customWidth="1" min="277" max="277" width="29.38"/>
    <col customWidth="1" min="278" max="279" width="24.88"/>
    <col customWidth="1" min="280" max="280" width="29.75"/>
    <col customWidth="1" min="282" max="282" width="31.88"/>
    <col customWidth="1" min="283" max="283" width="24.25"/>
    <col customWidth="1" min="284" max="284" width="10.88"/>
    <col customWidth="1" min="285" max="285" width="12.38"/>
    <col customWidth="1" min="286" max="286" width="31.75"/>
    <col customWidth="1" min="288" max="288" width="17.75"/>
    <col customWidth="1" min="289" max="289" width="15.0"/>
    <col customWidth="1" min="290" max="290" width="15.5"/>
    <col customWidth="1" min="292" max="292" width="11.88"/>
    <col customWidth="1" min="293" max="293" width="17.63"/>
    <col customWidth="1" min="294" max="294" width="20.13"/>
    <col customWidth="1" min="295" max="297" width="23.75"/>
    <col customWidth="1" min="298" max="299" width="19.75"/>
    <col customWidth="1" min="300" max="300" width="15.88"/>
    <col customWidth="1" min="301" max="301" width="20.13"/>
    <col customWidth="1" min="302" max="302" width="19.38"/>
    <col customWidth="1" min="303" max="303" width="14.0"/>
    <col customWidth="1" min="304" max="304" width="18.25"/>
    <col customWidth="1" min="305" max="306" width="23.88"/>
    <col customWidth="1" min="307" max="308" width="20.88"/>
    <col customWidth="1" min="309" max="309" width="16.0"/>
    <col customWidth="1" min="310" max="315" width="30.0"/>
    <col customWidth="1" min="316" max="316" width="24.63"/>
    <col customWidth="1" min="317" max="317" width="21.75"/>
    <col customWidth="1" min="319" max="319" width="18.5"/>
    <col customWidth="1" min="320" max="320" width="20.13"/>
    <col customWidth="1" min="321" max="323" width="20.63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</row>
    <row r="2">
      <c r="A2" s="20" t="s">
        <v>10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2"/>
      <c r="W2" s="21"/>
      <c r="X2" s="21"/>
      <c r="Y2" s="21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</row>
    <row r="3">
      <c r="A3" s="24"/>
      <c r="B3" s="4"/>
      <c r="C3" s="25"/>
      <c r="D3" s="25"/>
      <c r="E3" s="25"/>
      <c r="F3" s="25"/>
      <c r="G3" s="25"/>
      <c r="H3" s="2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</row>
    <row r="4">
      <c r="A4" s="24"/>
      <c r="B4" s="4"/>
      <c r="C4" s="4"/>
      <c r="D4" s="4"/>
      <c r="E4" s="4"/>
      <c r="F4" s="25"/>
      <c r="G4" s="4"/>
      <c r="H4" s="25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</row>
    <row r="5">
      <c r="A5" s="29" t="s">
        <v>14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1"/>
      <c r="W5" s="30"/>
      <c r="X5" s="30"/>
      <c r="Y5" s="30"/>
      <c r="Z5" s="30"/>
      <c r="AA5" s="30"/>
      <c r="AB5" s="32" t="s">
        <v>15</v>
      </c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0"/>
      <c r="CF5" s="29" t="s">
        <v>16</v>
      </c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2" t="s">
        <v>17</v>
      </c>
      <c r="DR5" s="32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</row>
    <row r="6" ht="59.25" customHeight="1">
      <c r="A6" s="34"/>
      <c r="B6" s="35" t="s">
        <v>19</v>
      </c>
      <c r="C6" s="35" t="s">
        <v>20</v>
      </c>
      <c r="D6" s="35" t="s">
        <v>21</v>
      </c>
      <c r="E6" s="35" t="s">
        <v>22</v>
      </c>
      <c r="F6" s="35" t="s">
        <v>23</v>
      </c>
      <c r="G6" s="35" t="s">
        <v>24</v>
      </c>
      <c r="H6" s="35" t="s">
        <v>25</v>
      </c>
      <c r="I6" s="35" t="s">
        <v>26</v>
      </c>
      <c r="J6" s="35" t="s">
        <v>27</v>
      </c>
      <c r="K6" s="35" t="s">
        <v>28</v>
      </c>
      <c r="L6" s="35" t="s">
        <v>29</v>
      </c>
      <c r="M6" s="35" t="s">
        <v>30</v>
      </c>
      <c r="N6" s="35" t="s">
        <v>31</v>
      </c>
      <c r="O6" s="34"/>
      <c r="P6" s="35" t="s">
        <v>32</v>
      </c>
      <c r="Q6" s="35" t="s">
        <v>33</v>
      </c>
      <c r="R6" s="35" t="s">
        <v>34</v>
      </c>
      <c r="S6" s="35" t="s">
        <v>35</v>
      </c>
      <c r="T6" s="35" t="s">
        <v>36</v>
      </c>
      <c r="U6" s="35" t="s">
        <v>37</v>
      </c>
      <c r="V6" s="36" t="s">
        <v>38</v>
      </c>
      <c r="W6" s="35" t="s">
        <v>39</v>
      </c>
      <c r="X6" s="35" t="s">
        <v>40</v>
      </c>
      <c r="Y6" s="37"/>
      <c r="AB6" s="38" t="s">
        <v>41</v>
      </c>
      <c r="AC6" s="38" t="s">
        <v>42</v>
      </c>
      <c r="AD6" s="38" t="s">
        <v>43</v>
      </c>
      <c r="AE6" s="38" t="s">
        <v>44</v>
      </c>
      <c r="AF6" s="38" t="s">
        <v>45</v>
      </c>
      <c r="AG6" s="38" t="s">
        <v>46</v>
      </c>
      <c r="AH6" s="38" t="s">
        <v>47</v>
      </c>
      <c r="AI6" s="38" t="s">
        <v>48</v>
      </c>
      <c r="AJ6" s="38" t="s">
        <v>49</v>
      </c>
      <c r="AK6" s="38" t="s">
        <v>50</v>
      </c>
      <c r="AL6" s="38" t="s">
        <v>51</v>
      </c>
      <c r="AM6" s="38" t="s">
        <v>52</v>
      </c>
      <c r="AN6" s="38" t="s">
        <v>53</v>
      </c>
      <c r="AO6" s="38" t="s">
        <v>54</v>
      </c>
      <c r="AP6" s="38" t="s">
        <v>55</v>
      </c>
      <c r="AQ6" s="38" t="s">
        <v>56</v>
      </c>
      <c r="AR6" s="38" t="s">
        <v>57</v>
      </c>
      <c r="AS6" s="38"/>
      <c r="AT6" s="38"/>
      <c r="AU6" s="38" t="s">
        <v>58</v>
      </c>
      <c r="AV6" s="38" t="s">
        <v>59</v>
      </c>
      <c r="AW6" s="38" t="s">
        <v>60</v>
      </c>
      <c r="AX6" s="38"/>
      <c r="AY6" s="38" t="s">
        <v>61</v>
      </c>
      <c r="AZ6" s="38" t="s">
        <v>62</v>
      </c>
      <c r="BA6" s="38" t="s">
        <v>63</v>
      </c>
      <c r="BB6" s="38"/>
      <c r="BC6" s="38" t="s">
        <v>64</v>
      </c>
      <c r="BD6" s="40" t="s">
        <v>65</v>
      </c>
      <c r="BE6" s="38" t="s">
        <v>66</v>
      </c>
      <c r="BF6" s="38" t="s">
        <v>67</v>
      </c>
      <c r="BG6" s="38"/>
      <c r="BH6" s="38"/>
      <c r="BI6" s="38" t="s">
        <v>68</v>
      </c>
      <c r="BJ6" s="38" t="s">
        <v>69</v>
      </c>
      <c r="BK6" s="38" t="s">
        <v>70</v>
      </c>
      <c r="BL6" s="38" t="s">
        <v>71</v>
      </c>
      <c r="BM6" s="38" t="s">
        <v>72</v>
      </c>
      <c r="BN6" s="38" t="s">
        <v>73</v>
      </c>
      <c r="BO6" s="38" t="s">
        <v>74</v>
      </c>
      <c r="BP6" s="38" t="s">
        <v>75</v>
      </c>
      <c r="BQ6" s="38" t="s">
        <v>76</v>
      </c>
      <c r="BR6" s="38" t="s">
        <v>77</v>
      </c>
      <c r="BS6" s="38" t="s">
        <v>78</v>
      </c>
      <c r="BT6" s="38" t="s">
        <v>79</v>
      </c>
      <c r="BU6" s="38" t="s">
        <v>80</v>
      </c>
      <c r="BV6" s="38" t="s">
        <v>81</v>
      </c>
      <c r="BW6" s="38" t="s">
        <v>82</v>
      </c>
      <c r="BX6" s="38" t="s">
        <v>83</v>
      </c>
      <c r="BY6" s="38" t="s">
        <v>84</v>
      </c>
      <c r="BZ6" s="38" t="s">
        <v>85</v>
      </c>
      <c r="CA6" s="38" t="s">
        <v>86</v>
      </c>
      <c r="CB6" s="38" t="s">
        <v>87</v>
      </c>
      <c r="CC6" s="38" t="s">
        <v>88</v>
      </c>
      <c r="CD6" s="38" t="s">
        <v>89</v>
      </c>
      <c r="CF6" s="41"/>
      <c r="CG6" s="41" t="s">
        <v>90</v>
      </c>
      <c r="CH6" s="41" t="s">
        <v>91</v>
      </c>
      <c r="CI6" s="41" t="s">
        <v>92</v>
      </c>
      <c r="CJ6" s="41" t="s">
        <v>93</v>
      </c>
      <c r="CK6" s="41" t="s">
        <v>94</v>
      </c>
      <c r="CL6" s="41"/>
      <c r="CM6" s="41" t="s">
        <v>95</v>
      </c>
      <c r="CN6" s="41" t="s">
        <v>96</v>
      </c>
      <c r="CO6" s="41" t="s">
        <v>45</v>
      </c>
      <c r="CP6" s="41" t="s">
        <v>97</v>
      </c>
      <c r="CQ6" s="41" t="s">
        <v>98</v>
      </c>
      <c r="CR6" s="41" t="s">
        <v>99</v>
      </c>
      <c r="CS6" s="41" t="s">
        <v>48</v>
      </c>
      <c r="CT6" s="41" t="s">
        <v>100</v>
      </c>
      <c r="CU6" s="41" t="s">
        <v>101</v>
      </c>
      <c r="CV6" s="41" t="s">
        <v>102</v>
      </c>
      <c r="CW6" s="41" t="s">
        <v>103</v>
      </c>
      <c r="CX6" s="41" t="s">
        <v>67</v>
      </c>
      <c r="CY6" s="41" t="s">
        <v>104</v>
      </c>
      <c r="CZ6" s="41" t="s">
        <v>105</v>
      </c>
      <c r="DA6" s="41" t="s">
        <v>107</v>
      </c>
      <c r="DB6" s="41" t="s">
        <v>108</v>
      </c>
      <c r="DC6" s="41" t="s">
        <v>109</v>
      </c>
      <c r="DD6" s="41" t="s">
        <v>110</v>
      </c>
      <c r="DE6" s="41" t="s">
        <v>111</v>
      </c>
      <c r="DF6" s="41" t="s">
        <v>112</v>
      </c>
      <c r="DG6" s="41" t="s">
        <v>113</v>
      </c>
      <c r="DH6" s="41" t="s">
        <v>114</v>
      </c>
      <c r="DI6" s="41" t="s">
        <v>115</v>
      </c>
      <c r="DJ6" s="41" t="s">
        <v>116</v>
      </c>
      <c r="DK6" s="41" t="s">
        <v>117</v>
      </c>
      <c r="DL6" s="41" t="s">
        <v>118</v>
      </c>
      <c r="DM6" s="41" t="s">
        <v>119</v>
      </c>
      <c r="DQ6" s="43"/>
      <c r="DR6" s="43" t="s">
        <v>19</v>
      </c>
      <c r="DS6" s="43"/>
      <c r="DT6" s="43" t="s">
        <v>120</v>
      </c>
      <c r="DU6" s="43" t="s">
        <v>121</v>
      </c>
      <c r="DV6" s="43" t="s">
        <v>122</v>
      </c>
      <c r="DW6" s="43"/>
      <c r="DX6" s="43" t="s">
        <v>123</v>
      </c>
      <c r="DY6" s="43" t="s">
        <v>124</v>
      </c>
      <c r="DZ6" s="44" t="s">
        <v>125</v>
      </c>
      <c r="EA6" s="43" t="s">
        <v>126</v>
      </c>
      <c r="EB6" s="43"/>
      <c r="EC6" s="43"/>
      <c r="ED6" s="43"/>
      <c r="EE6" s="43" t="s">
        <v>127</v>
      </c>
      <c r="EF6" s="43" t="s">
        <v>128</v>
      </c>
      <c r="EG6" s="43" t="s">
        <v>129</v>
      </c>
      <c r="EH6" s="43" t="s">
        <v>130</v>
      </c>
      <c r="EI6" s="43" t="s">
        <v>131</v>
      </c>
      <c r="EJ6" s="43" t="s">
        <v>132</v>
      </c>
      <c r="EK6" s="43" t="s">
        <v>133</v>
      </c>
      <c r="EL6" s="43" t="s">
        <v>134</v>
      </c>
      <c r="EM6" s="43" t="s">
        <v>135</v>
      </c>
      <c r="EN6" s="43"/>
      <c r="EO6" s="43" t="s">
        <v>136</v>
      </c>
      <c r="EP6" s="43" t="s">
        <v>137</v>
      </c>
      <c r="EQ6" s="43" t="s">
        <v>138</v>
      </c>
      <c r="ER6" s="43" t="s">
        <v>139</v>
      </c>
      <c r="ES6" s="43" t="s">
        <v>140</v>
      </c>
      <c r="ET6" s="43" t="s">
        <v>141</v>
      </c>
      <c r="EU6" s="43" t="s">
        <v>142</v>
      </c>
      <c r="EV6" s="43" t="s">
        <v>143</v>
      </c>
      <c r="EW6" s="43" t="s">
        <v>144</v>
      </c>
      <c r="EX6" s="43" t="s">
        <v>145</v>
      </c>
      <c r="EY6" s="43" t="s">
        <v>146</v>
      </c>
      <c r="EZ6" s="43" t="s">
        <v>147</v>
      </c>
      <c r="FA6" s="43" t="s">
        <v>148</v>
      </c>
      <c r="FB6" s="43"/>
      <c r="FC6" s="43" t="s">
        <v>149</v>
      </c>
      <c r="FD6" s="43" t="s">
        <v>151</v>
      </c>
      <c r="FE6" s="43"/>
      <c r="FF6" s="43" t="s">
        <v>152</v>
      </c>
      <c r="FG6" s="43" t="s">
        <v>153</v>
      </c>
      <c r="FH6" s="43"/>
      <c r="FI6" s="43" t="s">
        <v>154</v>
      </c>
      <c r="FJ6" s="43" t="s">
        <v>155</v>
      </c>
      <c r="FK6" s="44" t="s">
        <v>156</v>
      </c>
      <c r="FL6" s="44" t="s">
        <v>157</v>
      </c>
      <c r="FM6" s="44" t="s">
        <v>158</v>
      </c>
      <c r="FN6" s="43" t="s">
        <v>159</v>
      </c>
      <c r="FO6" s="43" t="s">
        <v>160</v>
      </c>
      <c r="FP6" s="43"/>
      <c r="FQ6" s="43" t="s">
        <v>161</v>
      </c>
      <c r="FR6" s="43" t="s">
        <v>162</v>
      </c>
      <c r="FS6" s="43"/>
      <c r="FT6" s="43"/>
      <c r="FU6" s="43"/>
      <c r="FV6" s="43" t="s">
        <v>163</v>
      </c>
      <c r="FW6" s="43" t="s">
        <v>164</v>
      </c>
      <c r="FX6" s="46" t="s">
        <v>165</v>
      </c>
      <c r="FY6" s="43"/>
      <c r="FZ6" s="43" t="s">
        <v>167</v>
      </c>
      <c r="GA6" s="43" t="s">
        <v>168</v>
      </c>
      <c r="GB6" s="43" t="s">
        <v>169</v>
      </c>
      <c r="GC6" s="43" t="s">
        <v>170</v>
      </c>
      <c r="GD6" s="43" t="s">
        <v>171</v>
      </c>
      <c r="GE6" s="43" t="s">
        <v>172</v>
      </c>
      <c r="GF6" s="43" t="s">
        <v>173</v>
      </c>
      <c r="GG6" s="43" t="s">
        <v>174</v>
      </c>
      <c r="GH6" s="43" t="s">
        <v>175</v>
      </c>
      <c r="GI6" s="43" t="s">
        <v>176</v>
      </c>
      <c r="GJ6" s="47" t="s">
        <v>177</v>
      </c>
      <c r="GK6" s="43" t="s">
        <v>178</v>
      </c>
      <c r="GL6" s="43" t="s">
        <v>179</v>
      </c>
      <c r="GM6" s="43" t="s">
        <v>180</v>
      </c>
      <c r="GN6" s="43"/>
      <c r="GO6" s="43" t="s">
        <v>181</v>
      </c>
      <c r="GP6" s="43"/>
      <c r="GQ6" s="43" t="s">
        <v>182</v>
      </c>
      <c r="GR6" s="43" t="s">
        <v>183</v>
      </c>
      <c r="GS6" s="43" t="s">
        <v>184</v>
      </c>
      <c r="GT6" s="43" t="s">
        <v>185</v>
      </c>
      <c r="GU6" s="43" t="s">
        <v>186</v>
      </c>
      <c r="GV6" s="43" t="s">
        <v>187</v>
      </c>
      <c r="GW6" s="43" t="s">
        <v>188</v>
      </c>
      <c r="GX6" s="43" t="s">
        <v>189</v>
      </c>
      <c r="GY6" s="43" t="s">
        <v>190</v>
      </c>
      <c r="GZ6" s="43" t="s">
        <v>191</v>
      </c>
      <c r="HA6" s="43"/>
      <c r="HB6" s="43"/>
      <c r="HC6" s="43" t="s">
        <v>192</v>
      </c>
      <c r="HD6" s="47"/>
      <c r="HE6" s="47"/>
      <c r="HF6" s="47" t="s">
        <v>194</v>
      </c>
      <c r="HG6" s="43" t="s">
        <v>195</v>
      </c>
      <c r="HH6" s="43" t="s">
        <v>196</v>
      </c>
      <c r="HI6" s="43" t="s">
        <v>197</v>
      </c>
      <c r="HJ6" s="43" t="s">
        <v>198</v>
      </c>
      <c r="HK6" s="43" t="s">
        <v>199</v>
      </c>
      <c r="HL6" s="43" t="s">
        <v>200</v>
      </c>
      <c r="HM6" s="44" t="s">
        <v>201</v>
      </c>
      <c r="HN6" s="43" t="s">
        <v>202</v>
      </c>
      <c r="HO6" s="43" t="s">
        <v>203</v>
      </c>
      <c r="HP6" s="43" t="s">
        <v>204</v>
      </c>
      <c r="HQ6" s="43" t="s">
        <v>205</v>
      </c>
      <c r="HR6" s="43" t="s">
        <v>206</v>
      </c>
      <c r="HS6" s="43" t="s">
        <v>207</v>
      </c>
      <c r="HT6" s="43" t="s">
        <v>208</v>
      </c>
      <c r="HU6" s="43" t="s">
        <v>209</v>
      </c>
      <c r="HV6" s="43" t="s">
        <v>210</v>
      </c>
      <c r="HW6" s="43" t="s">
        <v>211</v>
      </c>
      <c r="HX6" s="43" t="s">
        <v>212</v>
      </c>
      <c r="HY6" s="43" t="s">
        <v>213</v>
      </c>
      <c r="HZ6" s="43" t="s">
        <v>214</v>
      </c>
      <c r="IA6" s="43" t="s">
        <v>215</v>
      </c>
      <c r="IB6" s="43" t="s">
        <v>216</v>
      </c>
      <c r="IC6" s="43" t="s">
        <v>217</v>
      </c>
      <c r="ID6" s="43" t="s">
        <v>218</v>
      </c>
      <c r="IE6" s="43" t="s">
        <v>219</v>
      </c>
      <c r="IF6" s="43" t="s">
        <v>220</v>
      </c>
      <c r="IG6" s="43" t="s">
        <v>221</v>
      </c>
      <c r="IH6" s="43" t="s">
        <v>222</v>
      </c>
      <c r="II6" s="43"/>
      <c r="IJ6" s="43"/>
      <c r="IK6" s="43" t="s">
        <v>223</v>
      </c>
      <c r="IL6" s="43" t="s">
        <v>224</v>
      </c>
      <c r="IM6" s="43" t="s">
        <v>225</v>
      </c>
      <c r="IN6" s="43" t="s">
        <v>226</v>
      </c>
      <c r="IO6" s="43" t="s">
        <v>228</v>
      </c>
      <c r="IP6" s="43" t="s">
        <v>229</v>
      </c>
      <c r="IQ6" s="43" t="s">
        <v>230</v>
      </c>
      <c r="IR6" s="44" t="s">
        <v>231</v>
      </c>
      <c r="IS6" s="43" t="s">
        <v>232</v>
      </c>
      <c r="IT6" s="43" t="s">
        <v>233</v>
      </c>
      <c r="IU6" s="43" t="s">
        <v>234</v>
      </c>
      <c r="IV6" s="43" t="s">
        <v>235</v>
      </c>
      <c r="IW6" s="43" t="s">
        <v>236</v>
      </c>
      <c r="IX6" s="43" t="s">
        <v>237</v>
      </c>
      <c r="IY6" s="44" t="s">
        <v>238</v>
      </c>
      <c r="IZ6" s="44" t="s">
        <v>239</v>
      </c>
      <c r="JA6" s="43" t="s">
        <v>240</v>
      </c>
      <c r="JB6" s="43" t="s">
        <v>241</v>
      </c>
      <c r="JC6" s="44" t="s">
        <v>242</v>
      </c>
      <c r="JD6" s="44" t="s">
        <v>243</v>
      </c>
      <c r="JE6" s="43" t="s">
        <v>244</v>
      </c>
      <c r="JF6" s="43"/>
      <c r="JG6" s="43"/>
      <c r="JH6" s="43" t="s">
        <v>245</v>
      </c>
      <c r="JI6" s="43" t="s">
        <v>246</v>
      </c>
      <c r="JJ6" s="44" t="s">
        <v>247</v>
      </c>
      <c r="JK6" s="43" t="s">
        <v>248</v>
      </c>
      <c r="JL6" s="43" t="s">
        <v>249</v>
      </c>
      <c r="JM6" s="43" t="s">
        <v>250</v>
      </c>
      <c r="JN6" s="43" t="s">
        <v>251</v>
      </c>
      <c r="JO6" s="43" t="s">
        <v>252</v>
      </c>
      <c r="JP6" s="43" t="s">
        <v>253</v>
      </c>
      <c r="JQ6" s="43" t="s">
        <v>254</v>
      </c>
      <c r="JR6" s="43" t="s">
        <v>255</v>
      </c>
      <c r="JS6" s="43" t="s">
        <v>256</v>
      </c>
      <c r="JT6" s="43" t="s">
        <v>257</v>
      </c>
      <c r="JU6" s="43"/>
      <c r="JV6" s="43" t="s">
        <v>258</v>
      </c>
      <c r="JW6" s="43" t="s">
        <v>259</v>
      </c>
      <c r="JX6" s="43" t="s">
        <v>260</v>
      </c>
      <c r="JY6" s="43" t="s">
        <v>261</v>
      </c>
      <c r="JZ6" s="43" t="s">
        <v>262</v>
      </c>
      <c r="KA6" s="43"/>
      <c r="KB6" s="43" t="s">
        <v>263</v>
      </c>
      <c r="KC6" s="43" t="s">
        <v>25</v>
      </c>
      <c r="KD6" s="43" t="s">
        <v>265</v>
      </c>
      <c r="KE6" s="43"/>
      <c r="KF6" s="43" t="s">
        <v>266</v>
      </c>
      <c r="KG6" s="43" t="s">
        <v>267</v>
      </c>
      <c r="KH6" s="43" t="s">
        <v>268</v>
      </c>
      <c r="KI6" s="43" t="s">
        <v>269</v>
      </c>
      <c r="KJ6" s="43" t="s">
        <v>270</v>
      </c>
      <c r="KK6" s="43" t="s">
        <v>271</v>
      </c>
      <c r="KL6" s="43" t="s">
        <v>272</v>
      </c>
      <c r="KM6" s="43" t="s">
        <v>273</v>
      </c>
      <c r="KN6" s="43" t="s">
        <v>274</v>
      </c>
      <c r="KO6" s="43"/>
      <c r="KP6" s="43" t="s">
        <v>275</v>
      </c>
      <c r="KQ6" s="43" t="s">
        <v>276</v>
      </c>
      <c r="KR6" s="43" t="s">
        <v>277</v>
      </c>
      <c r="KS6" s="43"/>
      <c r="KT6" s="43" t="s">
        <v>278</v>
      </c>
      <c r="KU6" s="43"/>
      <c r="KV6" s="43" t="s">
        <v>279</v>
      </c>
      <c r="KW6" s="43" t="s">
        <v>280</v>
      </c>
      <c r="KX6" s="43" t="s">
        <v>281</v>
      </c>
      <c r="KY6" s="43" t="s">
        <v>282</v>
      </c>
      <c r="KZ6" s="43" t="s">
        <v>283</v>
      </c>
      <c r="LA6" s="43"/>
      <c r="LB6" s="43" t="s">
        <v>284</v>
      </c>
      <c r="LC6" s="43" t="s">
        <v>285</v>
      </c>
      <c r="LD6" s="43"/>
      <c r="LE6" s="43" t="s">
        <v>286</v>
      </c>
      <c r="LF6" s="43"/>
      <c r="LG6" s="43" t="s">
        <v>287</v>
      </c>
      <c r="LH6" s="43" t="s">
        <v>33</v>
      </c>
      <c r="LI6" s="43" t="s">
        <v>288</v>
      </c>
      <c r="LJ6" s="43" t="s">
        <v>289</v>
      </c>
      <c r="LK6" s="43" t="s">
        <v>290</v>
      </c>
    </row>
    <row r="7">
      <c r="A7" s="49" t="s">
        <v>291</v>
      </c>
      <c r="B7" s="50">
        <v>2.2271442059E10</v>
      </c>
      <c r="C7" s="52">
        <v>1.4550282537E10</v>
      </c>
      <c r="D7" s="53">
        <v>7.721159523E9</v>
      </c>
      <c r="E7" s="50"/>
      <c r="F7" s="50">
        <v>2.811522986E9</v>
      </c>
      <c r="G7" s="50">
        <v>6.89993629E8</v>
      </c>
      <c r="H7" s="52">
        <v>8.52972E7</v>
      </c>
      <c r="I7" s="53">
        <v>3.586813815E9</v>
      </c>
      <c r="J7" s="53">
        <v>4.134345708E9</v>
      </c>
      <c r="K7" s="50"/>
      <c r="L7" s="50">
        <v>1.4972802E7</v>
      </c>
      <c r="M7" s="52">
        <v>1.999371672E9</v>
      </c>
      <c r="N7" s="54">
        <v>-1.98439887E9</v>
      </c>
      <c r="O7" s="50"/>
      <c r="P7" s="53">
        <v>2.149946838E9</v>
      </c>
      <c r="Q7" s="50">
        <v>686000.0</v>
      </c>
      <c r="R7" s="50"/>
      <c r="S7" s="54">
        <v>686000.0</v>
      </c>
      <c r="T7" s="53">
        <v>2.149260838E9</v>
      </c>
      <c r="U7" s="56"/>
      <c r="V7" s="57"/>
      <c r="W7" s="58">
        <v>0.0</v>
      </c>
      <c r="X7" s="59">
        <v>2.149260838E9</v>
      </c>
      <c r="Y7" s="27"/>
      <c r="AB7" s="27"/>
      <c r="AC7" s="27"/>
      <c r="AD7" s="28">
        <v>4.4214340653E10</v>
      </c>
      <c r="AE7" s="28">
        <v>4.4331095704E10</v>
      </c>
      <c r="AF7" s="28"/>
      <c r="AG7" s="28">
        <v>-3.25897486E8</v>
      </c>
      <c r="AH7" s="28">
        <v>1.0333743154E10</v>
      </c>
      <c r="AI7" s="28">
        <v>1.04300563162E11</v>
      </c>
      <c r="AJ7" s="27" t="s">
        <v>295</v>
      </c>
      <c r="AK7" s="28"/>
      <c r="AL7" s="28">
        <v>2.7470911203E10</v>
      </c>
      <c r="AM7" s="61">
        <v>1.2165949131E10</v>
      </c>
      <c r="AN7" s="62">
        <v>2.42490705521E11</v>
      </c>
      <c r="AO7" s="27"/>
      <c r="AP7" s="27" t="s">
        <v>295</v>
      </c>
      <c r="AQ7" s="28">
        <v>1.27315422381E11</v>
      </c>
      <c r="AR7" s="28">
        <v>6.707849388E9</v>
      </c>
      <c r="AS7" s="28"/>
      <c r="AT7" s="28"/>
      <c r="AU7" s="28">
        <v>1.712002768E9</v>
      </c>
      <c r="AV7" s="63">
        <v>1.35735274537E11</v>
      </c>
      <c r="AW7" s="62">
        <v>3.78225980058E11</v>
      </c>
      <c r="AX7" s="27"/>
      <c r="AY7" s="27"/>
      <c r="AZ7" s="27"/>
      <c r="BA7" s="28">
        <v>2.1736710978E10</v>
      </c>
      <c r="BB7" s="27"/>
      <c r="BC7" s="27" t="s">
        <v>295</v>
      </c>
      <c r="BD7" s="27" t="s">
        <v>295</v>
      </c>
      <c r="BE7" s="28">
        <v>5.705977764E9</v>
      </c>
      <c r="BF7" s="28">
        <v>9.760447198E9</v>
      </c>
      <c r="BG7" s="28"/>
      <c r="BH7" s="28"/>
      <c r="BI7" s="28">
        <v>1.45767226E8</v>
      </c>
      <c r="BJ7" s="27" t="s">
        <v>295</v>
      </c>
      <c r="BK7" s="61">
        <v>1.98250150994E11</v>
      </c>
      <c r="BL7" s="62">
        <v>2.35599054161E11</v>
      </c>
      <c r="BM7" s="27"/>
      <c r="BN7" s="28">
        <v>1.0372247233E10</v>
      </c>
      <c r="BO7" s="27" t="s">
        <v>295</v>
      </c>
      <c r="BP7" s="27"/>
      <c r="BQ7" s="28">
        <v>5.424840824E9</v>
      </c>
      <c r="BR7" s="27" t="s">
        <v>295</v>
      </c>
      <c r="BS7" s="63">
        <v>1.5797088057E10</v>
      </c>
      <c r="BT7" s="62">
        <v>2.51396142218E11</v>
      </c>
      <c r="BU7" s="27"/>
      <c r="BV7" s="28">
        <v>6.8245E10</v>
      </c>
      <c r="BW7" s="27" t="s">
        <v>295</v>
      </c>
      <c r="BX7" s="28">
        <v>2.162513125E9</v>
      </c>
      <c r="BY7" s="28">
        <v>5.3985061075E10</v>
      </c>
      <c r="BZ7" s="28">
        <v>-5.4180596E8</v>
      </c>
      <c r="CA7" s="27" t="s">
        <v>295</v>
      </c>
      <c r="CB7" s="28">
        <v>2.9790696E9</v>
      </c>
      <c r="CC7" s="62">
        <v>1.26829837839E11</v>
      </c>
      <c r="CD7" s="63">
        <v>3.78225980058E11</v>
      </c>
      <c r="CF7" s="49" t="s">
        <v>291</v>
      </c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P7" s="64"/>
      <c r="DQ7" s="49" t="s">
        <v>291</v>
      </c>
      <c r="DR7" s="28">
        <v>2.2321496113E10</v>
      </c>
      <c r="DS7" s="28"/>
      <c r="DT7" s="28">
        <v>-4.9804054E7</v>
      </c>
      <c r="DU7" s="28">
        <v>-250000.0</v>
      </c>
      <c r="DV7" s="62">
        <v>2.2271442059E10</v>
      </c>
      <c r="DW7" s="27"/>
      <c r="DX7" s="27"/>
      <c r="DY7" s="28"/>
      <c r="DZ7" s="28">
        <v>1.1233807019E10</v>
      </c>
      <c r="EA7" s="28">
        <v>4.19236E8</v>
      </c>
      <c r="EB7" s="28"/>
      <c r="EC7" s="28"/>
      <c r="ED7" s="28"/>
      <c r="EE7" s="28">
        <v>2.22361613E8</v>
      </c>
      <c r="EF7" s="28">
        <v>175478.0</v>
      </c>
      <c r="EG7" s="28">
        <v>3802702.0</v>
      </c>
      <c r="EH7" s="28">
        <v>3154533.0</v>
      </c>
      <c r="EI7" s="28">
        <v>1.9358144E7</v>
      </c>
      <c r="EJ7" s="28">
        <v>328037.0</v>
      </c>
      <c r="EK7" s="28">
        <v>3330313.0</v>
      </c>
      <c r="EL7" s="28">
        <v>9.9249577E7</v>
      </c>
      <c r="EM7" s="28">
        <v>3.6077806E7</v>
      </c>
      <c r="EN7" s="28"/>
      <c r="EO7" s="28">
        <v>6.015E7</v>
      </c>
      <c r="EP7" s="28">
        <v>9103283.0</v>
      </c>
      <c r="EQ7" s="28"/>
      <c r="ER7" s="28">
        <v>3.26841928E8</v>
      </c>
      <c r="ES7" s="28">
        <v>5.949584E7</v>
      </c>
      <c r="ET7" s="28">
        <v>1.256104694E9</v>
      </c>
      <c r="EU7" s="28"/>
      <c r="EV7" s="28">
        <v>527050.0</v>
      </c>
      <c r="EW7" s="28"/>
      <c r="EX7" s="28"/>
      <c r="EY7" s="28">
        <v>7.3522457E7</v>
      </c>
      <c r="EZ7" s="28">
        <v>1.61256537E8</v>
      </c>
      <c r="FA7" s="28">
        <v>1.0059662E7</v>
      </c>
      <c r="FB7" s="28"/>
      <c r="FC7" s="28">
        <v>7.8314507E7</v>
      </c>
      <c r="FD7" s="28">
        <v>2.2316357E7</v>
      </c>
      <c r="FE7" s="28"/>
      <c r="FF7" s="28">
        <v>5981156.0</v>
      </c>
      <c r="FG7" s="28">
        <v>214800.0</v>
      </c>
      <c r="FH7" s="28"/>
      <c r="FI7" s="28">
        <v>1.2E7</v>
      </c>
      <c r="FJ7" s="28">
        <v>2.247277E7</v>
      </c>
      <c r="FK7" s="28"/>
      <c r="FL7" s="28"/>
      <c r="FM7" s="28"/>
      <c r="FN7" s="28"/>
      <c r="FO7" s="28">
        <v>1.319681E7</v>
      </c>
      <c r="FP7" s="28"/>
      <c r="FQ7" s="28"/>
      <c r="FR7" s="28">
        <v>1.17593E8</v>
      </c>
      <c r="FS7" s="28"/>
      <c r="FT7" s="28"/>
      <c r="FU7" s="28"/>
      <c r="FV7" s="28">
        <v>5.34002E7</v>
      </c>
      <c r="FW7" s="28">
        <v>2.3953018E7</v>
      </c>
      <c r="FX7" s="28"/>
      <c r="FY7" s="28"/>
      <c r="FZ7" s="28">
        <v>8.3382614E7</v>
      </c>
      <c r="GA7" s="28">
        <v>5.6657612E7</v>
      </c>
      <c r="GB7" s="28">
        <v>1.495721E7</v>
      </c>
      <c r="GC7" s="28">
        <v>7356377.0</v>
      </c>
      <c r="GD7" s="28">
        <v>315543.0</v>
      </c>
      <c r="GE7" s="28">
        <v>1.5133876E7</v>
      </c>
      <c r="GF7" s="28">
        <v>437015.0</v>
      </c>
      <c r="GG7" s="28">
        <v>2.451E7</v>
      </c>
      <c r="GH7" s="28">
        <v>147000.0</v>
      </c>
      <c r="GI7" s="28"/>
      <c r="GJ7" s="28"/>
      <c r="GK7" s="28"/>
      <c r="GL7" s="61"/>
      <c r="GM7" s="61">
        <v>1.4550282537E10</v>
      </c>
      <c r="GN7" s="27"/>
      <c r="GO7" s="27"/>
      <c r="GP7" s="28"/>
      <c r="GQ7" s="28">
        <v>3.32725E7</v>
      </c>
      <c r="GR7" s="28">
        <v>5.9048061E7</v>
      </c>
      <c r="GS7" s="28">
        <v>155000.0</v>
      </c>
      <c r="GT7" s="28">
        <v>2.3945243E7</v>
      </c>
      <c r="GU7" s="28">
        <v>8.2255996E7</v>
      </c>
      <c r="GV7" s="28">
        <v>4.7123961E7</v>
      </c>
      <c r="GW7" s="28">
        <v>2.2118501E7</v>
      </c>
      <c r="GX7" s="28">
        <v>2.29723827E8</v>
      </c>
      <c r="GY7" s="28">
        <v>4.03465056E8</v>
      </c>
      <c r="GZ7" s="28">
        <v>4.53491678E8</v>
      </c>
      <c r="HA7" s="28"/>
      <c r="HB7" s="28"/>
      <c r="HC7" s="28">
        <v>4.0204681E7</v>
      </c>
      <c r="HD7" s="28"/>
      <c r="HE7" s="28"/>
      <c r="HF7" s="28"/>
      <c r="HG7" s="28">
        <v>2.9664522E7</v>
      </c>
      <c r="HH7" s="28">
        <v>6.1503254E7</v>
      </c>
      <c r="HI7" s="28">
        <v>225000.0</v>
      </c>
      <c r="HJ7" s="28">
        <v>4.8106641E7</v>
      </c>
      <c r="HK7" s="28">
        <v>712553.0</v>
      </c>
      <c r="HL7" s="28"/>
      <c r="HM7" s="28"/>
      <c r="HN7" s="28">
        <v>2502709.0</v>
      </c>
      <c r="HO7" s="28">
        <v>2.8181917E7</v>
      </c>
      <c r="HP7" s="28">
        <v>5290000.0</v>
      </c>
      <c r="HQ7" s="28">
        <v>1.16650988E8</v>
      </c>
      <c r="HR7" s="28">
        <v>8832900.0</v>
      </c>
      <c r="HS7" s="28"/>
      <c r="HT7" s="28">
        <v>5.4003207E7</v>
      </c>
      <c r="HU7" s="28">
        <v>5.955E7</v>
      </c>
      <c r="HV7" s="28">
        <v>4.916E7</v>
      </c>
      <c r="HW7" s="28"/>
      <c r="HX7" s="28">
        <v>1.24627563E8</v>
      </c>
      <c r="HY7" s="28">
        <v>1996000.0</v>
      </c>
      <c r="HZ7" s="28">
        <v>7520728.0</v>
      </c>
      <c r="IA7" s="28">
        <v>2529592.0</v>
      </c>
      <c r="IB7" s="28">
        <v>3316499.0</v>
      </c>
      <c r="IC7" s="28">
        <v>2.0354381E7</v>
      </c>
      <c r="ID7" s="28">
        <v>1.666173E7</v>
      </c>
      <c r="IE7" s="28">
        <v>1.7158107E7</v>
      </c>
      <c r="IF7" s="28">
        <v>3178477.0</v>
      </c>
      <c r="IG7" s="28">
        <v>1.84662E7</v>
      </c>
      <c r="IH7" s="28"/>
      <c r="II7" s="28"/>
      <c r="IJ7" s="28"/>
      <c r="IK7" s="28"/>
      <c r="IL7" s="28"/>
      <c r="IM7" s="28">
        <v>7.7824374E7</v>
      </c>
      <c r="IN7" s="28"/>
      <c r="IO7" s="28"/>
      <c r="IP7" s="28"/>
      <c r="IQ7" s="28">
        <v>380000.0</v>
      </c>
      <c r="IR7" s="28"/>
      <c r="IS7" s="28"/>
      <c r="IT7" s="28"/>
      <c r="IU7" s="28"/>
      <c r="IV7" s="28"/>
      <c r="IW7" s="28"/>
      <c r="IX7" s="28"/>
      <c r="IY7" s="28"/>
      <c r="IZ7" s="28"/>
      <c r="JA7" s="28"/>
      <c r="JB7" s="28">
        <v>8.02E7</v>
      </c>
      <c r="JC7" s="28"/>
      <c r="JD7" s="28"/>
      <c r="JE7" s="28"/>
      <c r="JF7" s="28"/>
      <c r="JG7" s="28"/>
      <c r="JH7" s="28">
        <v>7339144.0</v>
      </c>
      <c r="JI7" s="28"/>
      <c r="JJ7" s="28"/>
      <c r="JK7" s="28"/>
      <c r="JL7" s="28"/>
      <c r="JM7" s="28">
        <v>4.20042284E8</v>
      </c>
      <c r="JN7" s="28">
        <v>4.6928088E7</v>
      </c>
      <c r="JO7" s="28">
        <v>765000.0</v>
      </c>
      <c r="JP7" s="28">
        <v>4.1576967E7</v>
      </c>
      <c r="JQ7" s="28">
        <v>2.8962413E7</v>
      </c>
      <c r="JR7" s="28"/>
      <c r="JS7" s="28">
        <v>1.644E7</v>
      </c>
      <c r="JT7" s="62">
        <v>2.797455742E9</v>
      </c>
      <c r="JU7" s="27"/>
      <c r="JV7" s="27"/>
      <c r="JW7" s="28">
        <v>4.91945849E8</v>
      </c>
      <c r="JX7" s="28">
        <v>1.47499E8</v>
      </c>
      <c r="JY7" s="28">
        <v>5.054878E7</v>
      </c>
      <c r="JZ7" s="62">
        <v>6.89993629E8</v>
      </c>
      <c r="KA7" s="27"/>
      <c r="KB7" s="27"/>
      <c r="KC7" s="28">
        <v>8.52972E7</v>
      </c>
      <c r="KD7" s="62">
        <v>8.52972E7</v>
      </c>
      <c r="KE7" s="27"/>
      <c r="KF7" s="27"/>
      <c r="KG7" s="28">
        <v>9971413.0</v>
      </c>
      <c r="KH7" s="28"/>
      <c r="KI7" s="28"/>
      <c r="KJ7" s="28"/>
      <c r="KK7" s="28">
        <v>1389.0</v>
      </c>
      <c r="KL7" s="28"/>
      <c r="KM7" s="28"/>
      <c r="KN7" s="62">
        <v>1.4972802E7</v>
      </c>
      <c r="KO7" s="27"/>
      <c r="KP7" s="27"/>
      <c r="KQ7" s="28">
        <v>1.0483936E7</v>
      </c>
      <c r="KR7" s="28">
        <v>1.612378407E9</v>
      </c>
      <c r="KS7" s="28"/>
      <c r="KT7" s="28">
        <v>1.0340948E8</v>
      </c>
      <c r="KU7" s="28"/>
      <c r="KV7" s="28">
        <v>2.1784634E8</v>
      </c>
      <c r="KW7" s="28">
        <v>2175.0</v>
      </c>
      <c r="KX7" s="28"/>
      <c r="KY7" s="28"/>
      <c r="KZ7" s="28"/>
      <c r="LA7" s="28"/>
      <c r="LB7" s="28"/>
      <c r="LC7" s="28">
        <v>5933631.0</v>
      </c>
      <c r="LD7" s="28"/>
      <c r="LE7" s="62">
        <v>2.00005397E9</v>
      </c>
      <c r="LF7" s="27"/>
      <c r="LG7" s="27"/>
      <c r="LH7" s="28">
        <v>818660.0</v>
      </c>
      <c r="LI7" s="28">
        <v>818660.0</v>
      </c>
      <c r="LJ7" s="62">
        <f t="shared" ref="LJ7:LJ18" si="1">LE7+KD7+JZ7+JT7</f>
        <v>5572800541</v>
      </c>
      <c r="LK7" s="28"/>
    </row>
    <row r="8">
      <c r="A8" s="49" t="s">
        <v>296</v>
      </c>
      <c r="B8" s="50">
        <v>3.9926611384E10</v>
      </c>
      <c r="C8" s="52">
        <v>2.7445523058E10</v>
      </c>
      <c r="D8" s="53">
        <v>1.2481088327E10</v>
      </c>
      <c r="E8" s="50"/>
      <c r="F8" s="50">
        <v>3.136682077E9</v>
      </c>
      <c r="G8" s="50">
        <v>9.44187719E8</v>
      </c>
      <c r="H8" s="52">
        <v>5467002.0</v>
      </c>
      <c r="I8" s="53">
        <v>4.086336797E9</v>
      </c>
      <c r="J8" s="53">
        <v>8.394751529E9</v>
      </c>
      <c r="K8" s="50"/>
      <c r="L8" s="50">
        <v>3.46889484E8</v>
      </c>
      <c r="M8" s="52">
        <v>2.924246807E9</v>
      </c>
      <c r="N8" s="54">
        <v>-2.577357324E9</v>
      </c>
      <c r="O8" s="50"/>
      <c r="P8" s="53">
        <v>5.817394206E9</v>
      </c>
      <c r="Q8" s="50">
        <v>120515.0</v>
      </c>
      <c r="R8" s="50"/>
      <c r="S8" s="54">
        <v>120515.0</v>
      </c>
      <c r="T8" s="53">
        <v>5.817273691E9</v>
      </c>
      <c r="U8" s="56"/>
      <c r="V8" s="57"/>
      <c r="W8" s="58">
        <v>0.0</v>
      </c>
      <c r="X8" s="59">
        <v>5.817273691E9</v>
      </c>
      <c r="Y8" s="27"/>
      <c r="AB8" s="27"/>
      <c r="AC8" s="27"/>
      <c r="AD8" s="28">
        <v>2.009966731E10</v>
      </c>
      <c r="AE8" s="28">
        <v>4.9863908492E10</v>
      </c>
      <c r="AF8" s="28"/>
      <c r="AG8" s="28">
        <v>-3.25897486E8</v>
      </c>
      <c r="AH8" s="28">
        <v>1.0184417154E10</v>
      </c>
      <c r="AI8" s="28">
        <v>1.19522871582E11</v>
      </c>
      <c r="AJ8" s="27" t="s">
        <v>295</v>
      </c>
      <c r="AK8" s="28"/>
      <c r="AL8" s="28">
        <v>9.744087704E9</v>
      </c>
      <c r="AM8" s="61">
        <v>1.6589488907E10</v>
      </c>
      <c r="AN8" s="62">
        <v>2.25678543663E11</v>
      </c>
      <c r="AO8" s="27"/>
      <c r="AP8" s="27" t="s">
        <v>295</v>
      </c>
      <c r="AQ8" s="28">
        <v>1.30348634297E11</v>
      </c>
      <c r="AR8" s="28">
        <v>6.678391743E9</v>
      </c>
      <c r="AS8" s="28"/>
      <c r="AT8" s="28"/>
      <c r="AU8" s="28">
        <v>1.712002768E9</v>
      </c>
      <c r="AV8" s="63">
        <v>1.38739028808E11</v>
      </c>
      <c r="AW8" s="62">
        <v>3.64417572471E11</v>
      </c>
      <c r="AX8" s="27"/>
      <c r="AY8" s="27"/>
      <c r="AZ8" s="27"/>
      <c r="BA8" s="28">
        <v>1.5356991892E10</v>
      </c>
      <c r="BB8" s="27"/>
      <c r="BC8" s="27" t="s">
        <v>295</v>
      </c>
      <c r="BD8" s="27" t="s">
        <v>295</v>
      </c>
      <c r="BE8" s="28">
        <v>8.435842992E9</v>
      </c>
      <c r="BF8" s="28">
        <v>8.132536607E9</v>
      </c>
      <c r="BG8" s="28"/>
      <c r="BH8" s="28"/>
      <c r="BI8" s="28">
        <v>2.11412619E8</v>
      </c>
      <c r="BJ8" s="27" t="s">
        <v>295</v>
      </c>
      <c r="BK8" s="61">
        <v>1.78095094338E11</v>
      </c>
      <c r="BL8" s="62">
        <v>2.10231878448E11</v>
      </c>
      <c r="BM8" s="27"/>
      <c r="BN8" s="28">
        <v>1.6131668617E10</v>
      </c>
      <c r="BO8" s="27" t="s">
        <v>295</v>
      </c>
      <c r="BQ8" s="28">
        <v>5.420434399E9</v>
      </c>
      <c r="BR8" s="27" t="s">
        <v>295</v>
      </c>
      <c r="BS8" s="63">
        <v>2.1552103016E10</v>
      </c>
      <c r="BT8" s="63">
        <v>2.31783981464E11</v>
      </c>
      <c r="BV8" s="28">
        <v>6.8245E10</v>
      </c>
      <c r="BW8" s="27" t="s">
        <v>295</v>
      </c>
      <c r="BX8" s="28">
        <v>7.966266292E9</v>
      </c>
      <c r="BY8" s="28">
        <v>5.3985061075E10</v>
      </c>
      <c r="BZ8" s="28">
        <v>-5.4180596E8</v>
      </c>
      <c r="CA8" s="27" t="s">
        <v>295</v>
      </c>
      <c r="CB8" s="28">
        <v>2.9790696E9</v>
      </c>
      <c r="CC8" s="62">
        <v>1.32633591006E11</v>
      </c>
      <c r="CD8" s="63">
        <v>3.64417572471E11</v>
      </c>
      <c r="CF8" s="49" t="s">
        <v>296</v>
      </c>
      <c r="CG8" s="27"/>
      <c r="CH8" s="28"/>
      <c r="CI8" s="27"/>
      <c r="CJ8" s="28"/>
      <c r="CK8" s="27"/>
      <c r="CL8" s="27"/>
      <c r="CM8" s="27"/>
      <c r="CN8" s="28"/>
      <c r="CO8" s="28"/>
      <c r="CP8" s="28"/>
      <c r="CQ8" s="28"/>
      <c r="CR8" s="28"/>
      <c r="CS8" s="28"/>
      <c r="CT8" s="27"/>
      <c r="CU8" s="28"/>
      <c r="CV8" s="28"/>
      <c r="CW8" s="28"/>
      <c r="CX8" s="27"/>
      <c r="CY8" s="27"/>
      <c r="CZ8" s="28"/>
      <c r="DA8" s="28"/>
      <c r="DB8" s="27"/>
      <c r="DC8" s="28"/>
      <c r="DD8" s="27"/>
      <c r="DE8" s="28"/>
      <c r="DF8" s="28"/>
      <c r="DG8" s="27"/>
      <c r="DH8" s="28"/>
      <c r="DI8" s="27"/>
      <c r="DJ8" s="28"/>
      <c r="DK8" s="28"/>
      <c r="DL8" s="28"/>
      <c r="DM8" s="28"/>
      <c r="DP8" s="64"/>
      <c r="DQ8" s="49" t="s">
        <v>296</v>
      </c>
      <c r="DR8" s="28">
        <v>4.0015918317E10</v>
      </c>
      <c r="DS8" s="28"/>
      <c r="DT8" s="28">
        <v>-9.4261888E7</v>
      </c>
      <c r="DU8" s="27" t="s">
        <v>295</v>
      </c>
      <c r="DV8" s="62">
        <v>3.9921656429E10</v>
      </c>
      <c r="DW8" s="27"/>
      <c r="DX8" s="27"/>
      <c r="DY8" s="28"/>
      <c r="DZ8" s="28">
        <v>2.239216585E10</v>
      </c>
      <c r="EA8" s="28">
        <v>5.65491E8</v>
      </c>
      <c r="EB8" s="28"/>
      <c r="EC8" s="28"/>
      <c r="ED8" s="28"/>
      <c r="EE8" s="28">
        <v>2.22005363E8</v>
      </c>
      <c r="EF8" s="28">
        <v>1293465.0</v>
      </c>
      <c r="EG8" s="28">
        <v>2696948.0</v>
      </c>
      <c r="EH8" s="28">
        <v>9049778.0</v>
      </c>
      <c r="EI8" s="28">
        <v>1962777.0</v>
      </c>
      <c r="EJ8" s="28">
        <v>585879.0</v>
      </c>
      <c r="EK8" s="28">
        <v>151539.0</v>
      </c>
      <c r="EL8" s="28">
        <v>6637860.0</v>
      </c>
      <c r="EM8" s="28">
        <v>3.6369754E7</v>
      </c>
      <c r="EN8" s="28"/>
      <c r="EO8" s="28">
        <v>7.62E7</v>
      </c>
      <c r="EP8" s="28">
        <v>1.1241421E7</v>
      </c>
      <c r="EQ8" s="28"/>
      <c r="ER8" s="28">
        <v>3.64107426E8</v>
      </c>
      <c r="ES8" s="28">
        <v>4.71516569E8</v>
      </c>
      <c r="ET8" s="28">
        <v>1.997191395E9</v>
      </c>
      <c r="EU8" s="28"/>
      <c r="EV8" s="28">
        <v>6970489.0</v>
      </c>
      <c r="EW8" s="67"/>
      <c r="EX8" s="28">
        <v>7791915.0</v>
      </c>
      <c r="EY8" s="28">
        <v>8.474219E7</v>
      </c>
      <c r="EZ8" s="28">
        <v>1.87134786E8</v>
      </c>
      <c r="FA8" s="28">
        <v>3.0650575E7</v>
      </c>
      <c r="FB8" s="28"/>
      <c r="FC8" s="28">
        <v>1.14452204E8</v>
      </c>
      <c r="FD8" s="28">
        <v>2.1982459E7</v>
      </c>
      <c r="FE8" s="28"/>
      <c r="FF8" s="28">
        <v>2.0197439E7</v>
      </c>
      <c r="FG8" s="28">
        <v>84378.0</v>
      </c>
      <c r="FH8" s="28"/>
      <c r="FI8" s="28">
        <v>2.438E7</v>
      </c>
      <c r="FJ8" s="28">
        <v>3.522513E7</v>
      </c>
      <c r="FK8" s="28"/>
      <c r="FL8" s="28"/>
      <c r="FM8" s="28"/>
      <c r="FN8" s="28"/>
      <c r="FO8" s="28">
        <v>2.7952102E7</v>
      </c>
      <c r="FP8" s="28"/>
      <c r="FQ8" s="28">
        <v>8.2347618E7</v>
      </c>
      <c r="FR8" s="28">
        <v>1.8449275E8</v>
      </c>
      <c r="FS8" s="28">
        <f>FR8+FR7</f>
        <v>302085750</v>
      </c>
      <c r="FT8" s="27"/>
      <c r="FU8" s="27"/>
      <c r="FV8" s="27"/>
      <c r="FW8" s="28">
        <v>2.4500532E7</v>
      </c>
      <c r="FX8" s="28"/>
      <c r="FY8" s="28"/>
      <c r="FZ8" s="28">
        <v>4486900.0</v>
      </c>
      <c r="GA8" s="28">
        <v>1.9373805E7</v>
      </c>
      <c r="GB8" s="28">
        <v>9207729.0</v>
      </c>
      <c r="GC8" s="28">
        <v>1201085.0</v>
      </c>
      <c r="GD8" s="28">
        <v>1.2357289E7</v>
      </c>
      <c r="GE8" s="28">
        <v>3.1229661E7</v>
      </c>
      <c r="GF8" s="28">
        <v>1105871.0</v>
      </c>
      <c r="GG8" s="27" t="s">
        <v>295</v>
      </c>
      <c r="GH8" s="28">
        <v>2.0950373E7</v>
      </c>
      <c r="GI8" s="28">
        <v>2.5E8</v>
      </c>
      <c r="GJ8" s="27"/>
      <c r="GK8" s="27"/>
      <c r="GL8" s="61"/>
      <c r="GM8" s="61">
        <v>2.74455230577561E10</v>
      </c>
      <c r="GN8" s="27"/>
      <c r="GO8" s="27"/>
      <c r="GP8" s="28"/>
      <c r="GQ8" s="28">
        <v>4000000.0</v>
      </c>
      <c r="GR8" s="28">
        <v>5.6681061E7</v>
      </c>
      <c r="GS8" s="27" t="s">
        <v>295</v>
      </c>
      <c r="GT8" s="28">
        <v>1.8914E7</v>
      </c>
      <c r="GU8" s="28">
        <v>8.2255996E7</v>
      </c>
      <c r="GV8" s="28">
        <v>4.8472243E7</v>
      </c>
      <c r="GW8" s="28">
        <v>2.2118501E7</v>
      </c>
      <c r="GX8" s="28">
        <v>2.29723827E8</v>
      </c>
      <c r="GY8" s="28">
        <v>4.81659168E8</v>
      </c>
      <c r="GZ8" s="28">
        <v>5.76797549E8</v>
      </c>
      <c r="HA8" s="28"/>
      <c r="HB8" s="28"/>
      <c r="HC8" s="28">
        <v>4.0136131E7</v>
      </c>
      <c r="HD8" s="28"/>
      <c r="HE8" s="28"/>
      <c r="HF8" s="28"/>
      <c r="HG8" s="28">
        <v>3.2968534E7</v>
      </c>
      <c r="HH8" s="28">
        <v>5.6737782E7</v>
      </c>
      <c r="HI8" s="27" t="s">
        <v>295</v>
      </c>
      <c r="HJ8" s="28">
        <v>3.7096158E7</v>
      </c>
      <c r="HK8" s="28">
        <v>7781025.0</v>
      </c>
      <c r="HL8" s="28"/>
      <c r="HM8" s="28"/>
      <c r="HN8" s="28">
        <v>2502709.0</v>
      </c>
      <c r="HO8" s="28">
        <v>3.5489846E7</v>
      </c>
      <c r="HP8" s="28">
        <v>4684000.0</v>
      </c>
      <c r="HQ8" s="28">
        <v>2.14327216E8</v>
      </c>
      <c r="HR8" s="28">
        <v>2.153465E7</v>
      </c>
      <c r="HS8" s="28">
        <v>3231689.0</v>
      </c>
      <c r="HT8" s="28">
        <v>6.1822374E7</v>
      </c>
      <c r="HU8" s="28">
        <v>1400000.0</v>
      </c>
      <c r="HV8" s="28">
        <v>789750.0</v>
      </c>
      <c r="HW8" s="28">
        <v>1.125E8</v>
      </c>
      <c r="HX8" s="28">
        <v>9.1330954E7</v>
      </c>
      <c r="HY8" s="28">
        <v>9333482.0</v>
      </c>
      <c r="HZ8" s="28">
        <v>6572150.0</v>
      </c>
      <c r="IA8" s="28">
        <v>7373650.0</v>
      </c>
      <c r="IB8" s="28">
        <v>2434999.0</v>
      </c>
      <c r="IC8" s="28">
        <v>1.5796111E7</v>
      </c>
      <c r="ID8" s="28">
        <v>2.8890637E7</v>
      </c>
      <c r="IE8" s="28">
        <v>1.028101E7</v>
      </c>
      <c r="IF8" s="28">
        <v>5205461.0</v>
      </c>
      <c r="IG8" s="28">
        <v>9486225.0</v>
      </c>
      <c r="IH8" s="28">
        <v>2550000.0</v>
      </c>
      <c r="II8" s="28"/>
      <c r="IJ8" s="28"/>
      <c r="IK8" s="28">
        <v>1.75E7</v>
      </c>
      <c r="IL8" s="28">
        <v>545613.0</v>
      </c>
      <c r="IM8" s="28">
        <v>1.01436998E8</v>
      </c>
      <c r="IN8" s="28"/>
      <c r="IO8" s="28">
        <v>500000.0</v>
      </c>
      <c r="IP8" s="28"/>
      <c r="IQ8" s="28">
        <v>160000.0</v>
      </c>
      <c r="IR8" s="28"/>
      <c r="IS8" s="28"/>
      <c r="IT8" s="28"/>
      <c r="IU8" s="28">
        <v>1.025641E7</v>
      </c>
      <c r="IV8" s="28"/>
      <c r="IW8" s="28"/>
      <c r="IX8" s="28"/>
      <c r="IY8" s="28"/>
      <c r="IZ8" s="28"/>
      <c r="JA8" s="28"/>
      <c r="JB8" s="28">
        <v>1.0E7</v>
      </c>
      <c r="JC8" s="28"/>
      <c r="JD8" s="28"/>
      <c r="JE8" s="28">
        <v>1100000.0</v>
      </c>
      <c r="JF8" s="28"/>
      <c r="JG8" s="28"/>
      <c r="JH8" s="28">
        <v>7339144.0</v>
      </c>
      <c r="JI8" s="28">
        <v>5780000.0</v>
      </c>
      <c r="JJ8" s="28"/>
      <c r="JK8" s="28">
        <v>2.76E7</v>
      </c>
      <c r="JL8" s="28"/>
      <c r="JM8" s="28">
        <v>4.9974954E8</v>
      </c>
      <c r="JN8" s="28">
        <v>2.7556938E7</v>
      </c>
      <c r="JO8" s="28">
        <v>6302090.0</v>
      </c>
      <c r="JP8" s="28">
        <v>4.2861456E7</v>
      </c>
      <c r="JQ8" s="28">
        <v>5700000.0</v>
      </c>
      <c r="JR8" s="28">
        <v>4500000.0</v>
      </c>
      <c r="JS8" s="28">
        <v>2.4915E7</v>
      </c>
      <c r="JT8" s="69">
        <v>3.136682077E15</v>
      </c>
      <c r="JU8" s="27"/>
      <c r="JV8" s="27"/>
      <c r="JW8" s="28">
        <v>8.41310075E8</v>
      </c>
      <c r="JX8" s="28">
        <v>4.5296E7</v>
      </c>
      <c r="JY8" s="39">
        <v>5.7581644E13</v>
      </c>
      <c r="JZ8" s="62">
        <v>9.44187719E8</v>
      </c>
      <c r="KA8" s="27"/>
      <c r="KB8" s="27"/>
      <c r="KC8" s="28">
        <v>5467002.0</v>
      </c>
      <c r="KD8" s="62">
        <v>5467002.0</v>
      </c>
      <c r="KE8" s="27"/>
      <c r="KF8" s="27"/>
      <c r="KG8" s="28">
        <v>1.0402432E7</v>
      </c>
      <c r="KH8" s="39">
        <v>7.524E12</v>
      </c>
      <c r="KI8" s="28">
        <v>3.28712547E8</v>
      </c>
      <c r="KJ8" s="28">
        <v>250000.0</v>
      </c>
      <c r="KK8" s="27">
        <v>505.0</v>
      </c>
      <c r="KL8" s="28"/>
      <c r="KM8" s="28">
        <v>4954955.0</v>
      </c>
      <c r="KN8" s="62">
        <v>3.51844439E8</v>
      </c>
      <c r="KO8" s="27"/>
      <c r="KP8" s="27"/>
      <c r="KQ8" s="28">
        <v>9113718.0</v>
      </c>
      <c r="KR8" s="28">
        <v>1.735588517E9</v>
      </c>
      <c r="KS8" s="28"/>
      <c r="KT8" s="28">
        <v>9.3666662E7</v>
      </c>
      <c r="KU8" s="28"/>
      <c r="KV8" s="28">
        <v>6.32176029E8</v>
      </c>
      <c r="KW8" s="28">
        <v>1881.0</v>
      </c>
      <c r="KX8" s="28"/>
      <c r="KY8" s="28"/>
      <c r="KZ8" s="28">
        <v>4.5E8</v>
      </c>
      <c r="LA8" s="28"/>
      <c r="LB8" s="28"/>
      <c r="LC8" s="28">
        <v>3700000.0</v>
      </c>
      <c r="LD8" s="28"/>
      <c r="LE8" s="62">
        <v>2.924246807E9</v>
      </c>
      <c r="LF8" s="27"/>
      <c r="LG8" s="27"/>
      <c r="LH8" s="28">
        <v>120515.0</v>
      </c>
      <c r="LI8" s="28">
        <v>120515.0</v>
      </c>
      <c r="LJ8" s="62">
        <f t="shared" si="1"/>
        <v>3.13669E+15</v>
      </c>
      <c r="LK8" s="28"/>
    </row>
    <row r="9">
      <c r="A9" s="49" t="s">
        <v>299</v>
      </c>
      <c r="B9" s="50">
        <v>4.8178814422E10</v>
      </c>
      <c r="C9" s="52">
        <v>4.0934719757E10</v>
      </c>
      <c r="D9" s="53">
        <v>7.244094665E9</v>
      </c>
      <c r="E9" s="50"/>
      <c r="F9" s="50">
        <v>3.260324202E9</v>
      </c>
      <c r="G9" s="50">
        <v>1.314214864E9</v>
      </c>
      <c r="H9" s="52">
        <v>3.7721614E7</v>
      </c>
      <c r="I9" s="53">
        <v>4.61226068E9</v>
      </c>
      <c r="J9" s="53">
        <v>2.631833985E9</v>
      </c>
      <c r="K9" s="50"/>
      <c r="L9" s="50">
        <v>1.68954351E8</v>
      </c>
      <c r="M9" s="52">
        <v>2.176414214E9</v>
      </c>
      <c r="N9" s="54">
        <v>-2.007459863E9</v>
      </c>
      <c r="O9" s="50"/>
      <c r="P9" s="53">
        <v>6.24374122E8</v>
      </c>
      <c r="Q9" s="50">
        <v>5800.0</v>
      </c>
      <c r="R9" s="50"/>
      <c r="S9" s="54">
        <v>5800.0</v>
      </c>
      <c r="T9" s="53">
        <v>6.24368322E8</v>
      </c>
      <c r="U9" s="56"/>
      <c r="V9" s="57"/>
      <c r="W9" s="58">
        <v>0.0</v>
      </c>
      <c r="X9" s="59">
        <v>6.24368322E8</v>
      </c>
      <c r="Y9" s="27"/>
      <c r="AB9" s="70"/>
      <c r="AC9" s="70"/>
      <c r="AD9" s="71">
        <v>1.9442003776E10</v>
      </c>
      <c r="AE9" s="71">
        <v>5.1173068869E10</v>
      </c>
      <c r="AF9" s="71"/>
      <c r="AG9" s="71">
        <v>-3.25897486E8</v>
      </c>
      <c r="AH9" s="71">
        <v>1.0482259154E10</v>
      </c>
      <c r="AI9" s="71">
        <v>9.2350283616E10</v>
      </c>
      <c r="AJ9" s="72" t="s">
        <v>295</v>
      </c>
      <c r="AK9" s="71"/>
      <c r="AL9" s="71">
        <v>2.0785426853E10</v>
      </c>
      <c r="AM9" s="73">
        <v>1.2225997754E10</v>
      </c>
      <c r="AN9" s="74">
        <v>2.06133142535E11</v>
      </c>
      <c r="AO9" s="72"/>
      <c r="AP9" s="72" t="s">
        <v>295</v>
      </c>
      <c r="AQ9" s="71">
        <v>1.30908524708E11</v>
      </c>
      <c r="AR9" s="71">
        <v>6.648934098E9</v>
      </c>
      <c r="AS9" s="71"/>
      <c r="AT9" s="71"/>
      <c r="AU9" s="71">
        <v>1.712002768E9</v>
      </c>
      <c r="AV9" s="75">
        <v>1.39269461574E11</v>
      </c>
      <c r="AW9" s="74">
        <v>3.45402604109E11</v>
      </c>
      <c r="AX9" s="72"/>
      <c r="AY9" s="72"/>
      <c r="AZ9" s="72"/>
      <c r="BA9" s="71">
        <v>1.2535565229E10</v>
      </c>
      <c r="BB9" s="72"/>
      <c r="BC9" s="72" t="s">
        <v>295</v>
      </c>
      <c r="BD9" s="72" t="s">
        <v>295</v>
      </c>
      <c r="BE9" s="71">
        <v>5.495911745E9</v>
      </c>
      <c r="BF9" s="71">
        <v>1.887033524E9</v>
      </c>
      <c r="BG9" s="71"/>
      <c r="BH9" s="71"/>
      <c r="BI9" s="71">
        <v>1.23728456E8</v>
      </c>
      <c r="BJ9" s="72" t="s">
        <v>295</v>
      </c>
      <c r="BK9" s="73">
        <v>1.71105117438E11</v>
      </c>
      <c r="BL9" s="74">
        <v>1.91147356392E11</v>
      </c>
      <c r="BM9" s="72"/>
      <c r="BN9" s="71">
        <v>1.6098725935E10</v>
      </c>
      <c r="BO9" s="72" t="s">
        <v>295</v>
      </c>
      <c r="BP9" s="72" t="s">
        <v>295</v>
      </c>
      <c r="BQ9" s="71">
        <v>4.874363998E9</v>
      </c>
      <c r="BR9" s="72" t="s">
        <v>295</v>
      </c>
      <c r="BS9" s="75">
        <v>2.0973089933E10</v>
      </c>
      <c r="BT9" s="74">
        <v>2.12120446325E11</v>
      </c>
      <c r="BU9" s="72"/>
      <c r="BV9" s="71">
        <v>6.8245E10</v>
      </c>
      <c r="BW9" s="72" t="s">
        <v>295</v>
      </c>
      <c r="BX9" s="71">
        <v>8.614100314E9</v>
      </c>
      <c r="BY9" s="71">
        <v>5.3985793831E10</v>
      </c>
      <c r="BZ9" s="71">
        <v>-5.4180596E8</v>
      </c>
      <c r="CA9" s="72" t="s">
        <v>295</v>
      </c>
      <c r="CB9" s="71">
        <v>2.9790696E9</v>
      </c>
      <c r="CC9" s="76">
        <v>1.33282157785E11</v>
      </c>
      <c r="CD9" s="77">
        <v>3.4540260411E11</v>
      </c>
      <c r="CF9" s="49" t="s">
        <v>299</v>
      </c>
      <c r="CG9" s="27"/>
      <c r="CH9" s="28"/>
      <c r="CI9" s="27"/>
      <c r="CJ9" s="28"/>
      <c r="CK9" s="27"/>
      <c r="CL9" s="27"/>
      <c r="CM9" s="27"/>
      <c r="CN9" s="28"/>
      <c r="CO9" s="28"/>
      <c r="CP9" s="28"/>
      <c r="CQ9" s="28"/>
      <c r="CR9" s="28"/>
      <c r="CS9" s="28"/>
      <c r="CT9" s="27"/>
      <c r="CU9" s="28"/>
      <c r="CV9" s="28"/>
      <c r="CW9" s="28"/>
      <c r="CX9" s="27"/>
      <c r="CY9" s="27"/>
      <c r="CZ9" s="28"/>
      <c r="DA9" s="28"/>
      <c r="DB9" s="27"/>
      <c r="DC9" s="28"/>
      <c r="DD9" s="27"/>
      <c r="DE9" s="28"/>
      <c r="DF9" s="28"/>
      <c r="DG9" s="27"/>
      <c r="DH9" s="28"/>
      <c r="DI9" s="27"/>
      <c r="DJ9" s="28"/>
      <c r="DK9" s="28"/>
      <c r="DL9" s="28"/>
      <c r="DM9" s="28"/>
      <c r="DP9" s="64"/>
      <c r="DQ9" s="49" t="s">
        <v>299</v>
      </c>
      <c r="DR9" s="67">
        <v>4.8182107568E10</v>
      </c>
      <c r="DS9" s="67"/>
      <c r="DT9" s="67">
        <v>-1115999.0</v>
      </c>
      <c r="DU9" s="67">
        <v>-3600543.0</v>
      </c>
      <c r="DV9" s="78">
        <v>4.8177391026E10</v>
      </c>
      <c r="DW9" s="27"/>
      <c r="DX9" s="27"/>
      <c r="DY9" s="67"/>
      <c r="DZ9" s="67">
        <v>3.6906890058E10</v>
      </c>
      <c r="EA9" s="67">
        <v>3.1458E7</v>
      </c>
      <c r="EB9" s="67"/>
      <c r="EC9" s="67"/>
      <c r="ED9" s="67"/>
      <c r="EE9" s="67">
        <v>2.15442863E8</v>
      </c>
      <c r="EF9" s="67" t="s">
        <v>295</v>
      </c>
      <c r="EG9" s="67">
        <v>5130400.0</v>
      </c>
      <c r="EH9" s="67">
        <v>398352.0</v>
      </c>
      <c r="EI9" s="67">
        <v>3630631.0</v>
      </c>
      <c r="EJ9" s="67">
        <v>5510499.0</v>
      </c>
      <c r="EK9" s="67" t="s">
        <v>295</v>
      </c>
      <c r="EL9" s="67">
        <v>9055099.0</v>
      </c>
      <c r="EM9" s="67">
        <v>3.6433869E7</v>
      </c>
      <c r="EN9" s="67"/>
      <c r="EO9" s="67">
        <v>7.84E7</v>
      </c>
      <c r="EP9" s="67">
        <v>-2422384.0</v>
      </c>
      <c r="EQ9" s="67"/>
      <c r="ER9" s="67">
        <v>3.30448692E8</v>
      </c>
      <c r="ES9" s="67">
        <v>5.63827103E8</v>
      </c>
      <c r="ET9" s="67">
        <v>1.528774325E9</v>
      </c>
      <c r="EU9" s="67"/>
      <c r="EV9" s="67">
        <v>2.5221158E7</v>
      </c>
      <c r="EW9" s="28"/>
      <c r="EX9" s="67">
        <v>1.3299998E7</v>
      </c>
      <c r="EY9" s="67">
        <v>7.7156083E7</v>
      </c>
      <c r="EZ9" s="67">
        <v>1.70169077E8</v>
      </c>
      <c r="FA9" s="67">
        <v>3773210.0</v>
      </c>
      <c r="FB9" s="67"/>
      <c r="FC9" s="67">
        <v>1.57610005E8</v>
      </c>
      <c r="FD9" s="67">
        <v>2.2715808E7</v>
      </c>
      <c r="FE9" s="67"/>
      <c r="FF9" s="67">
        <v>3.2680371E7</v>
      </c>
      <c r="FG9" s="67">
        <v>45824.0</v>
      </c>
      <c r="FH9" s="67"/>
      <c r="FI9" s="67">
        <v>1.32E7</v>
      </c>
      <c r="FJ9" s="67">
        <v>2.0648075E7</v>
      </c>
      <c r="FK9" s="67"/>
      <c r="FL9" s="67"/>
      <c r="FM9" s="67"/>
      <c r="FN9" s="67"/>
      <c r="FO9" s="67">
        <v>1.904625E7</v>
      </c>
      <c r="FP9" s="67"/>
      <c r="FQ9" s="67">
        <v>7.3863657E7</v>
      </c>
      <c r="FR9" s="67">
        <v>1.1970419E8</v>
      </c>
      <c r="FS9" s="67"/>
      <c r="FT9" s="67"/>
      <c r="FU9" s="67"/>
      <c r="FV9" s="67">
        <v>7693670.0</v>
      </c>
      <c r="FW9" s="67">
        <v>1.85886522E8</v>
      </c>
      <c r="FX9" s="67">
        <v>6500000.0</v>
      </c>
      <c r="FY9" s="67"/>
      <c r="FZ9" s="67">
        <v>2684750.0</v>
      </c>
      <c r="GA9" s="67">
        <v>7.2003354E7</v>
      </c>
      <c r="GB9" s="67">
        <v>5476718.0</v>
      </c>
      <c r="GC9" s="67">
        <v>224912.0</v>
      </c>
      <c r="GD9" s="67">
        <v>1129129.0</v>
      </c>
      <c r="GE9" s="67">
        <v>1.47272109E8</v>
      </c>
      <c r="GF9" s="67">
        <v>1870334.0</v>
      </c>
      <c r="GG9" s="28" t="s">
        <v>295</v>
      </c>
      <c r="GH9" s="28">
        <v>1.5311504E7</v>
      </c>
      <c r="GI9" s="67" t="s">
        <v>295</v>
      </c>
      <c r="GJ9" s="67">
        <v>2738184.0</v>
      </c>
      <c r="GK9" s="67"/>
      <c r="GL9" s="79"/>
      <c r="GM9" s="79">
        <v>4.09109024E10</v>
      </c>
      <c r="GN9" s="27"/>
      <c r="GO9" s="67"/>
      <c r="GP9" s="67"/>
      <c r="GQ9" s="67">
        <v>188800.0</v>
      </c>
      <c r="GR9" s="67">
        <v>5.6681061E7</v>
      </c>
      <c r="GS9" s="67">
        <v>2055234.0</v>
      </c>
      <c r="GT9" s="67">
        <v>2.2576264E7</v>
      </c>
      <c r="GU9" s="67">
        <v>7.3328439E7</v>
      </c>
      <c r="GV9" s="67">
        <v>4.8404667E7</v>
      </c>
      <c r="GW9" s="67">
        <v>2.2118501E7</v>
      </c>
      <c r="GX9" s="67">
        <v>2.29723827E8</v>
      </c>
      <c r="GY9" s="67">
        <v>4.4572152E8</v>
      </c>
      <c r="GZ9" s="67">
        <v>5.01341795E8</v>
      </c>
      <c r="HA9" s="67"/>
      <c r="HB9" s="67"/>
      <c r="HC9" s="67">
        <v>4.1860616E7</v>
      </c>
      <c r="HD9" s="67"/>
      <c r="HE9" s="67"/>
      <c r="HF9" s="67">
        <v>2.35397436E8</v>
      </c>
      <c r="HG9" s="67">
        <v>3.1292115E7</v>
      </c>
      <c r="HH9" s="67">
        <v>5.8584781E7</v>
      </c>
      <c r="HI9" s="67">
        <v>570000.0</v>
      </c>
      <c r="HJ9" s="67">
        <v>3.0057426E7</v>
      </c>
      <c r="HK9" s="67">
        <v>4.0058503E7</v>
      </c>
      <c r="HL9" s="67"/>
      <c r="HM9" s="67"/>
      <c r="HN9" s="67">
        <v>2502709.0</v>
      </c>
      <c r="HO9" s="67">
        <v>2.9369114E7</v>
      </c>
      <c r="HP9" s="67">
        <v>2644500.0</v>
      </c>
      <c r="HQ9" s="67">
        <v>3.92268968E8</v>
      </c>
      <c r="HR9" s="67">
        <v>1.8255E7</v>
      </c>
      <c r="HS9" s="67">
        <v>471200.0</v>
      </c>
      <c r="HT9" s="67">
        <v>3.9740733E7</v>
      </c>
      <c r="HU9" s="67">
        <v>3.745E7</v>
      </c>
      <c r="HV9" s="67" t="s">
        <v>295</v>
      </c>
      <c r="HW9" s="67" t="s">
        <v>295</v>
      </c>
      <c r="HX9" s="67">
        <v>1.41845E7</v>
      </c>
      <c r="HY9" s="67">
        <v>2683373.0</v>
      </c>
      <c r="HZ9" s="67">
        <v>1.3066896E7</v>
      </c>
      <c r="IA9" s="67">
        <v>1665600.0</v>
      </c>
      <c r="IB9" s="67">
        <v>459000.0</v>
      </c>
      <c r="IC9" s="67">
        <v>2.4062775E7</v>
      </c>
      <c r="ID9" s="67">
        <v>2.8386565E7</v>
      </c>
      <c r="IE9" s="67">
        <v>1.1264468E7</v>
      </c>
      <c r="IF9" s="67">
        <v>4662225.0</v>
      </c>
      <c r="IG9" s="67">
        <v>2.0609E7</v>
      </c>
      <c r="IH9" s="67">
        <v>3000000.0</v>
      </c>
      <c r="II9" s="67"/>
      <c r="IJ9" s="67"/>
      <c r="IK9" s="67" t="s">
        <v>295</v>
      </c>
      <c r="IL9" s="67">
        <v>1136720.0</v>
      </c>
      <c r="IM9" s="28">
        <v>1.4521736E8</v>
      </c>
      <c r="IN9" s="28"/>
      <c r="IO9" s="28" t="s">
        <v>295</v>
      </c>
      <c r="IP9" s="67"/>
      <c r="IQ9" s="67" t="s">
        <v>295</v>
      </c>
      <c r="IR9" s="67"/>
      <c r="IS9" s="67"/>
      <c r="IT9" s="67">
        <v>3153153.0</v>
      </c>
      <c r="IU9" s="67" t="s">
        <v>295</v>
      </c>
      <c r="IV9" s="67"/>
      <c r="IW9" s="67"/>
      <c r="IX9" s="67"/>
      <c r="IY9" s="67"/>
      <c r="IZ9" s="67"/>
      <c r="JA9" s="67"/>
      <c r="JB9" s="67">
        <v>1.215E7</v>
      </c>
      <c r="JC9" s="28"/>
      <c r="JD9" s="28"/>
      <c r="JE9" s="28" t="s">
        <v>295</v>
      </c>
      <c r="JF9" s="28"/>
      <c r="JG9" s="28"/>
      <c r="JH9" s="28">
        <v>7339144.0</v>
      </c>
      <c r="JI9" s="67" t="s">
        <v>295</v>
      </c>
      <c r="JJ9" s="67"/>
      <c r="JK9" s="67" t="s">
        <v>295</v>
      </c>
      <c r="JL9" s="28"/>
      <c r="JM9" s="28">
        <v>4.48420497E8</v>
      </c>
      <c r="JN9" s="80">
        <v>3.9472443E13</v>
      </c>
      <c r="JO9" s="67">
        <v>9443310.0</v>
      </c>
      <c r="JP9" s="67">
        <v>4.5879584E7</v>
      </c>
      <c r="JQ9" s="67">
        <v>4.4124797E7</v>
      </c>
      <c r="JR9" s="28">
        <v>9000000.0</v>
      </c>
      <c r="JS9" s="80">
        <v>8.1025E12</v>
      </c>
      <c r="JT9" s="78">
        <v>3.260147119E9</v>
      </c>
      <c r="JU9" s="67"/>
      <c r="JV9" s="67"/>
      <c r="JW9" s="67">
        <v>1.112854406E9</v>
      </c>
      <c r="JX9" s="28">
        <v>1.44E8</v>
      </c>
      <c r="JY9" s="67">
        <v>5.7360458E7</v>
      </c>
      <c r="JZ9" s="78">
        <v>1.314214864E9</v>
      </c>
      <c r="KA9" s="28"/>
      <c r="KB9" s="80"/>
      <c r="KC9" s="67">
        <v>3.7721614E7</v>
      </c>
      <c r="KD9" s="78">
        <v>3.7721614E7</v>
      </c>
      <c r="KE9" s="27"/>
      <c r="KF9" s="28"/>
      <c r="KG9" s="28">
        <v>1.0529676E7</v>
      </c>
      <c r="KH9" s="28">
        <v>6234595.0</v>
      </c>
      <c r="KI9" s="28">
        <v>1.52223945E8</v>
      </c>
      <c r="KJ9" s="28" t="s">
        <v>295</v>
      </c>
      <c r="KK9" s="28">
        <v>600.0</v>
      </c>
      <c r="KL9" s="28"/>
      <c r="KM9" s="28">
        <v>1388801.0</v>
      </c>
      <c r="KN9" s="62">
        <v>1.70377617E8</v>
      </c>
      <c r="KO9" s="28"/>
      <c r="KP9" s="28"/>
      <c r="KQ9" s="28">
        <v>9314146.0</v>
      </c>
      <c r="KR9" s="28">
        <v>1.622930028E9</v>
      </c>
      <c r="KS9" s="28"/>
      <c r="KT9" s="28">
        <v>9.3666662E7</v>
      </c>
      <c r="KU9" s="27"/>
      <c r="KV9" s="27" t="s">
        <v>295</v>
      </c>
      <c r="KW9" s="28">
        <v>640203.0</v>
      </c>
      <c r="KX9" s="28"/>
      <c r="KY9" s="28">
        <v>400407.0</v>
      </c>
      <c r="KZ9" s="28">
        <v>4.5E8</v>
      </c>
      <c r="LA9" s="27"/>
      <c r="LB9" s="27"/>
      <c r="LC9" s="27" t="s">
        <v>295</v>
      </c>
      <c r="LD9" s="28"/>
      <c r="LE9" s="62">
        <v>2.176951445E9</v>
      </c>
      <c r="LF9" s="27"/>
      <c r="LG9" s="27"/>
      <c r="LH9" s="28">
        <v>939175.0</v>
      </c>
      <c r="LI9" s="28">
        <v>939175.0</v>
      </c>
      <c r="LJ9" s="62">
        <f t="shared" si="1"/>
        <v>6789035042</v>
      </c>
      <c r="LK9" s="28"/>
    </row>
    <row r="10">
      <c r="A10" s="49" t="s">
        <v>302</v>
      </c>
      <c r="B10" s="50">
        <v>2.9575707285E10</v>
      </c>
      <c r="C10" s="52">
        <v>2.2158325998E10</v>
      </c>
      <c r="D10" s="53">
        <v>7.417381287E9</v>
      </c>
      <c r="E10" s="50"/>
      <c r="F10" s="50">
        <v>3.742450493E9</v>
      </c>
      <c r="G10" s="50">
        <v>5.12771636E8</v>
      </c>
      <c r="H10" s="52">
        <v>4.59755E7</v>
      </c>
      <c r="I10" s="53">
        <v>4.301197629E9</v>
      </c>
      <c r="J10" s="53">
        <v>3.116183658E9</v>
      </c>
      <c r="K10" s="50"/>
      <c r="L10" s="50">
        <v>4.66038804E8</v>
      </c>
      <c r="M10" s="52">
        <v>2.337754847E9</v>
      </c>
      <c r="N10" s="54">
        <v>-1.871716042E9</v>
      </c>
      <c r="O10" s="50"/>
      <c r="P10" s="53">
        <v>1.244467616E9</v>
      </c>
      <c r="Q10" s="50">
        <v>7073168.0</v>
      </c>
      <c r="R10" s="50"/>
      <c r="S10" s="54">
        <v>7073168.0</v>
      </c>
      <c r="T10" s="53">
        <v>1.237394448E9</v>
      </c>
      <c r="U10" s="81"/>
      <c r="V10" s="57"/>
      <c r="W10" s="58">
        <v>0.0</v>
      </c>
      <c r="X10" s="59">
        <v>1.237394448E9</v>
      </c>
      <c r="Y10" s="27"/>
      <c r="AB10" s="67"/>
      <c r="AC10" s="67"/>
      <c r="AD10" s="67">
        <v>2.2149448688E10</v>
      </c>
      <c r="AE10" s="67">
        <v>3.9387620234E10</v>
      </c>
      <c r="AF10" s="67"/>
      <c r="AG10" s="67">
        <v>-7.26809713E8</v>
      </c>
      <c r="AH10" s="67">
        <v>8.069303618E9</v>
      </c>
      <c r="AI10" s="67">
        <v>9.9484397378E10</v>
      </c>
      <c r="AJ10" s="67" t="s">
        <v>295</v>
      </c>
      <c r="AK10" s="67"/>
      <c r="AL10" s="67">
        <v>4.2184427546E10</v>
      </c>
      <c r="AM10" s="79">
        <v>1.3027126905E10</v>
      </c>
      <c r="AN10" s="78">
        <v>2.23575514655E11</v>
      </c>
      <c r="AO10" s="67"/>
      <c r="AP10" s="67" t="s">
        <v>295</v>
      </c>
      <c r="AQ10" s="67">
        <v>1.30729959005E11</v>
      </c>
      <c r="AR10" s="67">
        <v>7.117825212E9</v>
      </c>
      <c r="AS10" s="67"/>
      <c r="AT10" s="67"/>
      <c r="AU10" s="67">
        <v>3.097471E9</v>
      </c>
      <c r="AV10" s="82">
        <v>1.40945255216E11</v>
      </c>
      <c r="AW10" s="78">
        <v>3.64520769872E11</v>
      </c>
      <c r="AX10" s="67"/>
      <c r="AY10" s="67"/>
      <c r="AZ10" s="67"/>
      <c r="BA10" s="67">
        <v>1.3754261151E10</v>
      </c>
      <c r="BB10" s="67"/>
      <c r="BC10" s="67" t="s">
        <v>295</v>
      </c>
      <c r="BD10" s="67" t="s">
        <v>295</v>
      </c>
      <c r="BE10" s="67">
        <v>5.190026785E9</v>
      </c>
      <c r="BF10" s="67">
        <v>2.875451223E9</v>
      </c>
      <c r="BG10" s="67"/>
      <c r="BH10" s="67"/>
      <c r="BI10" s="67">
        <v>2.04767964E8</v>
      </c>
      <c r="BJ10" s="67" t="s">
        <v>295</v>
      </c>
      <c r="BK10" s="79">
        <v>1.86931451312E11</v>
      </c>
      <c r="BL10" s="78">
        <v>2.08955958435E11</v>
      </c>
      <c r="BM10" s="67"/>
      <c r="BN10" s="67">
        <v>1.5378310047E10</v>
      </c>
      <c r="BO10" s="67"/>
      <c r="BP10" s="67"/>
      <c r="BQ10" s="67">
        <v>1.069950088E10</v>
      </c>
      <c r="BR10" s="67" t="s">
        <v>295</v>
      </c>
      <c r="BS10" s="82">
        <v>2.6077810927E10</v>
      </c>
      <c r="BT10" s="78">
        <v>2.35033769362E11</v>
      </c>
      <c r="BU10" s="67"/>
      <c r="BV10" s="67">
        <v>6.8245E10</v>
      </c>
      <c r="BW10" s="67" t="s">
        <v>295</v>
      </c>
      <c r="BX10" s="67">
        <v>9.828369801E9</v>
      </c>
      <c r="BY10" s="67">
        <v>5.0176612716E10</v>
      </c>
      <c r="BZ10" s="67">
        <v>-3.110625307E9</v>
      </c>
      <c r="CA10" s="67" t="s">
        <v>295</v>
      </c>
      <c r="CB10" s="67">
        <v>4.3476433E9</v>
      </c>
      <c r="CC10" s="78">
        <v>1.29487000509E11</v>
      </c>
      <c r="CD10" s="82">
        <v>3.64520769872E11</v>
      </c>
      <c r="CF10" s="49" t="s">
        <v>302</v>
      </c>
      <c r="CG10" s="27"/>
      <c r="CH10" s="28"/>
      <c r="CI10" s="27"/>
      <c r="CJ10" s="28"/>
      <c r="CK10" s="27"/>
      <c r="CL10" s="27"/>
      <c r="CM10" s="27"/>
      <c r="CN10" s="28"/>
      <c r="CO10" s="28"/>
      <c r="CP10" s="28"/>
      <c r="CQ10" s="28"/>
      <c r="CR10" s="28"/>
      <c r="CS10" s="28"/>
      <c r="CT10" s="27"/>
      <c r="CU10" s="28"/>
      <c r="CV10" s="28"/>
      <c r="CW10" s="28"/>
      <c r="CX10" s="27"/>
      <c r="CY10" s="27"/>
      <c r="CZ10" s="28"/>
      <c r="DA10" s="28"/>
      <c r="DB10" s="27"/>
      <c r="DC10" s="28"/>
      <c r="DD10" s="27"/>
      <c r="DE10" s="28"/>
      <c r="DF10" s="28"/>
      <c r="DG10" s="27"/>
      <c r="DH10" s="28"/>
      <c r="DI10" s="27"/>
      <c r="DJ10" s="28"/>
      <c r="DK10" s="28"/>
      <c r="DL10" s="28"/>
      <c r="DM10" s="28"/>
      <c r="DP10" s="64"/>
      <c r="DQ10" s="49" t="s">
        <v>302</v>
      </c>
      <c r="DR10" s="28">
        <v>2.9612451591E10</v>
      </c>
      <c r="DS10" s="28"/>
      <c r="DT10" s="28">
        <v>-3070219.0</v>
      </c>
      <c r="DU10" s="28">
        <v>-3.3674087E7</v>
      </c>
      <c r="DV10" s="62">
        <v>2.9575707285E10</v>
      </c>
      <c r="DW10" s="27"/>
      <c r="DX10" s="27"/>
      <c r="DY10" s="28"/>
      <c r="DZ10" s="28">
        <v>2.1523784259E10</v>
      </c>
      <c r="EA10" s="27" t="s">
        <v>295</v>
      </c>
      <c r="EB10" s="28"/>
      <c r="EC10" s="28"/>
      <c r="ED10" s="28"/>
      <c r="EE10" s="28">
        <v>2.39260219E8</v>
      </c>
      <c r="EF10" s="28">
        <v>1836691.0</v>
      </c>
      <c r="EG10" s="28">
        <v>2481691.0</v>
      </c>
      <c r="EH10" s="28">
        <v>7725793.0</v>
      </c>
      <c r="EI10" s="28">
        <v>879241.0</v>
      </c>
      <c r="EJ10" s="28">
        <v>312254.0</v>
      </c>
      <c r="EK10" s="28">
        <v>28846.0</v>
      </c>
      <c r="EL10" s="28">
        <v>4071356.0</v>
      </c>
      <c r="EM10" s="28">
        <v>3.5630504E7</v>
      </c>
      <c r="EN10" s="28"/>
      <c r="EO10" s="28">
        <v>4.97E7</v>
      </c>
      <c r="EP10" s="28">
        <v>-1.9826732E7</v>
      </c>
      <c r="EQ10" s="28"/>
      <c r="ER10" s="28">
        <v>3.24285484E8</v>
      </c>
      <c r="ES10" s="28">
        <v>3.07270932E8</v>
      </c>
      <c r="ET10" s="28">
        <v>1.524741357E9</v>
      </c>
      <c r="EU10" s="28"/>
      <c r="EV10" s="28">
        <v>8997500.0</v>
      </c>
      <c r="EW10" s="28"/>
      <c r="EX10" s="28">
        <v>1.9511377E7</v>
      </c>
      <c r="EY10" s="28">
        <v>7.7483483E7</v>
      </c>
      <c r="EZ10" s="28">
        <v>1.5652758E8</v>
      </c>
      <c r="FA10" s="28">
        <v>7819930.0</v>
      </c>
      <c r="FB10" s="28"/>
      <c r="FC10" s="28">
        <v>7.8075299E7</v>
      </c>
      <c r="FD10" s="28">
        <v>2.0153339E7</v>
      </c>
      <c r="FE10" s="28"/>
      <c r="FF10" s="28">
        <v>684320.0</v>
      </c>
      <c r="FG10" s="28">
        <v>2286123.0</v>
      </c>
      <c r="FH10" s="28"/>
      <c r="FI10" s="28">
        <v>3.648E7</v>
      </c>
      <c r="FJ10" s="28">
        <v>3.121895E7</v>
      </c>
      <c r="FK10" s="28"/>
      <c r="FL10" s="28"/>
      <c r="FM10" s="28"/>
      <c r="FN10" s="28">
        <v>660000.0</v>
      </c>
      <c r="FO10" s="28">
        <v>2.1235165E7</v>
      </c>
      <c r="FP10" s="28"/>
      <c r="FQ10" s="28">
        <v>5191495.0</v>
      </c>
      <c r="FR10" s="28">
        <v>2.67015399E8</v>
      </c>
      <c r="FS10" s="28"/>
      <c r="FT10" s="28"/>
      <c r="FU10" s="28"/>
      <c r="FV10" s="28">
        <v>2.3405E7</v>
      </c>
      <c r="FW10" s="27" t="s">
        <v>295</v>
      </c>
      <c r="FX10" s="28">
        <v>1.5855186E7</v>
      </c>
      <c r="FY10" s="28"/>
      <c r="FZ10" s="28">
        <v>3.12E7</v>
      </c>
      <c r="GA10" s="28">
        <v>5.2362704E7</v>
      </c>
      <c r="GB10" s="28">
        <v>4800987.0</v>
      </c>
      <c r="GC10" s="28">
        <v>9545738.0</v>
      </c>
      <c r="GD10" s="28">
        <v>-4498687.0</v>
      </c>
      <c r="GE10" s="28">
        <v>2.1637108E7</v>
      </c>
      <c r="GF10" s="28">
        <v>3371528.0</v>
      </c>
      <c r="GG10" s="28">
        <v>3100000.0</v>
      </c>
      <c r="GH10" s="28">
        <v>144510.0</v>
      </c>
      <c r="GI10" s="27" t="s">
        <v>295</v>
      </c>
      <c r="GJ10" s="28">
        <v>1479062.0</v>
      </c>
      <c r="GK10" s="28">
        <v>1.55839622E8</v>
      </c>
      <c r="GL10" s="61"/>
      <c r="GM10" s="61">
        <v>2.5053764614E10</v>
      </c>
      <c r="GN10" s="27"/>
      <c r="GO10" s="27"/>
      <c r="GP10" s="28"/>
      <c r="GQ10" s="28">
        <v>5.0395E7</v>
      </c>
      <c r="GR10" s="28">
        <v>5.6681061E7</v>
      </c>
      <c r="GS10" s="28">
        <v>1096819.0</v>
      </c>
      <c r="GT10" s="28">
        <v>3.6840668E7</v>
      </c>
      <c r="GU10" s="28">
        <v>7.3328439E7</v>
      </c>
      <c r="GV10" s="28">
        <v>4.7894073E7</v>
      </c>
      <c r="GW10" s="28">
        <v>2.2118501E7</v>
      </c>
      <c r="GX10" s="28">
        <v>2.29723827E8</v>
      </c>
      <c r="GY10" s="28">
        <v>3.75241484E8</v>
      </c>
      <c r="GZ10" s="28">
        <v>4.92273124E8</v>
      </c>
      <c r="HA10" s="28"/>
      <c r="HB10" s="28"/>
      <c r="HC10" s="28">
        <v>3.2132452E7</v>
      </c>
      <c r="HD10" s="28"/>
      <c r="HE10" s="28"/>
      <c r="HF10" s="28">
        <v>1.86983075E8</v>
      </c>
      <c r="HG10" s="28">
        <v>3.1768205E7</v>
      </c>
      <c r="HH10" s="28">
        <v>5.784193E7</v>
      </c>
      <c r="HI10" s="27" t="s">
        <v>295</v>
      </c>
      <c r="HJ10" s="28">
        <v>3.890677E7</v>
      </c>
      <c r="HK10" s="28">
        <v>1871953.0</v>
      </c>
      <c r="HL10" s="28"/>
      <c r="HM10" s="28"/>
      <c r="HN10" s="28">
        <v>2502709.0</v>
      </c>
      <c r="HO10" s="28">
        <v>4.0696542E7</v>
      </c>
      <c r="HP10" s="28">
        <v>6577600.0</v>
      </c>
      <c r="HQ10" s="28">
        <v>3.6776784E8</v>
      </c>
      <c r="HR10" s="28">
        <v>7417000.0</v>
      </c>
      <c r="HS10" s="28">
        <v>2095000.0</v>
      </c>
      <c r="HT10" s="28">
        <v>2.54236581E8</v>
      </c>
      <c r="HU10" s="28">
        <v>2600000.0</v>
      </c>
      <c r="HV10" s="27" t="s">
        <v>295</v>
      </c>
      <c r="HW10" s="27" t="s">
        <v>295</v>
      </c>
      <c r="HX10" s="28">
        <v>2.3666755E7</v>
      </c>
      <c r="HY10" s="28">
        <v>1.235304E7</v>
      </c>
      <c r="HZ10" s="28">
        <v>2.0116987E7</v>
      </c>
      <c r="IA10" s="28">
        <v>1.3879458E7</v>
      </c>
      <c r="IB10" s="28">
        <v>2493500.0</v>
      </c>
      <c r="IC10" s="28">
        <v>2.7819907E7</v>
      </c>
      <c r="ID10" s="28">
        <v>4.2647927E7</v>
      </c>
      <c r="IE10" s="28">
        <v>1.021753E7</v>
      </c>
      <c r="IF10" s="28">
        <v>3257979.0</v>
      </c>
      <c r="IG10" s="28">
        <v>1.4755231E7</v>
      </c>
      <c r="IH10" s="28">
        <v>6850801.0</v>
      </c>
      <c r="II10" s="27"/>
      <c r="IJ10" s="27"/>
      <c r="IK10" s="27" t="s">
        <v>295</v>
      </c>
      <c r="IL10" s="27" t="s">
        <v>295</v>
      </c>
      <c r="IM10" s="28">
        <v>1.44930939E8</v>
      </c>
      <c r="IN10" s="28">
        <v>2.19782308E8</v>
      </c>
      <c r="IO10" s="27" t="s">
        <v>295</v>
      </c>
      <c r="IP10" s="28">
        <v>1.00201552E8</v>
      </c>
      <c r="IQ10" s="27" t="s">
        <v>295</v>
      </c>
      <c r="IR10" s="28"/>
      <c r="IS10" s="28">
        <v>2.0512326E7</v>
      </c>
      <c r="IT10" s="28">
        <v>1.4653153E7</v>
      </c>
      <c r="IU10" s="27" t="s">
        <v>295</v>
      </c>
      <c r="IV10" s="28"/>
      <c r="IW10" s="28"/>
      <c r="IX10" s="28">
        <v>1.7975E7</v>
      </c>
      <c r="IY10" s="28"/>
      <c r="IZ10" s="28"/>
      <c r="JA10" s="28"/>
      <c r="JB10" s="28">
        <v>5922000.0</v>
      </c>
      <c r="JC10" s="28"/>
      <c r="JD10" s="28"/>
      <c r="JE10" s="28">
        <v>330309.0</v>
      </c>
      <c r="JF10" s="39"/>
      <c r="JG10" s="39"/>
      <c r="JH10" s="39">
        <v>7.339144E12</v>
      </c>
      <c r="JI10" s="27" t="s">
        <v>295</v>
      </c>
      <c r="JJ10" s="28"/>
      <c r="JK10" s="28">
        <v>7175000.0</v>
      </c>
      <c r="JL10" s="28"/>
      <c r="JM10" s="28">
        <v>5.173919E8</v>
      </c>
      <c r="JN10" s="27" t="s">
        <v>295</v>
      </c>
      <c r="JO10" s="39">
        <v>2.127511E12</v>
      </c>
      <c r="JP10" s="28">
        <v>4.0902917E7</v>
      </c>
      <c r="JQ10" s="28">
        <v>1.0416666E7</v>
      </c>
      <c r="JR10" s="28">
        <v>4500000.0</v>
      </c>
      <c r="JS10" s="28">
        <v>3.124E7</v>
      </c>
      <c r="JT10" s="62">
        <v>3.742450493E9</v>
      </c>
      <c r="JU10" s="27"/>
      <c r="JV10" s="27"/>
      <c r="JW10" s="28">
        <v>4.23608954E8</v>
      </c>
      <c r="JX10" s="28">
        <v>2.1E7</v>
      </c>
      <c r="JY10" s="28">
        <v>6.8162682E7</v>
      </c>
      <c r="JZ10" s="62">
        <v>5.12771636E8</v>
      </c>
      <c r="KA10" s="27"/>
      <c r="KB10" s="27"/>
      <c r="KC10" s="28">
        <v>4.59755E7</v>
      </c>
      <c r="KD10" s="62">
        <v>4.59755E7</v>
      </c>
      <c r="KE10" s="27"/>
      <c r="KF10" s="27"/>
      <c r="KG10" s="28">
        <v>1.4962478E7</v>
      </c>
      <c r="KH10" s="28">
        <v>5964500.0</v>
      </c>
      <c r="KI10" s="28">
        <v>4.43109689E8</v>
      </c>
      <c r="KJ10" s="28">
        <v>2000000.0</v>
      </c>
      <c r="KK10" s="28">
        <v>2137.0</v>
      </c>
      <c r="KL10" s="27"/>
      <c r="KM10" s="27" t="s">
        <v>295</v>
      </c>
      <c r="KN10" s="62">
        <v>4.66038804E8</v>
      </c>
      <c r="KO10" s="27"/>
      <c r="KP10" s="27"/>
      <c r="KQ10" s="28">
        <v>1.1342866E7</v>
      </c>
      <c r="KR10" s="28">
        <v>1.666356554E9</v>
      </c>
      <c r="KS10" s="28"/>
      <c r="KT10" s="28">
        <v>9.9369633E7</v>
      </c>
      <c r="KU10" s="27"/>
      <c r="KV10" s="27" t="s">
        <v>295</v>
      </c>
      <c r="KW10" s="28">
        <v>2065.0</v>
      </c>
      <c r="KX10" s="28">
        <v>1.0611228E7</v>
      </c>
      <c r="KY10" s="27"/>
      <c r="KZ10" s="28">
        <v>5.5E8</v>
      </c>
      <c r="LA10" s="27"/>
      <c r="LB10" s="27"/>
      <c r="LC10" s="27" t="s">
        <v>295</v>
      </c>
      <c r="LD10" s="28"/>
      <c r="LE10" s="62">
        <v>2.337682345E9</v>
      </c>
      <c r="LF10" s="27"/>
      <c r="LG10" s="27"/>
      <c r="LH10" s="28">
        <v>7073168.0</v>
      </c>
      <c r="LI10" s="28">
        <v>7073168.0</v>
      </c>
      <c r="LJ10" s="62">
        <f t="shared" si="1"/>
        <v>6638879974</v>
      </c>
      <c r="LK10" s="28"/>
    </row>
    <row r="11">
      <c r="A11" s="49" t="s">
        <v>304</v>
      </c>
      <c r="B11" s="83">
        <v>2.8480547642E10</v>
      </c>
      <c r="C11" s="84">
        <v>1.90376299E10</v>
      </c>
      <c r="D11" s="53">
        <v>9.442917742E9</v>
      </c>
      <c r="E11" s="83"/>
      <c r="F11" s="83">
        <v>4.097901831E9</v>
      </c>
      <c r="G11" s="83">
        <v>4.24604784E8</v>
      </c>
      <c r="H11" s="84">
        <v>1.4616902E7</v>
      </c>
      <c r="I11" s="53">
        <v>4.537123517E9</v>
      </c>
      <c r="J11" s="53">
        <v>4.905794225E9</v>
      </c>
      <c r="K11" s="85"/>
      <c r="L11" s="85">
        <v>9.35138038E8</v>
      </c>
      <c r="M11" s="86">
        <v>2.473379589E9</v>
      </c>
      <c r="N11" s="54">
        <v>-1.538241551E9</v>
      </c>
      <c r="O11" s="87"/>
      <c r="P11" s="88">
        <v>3.367552675E9</v>
      </c>
      <c r="Q11" s="85">
        <v>3845.0</v>
      </c>
      <c r="R11" s="85"/>
      <c r="S11" s="54">
        <v>3845.0</v>
      </c>
      <c r="T11" s="53">
        <v>3.36754883E9</v>
      </c>
      <c r="U11" s="89"/>
      <c r="V11" s="90"/>
      <c r="W11" s="58">
        <v>0.0</v>
      </c>
      <c r="X11" s="59">
        <v>3.36754883E9</v>
      </c>
      <c r="Y11" s="27"/>
      <c r="AB11" s="67"/>
      <c r="AC11" s="67"/>
      <c r="AD11" s="92">
        <v>2.5811037262E10</v>
      </c>
      <c r="AE11" s="92">
        <v>4.7008967012E10</v>
      </c>
      <c r="AF11" s="92"/>
      <c r="AG11" s="92">
        <v>-7.26809713E8</v>
      </c>
      <c r="AH11" s="92">
        <v>7.289928852E9</v>
      </c>
      <c r="AI11" s="92">
        <v>1.05118264727E11</v>
      </c>
      <c r="AJ11" s="92" t="s">
        <v>295</v>
      </c>
      <c r="AK11" s="92"/>
      <c r="AL11" s="92">
        <v>3.5666207828E10</v>
      </c>
      <c r="AM11" s="94">
        <v>1.4770319852E10</v>
      </c>
      <c r="AN11" s="95">
        <v>2.34937915819E11</v>
      </c>
      <c r="AO11" s="92"/>
      <c r="AP11" s="92" t="s">
        <v>295</v>
      </c>
      <c r="AQ11" s="92">
        <v>1.31006355933E11</v>
      </c>
      <c r="AR11" s="92">
        <v>7.088722766E9</v>
      </c>
      <c r="AS11" s="92"/>
      <c r="AT11" s="92"/>
      <c r="AU11" s="92">
        <v>3.097471E9</v>
      </c>
      <c r="AV11" s="96">
        <v>1.41192549699E11</v>
      </c>
      <c r="AW11" s="95">
        <v>3.76130465518E11</v>
      </c>
      <c r="AX11" s="92"/>
      <c r="AY11" s="92"/>
      <c r="AZ11" s="92"/>
      <c r="BA11" s="92">
        <v>2.2160497551E10</v>
      </c>
      <c r="BB11" s="92"/>
      <c r="BC11" s="92" t="s">
        <v>295</v>
      </c>
      <c r="BD11" s="92" t="s">
        <v>295</v>
      </c>
      <c r="BE11" s="92">
        <v>7.273003713E9</v>
      </c>
      <c r="BF11" s="92">
        <v>1.17036553E9</v>
      </c>
      <c r="BG11" s="92"/>
      <c r="BH11" s="92"/>
      <c r="BI11" s="92">
        <v>2.09126689E8</v>
      </c>
      <c r="BJ11" s="92" t="s">
        <v>295</v>
      </c>
      <c r="BK11" s="94">
        <v>2.0177331116E11</v>
      </c>
      <c r="BL11" s="95">
        <v>2.32586304644E11</v>
      </c>
      <c r="BM11" s="92"/>
      <c r="BN11" s="92" t="s">
        <v>295</v>
      </c>
      <c r="BO11" s="92"/>
      <c r="BP11" s="92"/>
      <c r="BQ11" s="92">
        <v>1.0689684037E10</v>
      </c>
      <c r="BR11" s="92" t="s">
        <v>295</v>
      </c>
      <c r="BS11" s="96">
        <v>1.0689684037E10</v>
      </c>
      <c r="BT11" s="95">
        <v>2.43275988681E11</v>
      </c>
      <c r="BU11" s="92"/>
      <c r="BV11" s="92">
        <v>6.8245E10</v>
      </c>
      <c r="BW11" s="92" t="s">
        <v>295</v>
      </c>
      <c r="BX11" s="92">
        <v>1.3195846129E10</v>
      </c>
      <c r="BY11" s="92">
        <v>5.0176612716E10</v>
      </c>
      <c r="BZ11" s="92">
        <v>-3.110625307E9</v>
      </c>
      <c r="CA11" s="92" t="s">
        <v>295</v>
      </c>
      <c r="CB11" s="92">
        <v>4.3476433E9</v>
      </c>
      <c r="CC11" s="95">
        <v>1.32854476837E11</v>
      </c>
      <c r="CD11" s="96">
        <v>3.76130465518E11</v>
      </c>
      <c r="CF11" s="49" t="s">
        <v>304</v>
      </c>
      <c r="CG11" s="27"/>
      <c r="CH11" s="28"/>
      <c r="CI11" s="27"/>
      <c r="CJ11" s="28"/>
      <c r="CK11" s="27"/>
      <c r="CL11" s="27"/>
      <c r="CM11" s="27"/>
      <c r="CN11" s="28"/>
      <c r="CO11" s="28"/>
      <c r="CP11" s="28"/>
      <c r="CQ11" s="28"/>
      <c r="CR11" s="28"/>
      <c r="CS11" s="28"/>
      <c r="CT11" s="27"/>
      <c r="CU11" s="28"/>
      <c r="CV11" s="28"/>
      <c r="CW11" s="28"/>
      <c r="CX11" s="27"/>
      <c r="CY11" s="27"/>
      <c r="CZ11" s="28"/>
      <c r="DA11" s="28"/>
      <c r="DB11" s="27"/>
      <c r="DC11" s="28"/>
      <c r="DD11" s="27"/>
      <c r="DE11" s="28"/>
      <c r="DF11" s="28"/>
      <c r="DG11" s="27"/>
      <c r="DH11" s="28"/>
      <c r="DI11" s="27"/>
      <c r="DJ11" s="28"/>
      <c r="DK11" s="28"/>
      <c r="DL11" s="28"/>
      <c r="DM11" s="28"/>
      <c r="DP11" s="64"/>
      <c r="DQ11" s="49" t="s">
        <v>304</v>
      </c>
      <c r="DR11" s="28">
        <v>2.8705068315E10</v>
      </c>
      <c r="DS11" s="28"/>
      <c r="DT11" s="28">
        <v>-3554196.0</v>
      </c>
      <c r="DU11" s="28">
        <v>-2.20966477E8</v>
      </c>
      <c r="DV11" s="62">
        <v>2.8480547642E10</v>
      </c>
      <c r="DW11" s="27"/>
      <c r="DX11" s="27"/>
      <c r="DY11" s="28"/>
      <c r="DZ11" s="28">
        <v>1.529747261E10</v>
      </c>
      <c r="EA11" s="28">
        <v>6335000.0</v>
      </c>
      <c r="EB11" s="28"/>
      <c r="EC11" s="28"/>
      <c r="ED11" s="28"/>
      <c r="EE11" s="28">
        <v>2.41470269E8</v>
      </c>
      <c r="EF11" s="28">
        <v>7893570.0</v>
      </c>
      <c r="EG11" s="28">
        <v>2.3588612E7</v>
      </c>
      <c r="EH11" s="28">
        <v>3967052.0</v>
      </c>
      <c r="EI11" s="28">
        <v>5338824.0</v>
      </c>
      <c r="EJ11" s="28">
        <v>1.2976311E7</v>
      </c>
      <c r="EK11" s="28">
        <v>1.3263163E7</v>
      </c>
      <c r="EL11" s="28">
        <v>1.1046185E7</v>
      </c>
      <c r="EM11" s="28">
        <v>3.6158762E7</v>
      </c>
      <c r="EN11" s="28"/>
      <c r="EO11" s="28">
        <v>4.65E7</v>
      </c>
      <c r="EP11" s="28">
        <v>5.3799097E7</v>
      </c>
      <c r="EQ11" s="28"/>
      <c r="ER11" s="28">
        <v>3.31196306E8</v>
      </c>
      <c r="ES11" s="28">
        <v>7.3039394E7</v>
      </c>
      <c r="ET11" s="28">
        <v>1.272103653E9</v>
      </c>
      <c r="EU11" s="28"/>
      <c r="EV11" s="28">
        <v>8752500.0</v>
      </c>
      <c r="EW11" s="72"/>
      <c r="EX11" s="28">
        <v>6.711916E7</v>
      </c>
      <c r="EY11" s="28">
        <v>8.1128729E7</v>
      </c>
      <c r="EZ11" s="28">
        <v>1.66385566E8</v>
      </c>
      <c r="FA11" s="28">
        <v>5.1803988E7</v>
      </c>
      <c r="FB11" s="28"/>
      <c r="FC11" s="28">
        <v>1.43239832E8</v>
      </c>
      <c r="FD11" s="28">
        <v>2.7391726E7</v>
      </c>
      <c r="FE11" s="28"/>
      <c r="FF11" s="28">
        <v>3470445.0</v>
      </c>
      <c r="FG11" s="27" t="s">
        <v>295</v>
      </c>
      <c r="FH11" s="28"/>
      <c r="FI11" s="28">
        <v>1.287E7</v>
      </c>
      <c r="FJ11" s="28">
        <v>2.8346753E7</v>
      </c>
      <c r="FK11" s="27"/>
      <c r="FL11" s="27"/>
      <c r="FM11" s="27"/>
      <c r="FN11" s="27" t="s">
        <v>295</v>
      </c>
      <c r="FO11" s="28">
        <v>1.1362655E7</v>
      </c>
      <c r="FP11" s="28"/>
      <c r="FQ11" s="28">
        <v>1.0140738E7</v>
      </c>
      <c r="FR11" s="28">
        <v>1.80113477E8</v>
      </c>
      <c r="FS11" s="28"/>
      <c r="FT11" s="28"/>
      <c r="FU11" s="28"/>
      <c r="FV11" s="28">
        <v>6.0479625E7</v>
      </c>
      <c r="FW11" s="28">
        <v>1.32298674E8</v>
      </c>
      <c r="FX11" s="27" t="s">
        <v>295</v>
      </c>
      <c r="FY11" s="28"/>
      <c r="FZ11" s="28">
        <v>6254458.0</v>
      </c>
      <c r="GA11" s="28">
        <v>7.6165543E7</v>
      </c>
      <c r="GB11" s="28">
        <v>7421789.0</v>
      </c>
      <c r="GC11" s="28">
        <v>2440212.0</v>
      </c>
      <c r="GD11" s="28">
        <v>1547331.0</v>
      </c>
      <c r="GE11" s="28">
        <v>2.64207721E8</v>
      </c>
      <c r="GF11" s="28">
        <v>6630000.0</v>
      </c>
      <c r="GG11" s="27" t="s">
        <v>295</v>
      </c>
      <c r="GH11" s="27" t="s">
        <v>295</v>
      </c>
      <c r="GI11" s="28">
        <v>2.505E8</v>
      </c>
      <c r="GJ11" s="28">
        <v>1410168.0</v>
      </c>
      <c r="GK11" s="27" t="s">
        <v>295</v>
      </c>
      <c r="GL11" s="61"/>
      <c r="GM11" s="61">
        <v>1.90376299E10</v>
      </c>
      <c r="GN11" s="27"/>
      <c r="GO11" s="27"/>
      <c r="GP11" s="28"/>
      <c r="GQ11" s="28">
        <v>4.9425481E7</v>
      </c>
      <c r="GR11" s="28">
        <v>6.20937378E8</v>
      </c>
      <c r="GS11" s="27" t="s">
        <v>295</v>
      </c>
      <c r="GT11" s="28">
        <v>3.40723E7</v>
      </c>
      <c r="GU11" s="28">
        <v>7.3328439E7</v>
      </c>
      <c r="GV11" s="28">
        <v>4.8780029E7</v>
      </c>
      <c r="GW11" s="28">
        <v>2.2118501E7</v>
      </c>
      <c r="GX11" s="28">
        <v>2.29723827E8</v>
      </c>
      <c r="GY11" s="28">
        <v>4.24978646E8</v>
      </c>
      <c r="GZ11" s="28">
        <v>4.37607566E8</v>
      </c>
      <c r="HA11" s="28"/>
      <c r="HB11" s="28"/>
      <c r="HC11" s="28">
        <v>2.0723838E7</v>
      </c>
      <c r="HD11" s="28"/>
      <c r="HE11" s="28"/>
      <c r="HF11" s="28">
        <v>1.8248307E8</v>
      </c>
      <c r="HG11" s="28">
        <v>3.2401245E7</v>
      </c>
      <c r="HH11" s="28">
        <v>6.0872712E7</v>
      </c>
      <c r="HI11" s="28">
        <v>1495000.0</v>
      </c>
      <c r="HJ11" s="28">
        <v>3.8919265E7</v>
      </c>
      <c r="HK11" s="28">
        <v>153153.0</v>
      </c>
      <c r="HL11" s="28"/>
      <c r="HM11" s="28"/>
      <c r="HN11" s="28">
        <v>2502709.0</v>
      </c>
      <c r="HO11" s="28">
        <v>4.2962572E7</v>
      </c>
      <c r="HP11" s="28">
        <v>3092549.0</v>
      </c>
      <c r="HQ11" s="28">
        <v>3.87891565E8</v>
      </c>
      <c r="HR11" s="28">
        <v>4422601.0</v>
      </c>
      <c r="HS11" s="28">
        <v>6264262.0</v>
      </c>
      <c r="HT11" s="28">
        <v>9.8612811E7</v>
      </c>
      <c r="HU11" s="28">
        <v>2.3925E7</v>
      </c>
      <c r="HV11" s="27" t="s">
        <v>295</v>
      </c>
      <c r="HW11" s="27" t="s">
        <v>295</v>
      </c>
      <c r="HX11" s="28">
        <v>7.7690444E7</v>
      </c>
      <c r="HY11" s="28">
        <v>1.0424848E7</v>
      </c>
      <c r="HZ11" s="28">
        <v>1.1335522E7</v>
      </c>
      <c r="IA11" s="28">
        <v>1271660.0</v>
      </c>
      <c r="IB11" s="28">
        <v>369200.0</v>
      </c>
      <c r="IC11" s="28">
        <v>7169400.0</v>
      </c>
      <c r="ID11" s="28">
        <v>1.0855249E7</v>
      </c>
      <c r="IE11" s="28">
        <v>1.3059808E7</v>
      </c>
      <c r="IF11" s="28">
        <v>5984394.0</v>
      </c>
      <c r="IG11" s="28">
        <v>2.4511E7</v>
      </c>
      <c r="IH11" s="28">
        <v>1.3869351E7</v>
      </c>
      <c r="II11" s="28"/>
      <c r="IJ11" s="28"/>
      <c r="IK11" s="28">
        <v>2200000.0</v>
      </c>
      <c r="IL11" s="28">
        <v>425978.0</v>
      </c>
      <c r="IM11" s="28">
        <v>9.4163039E7</v>
      </c>
      <c r="IN11" s="28">
        <v>7.6673615E7</v>
      </c>
      <c r="IO11" s="27" t="s">
        <v>295</v>
      </c>
      <c r="IP11" s="28">
        <v>1.01178352E8</v>
      </c>
      <c r="IQ11" s="27" t="s">
        <v>295</v>
      </c>
      <c r="IR11" s="28"/>
      <c r="IS11" s="28">
        <v>3064288.0</v>
      </c>
      <c r="IT11" s="28">
        <v>1.15E7</v>
      </c>
      <c r="IU11" s="28">
        <v>1.1E8</v>
      </c>
      <c r="IV11" s="28"/>
      <c r="IW11" s="28"/>
      <c r="IX11" s="28">
        <v>8400000.0</v>
      </c>
      <c r="IY11" s="28"/>
      <c r="IZ11" s="28"/>
      <c r="JA11" s="28"/>
      <c r="JB11" s="28">
        <v>2.075E7</v>
      </c>
      <c r="JC11" s="28"/>
      <c r="JD11" s="28"/>
      <c r="JE11" s="28">
        <v>1375000.0</v>
      </c>
      <c r="JF11" s="39"/>
      <c r="JG11" s="39"/>
      <c r="JH11" s="39">
        <v>7.339144E12</v>
      </c>
      <c r="JI11" s="28">
        <v>3631104.0</v>
      </c>
      <c r="JJ11" s="27"/>
      <c r="JK11" s="27" t="s">
        <v>295</v>
      </c>
      <c r="JL11" s="28"/>
      <c r="JM11" s="28">
        <v>5.06580138E8</v>
      </c>
      <c r="JN11" s="27" t="s">
        <v>295</v>
      </c>
      <c r="JO11" s="39">
        <v>1.1976274E13</v>
      </c>
      <c r="JP11" s="28">
        <v>4.3039505E7</v>
      </c>
      <c r="JQ11" s="28">
        <v>4.83075E7</v>
      </c>
      <c r="JR11" s="28">
        <v>4500000.0</v>
      </c>
      <c r="JS11" s="28">
        <v>1.85625E7</v>
      </c>
      <c r="JT11" s="62">
        <v>4.097901831E9</v>
      </c>
      <c r="JU11" s="27"/>
      <c r="JV11" s="27"/>
      <c r="JW11" s="28">
        <v>3.33049075E8</v>
      </c>
      <c r="JX11" s="28">
        <v>1.7E7</v>
      </c>
      <c r="JY11" s="28">
        <v>7.4555709E7</v>
      </c>
      <c r="JZ11" s="62">
        <v>4.24604784E8</v>
      </c>
      <c r="KA11" s="27"/>
      <c r="KB11" s="27"/>
      <c r="KC11" s="28">
        <v>1.4616902E7</v>
      </c>
      <c r="KD11" s="62">
        <v>1.4616902E7</v>
      </c>
      <c r="KE11" s="27"/>
      <c r="KF11" s="27"/>
      <c r="KG11" s="28">
        <v>8597604.0</v>
      </c>
      <c r="KH11" s="28">
        <v>6489000.0</v>
      </c>
      <c r="KI11" s="28">
        <v>8.73214712E8</v>
      </c>
      <c r="KJ11" s="28">
        <v>4.68265E7</v>
      </c>
      <c r="KK11" s="28">
        <v>10222.0</v>
      </c>
      <c r="KL11" s="27"/>
      <c r="KM11" s="27"/>
      <c r="KN11" s="62">
        <v>9.35138038E8</v>
      </c>
      <c r="KO11" s="27"/>
      <c r="KP11" s="27"/>
      <c r="KQ11" s="28">
        <v>9521123.0</v>
      </c>
      <c r="KR11" s="28">
        <v>1.809093898E9</v>
      </c>
      <c r="KS11" s="28"/>
      <c r="KT11" s="28">
        <v>1.36745E8</v>
      </c>
      <c r="KU11" s="27"/>
      <c r="KV11" s="27">
        <v>0.0</v>
      </c>
      <c r="KW11" s="28">
        <v>4866.0</v>
      </c>
      <c r="KX11" s="27"/>
      <c r="KY11" s="28">
        <v>2719701.0</v>
      </c>
      <c r="KZ11" s="28">
        <v>3.5E8</v>
      </c>
      <c r="LA11" s="28"/>
      <c r="LB11" s="28">
        <v>1.65295E8</v>
      </c>
      <c r="LC11" s="27" t="s">
        <v>295</v>
      </c>
      <c r="LD11" s="28"/>
      <c r="LE11" s="62">
        <v>2.473379589E9</v>
      </c>
      <c r="LF11" s="27"/>
      <c r="LG11" s="27"/>
      <c r="LH11" s="28">
        <v>3845.0</v>
      </c>
      <c r="LI11" s="28">
        <v>3845.0</v>
      </c>
      <c r="LJ11" s="62">
        <f t="shared" si="1"/>
        <v>7010503106</v>
      </c>
      <c r="LK11" s="28"/>
    </row>
    <row r="12">
      <c r="A12" s="49" t="s">
        <v>313</v>
      </c>
      <c r="B12" s="50">
        <v>4.385928922E10</v>
      </c>
      <c r="C12" s="52">
        <v>3.5299745158E10</v>
      </c>
      <c r="D12" s="53">
        <v>8.559544062E9</v>
      </c>
      <c r="E12" s="50"/>
      <c r="F12" s="50">
        <v>3.91438784E9</v>
      </c>
      <c r="G12" s="50">
        <v>8.6496139E8</v>
      </c>
      <c r="H12" s="50">
        <v>8.00877E7</v>
      </c>
      <c r="I12" s="53">
        <v>4.85943693E9</v>
      </c>
      <c r="J12" s="53">
        <v>3.700107132E9</v>
      </c>
      <c r="K12" s="50"/>
      <c r="L12" s="85">
        <v>3.2493074E7</v>
      </c>
      <c r="M12" s="52">
        <v>2.67945241E9</v>
      </c>
      <c r="N12" s="54">
        <v>-2.646959337E9</v>
      </c>
      <c r="O12" s="50"/>
      <c r="P12" s="53">
        <v>1.053147795E9</v>
      </c>
      <c r="Q12" s="50">
        <v>234133.0</v>
      </c>
      <c r="R12" s="50"/>
      <c r="S12" s="54">
        <v>234133.0</v>
      </c>
      <c r="T12" s="53">
        <v>1.052913662E9</v>
      </c>
      <c r="U12" s="81"/>
      <c r="V12" s="57"/>
      <c r="W12" s="58">
        <v>0.0</v>
      </c>
      <c r="X12" s="59">
        <v>1.052913662E9</v>
      </c>
      <c r="Y12" s="27"/>
      <c r="AB12" s="27"/>
      <c r="AC12" s="27"/>
      <c r="AD12" s="28">
        <v>1.5936203293E10</v>
      </c>
      <c r="AE12" s="28">
        <v>6.3024226276E10</v>
      </c>
      <c r="AF12" s="28"/>
      <c r="AG12" s="28">
        <v>-7.26809713E8</v>
      </c>
      <c r="AH12" s="28">
        <v>6.595645696E9</v>
      </c>
      <c r="AI12" s="28">
        <v>1.07226471817E11</v>
      </c>
      <c r="AJ12" s="27" t="s">
        <v>295</v>
      </c>
      <c r="AK12" s="28"/>
      <c r="AL12" s="28">
        <v>3.8703370451E10</v>
      </c>
      <c r="AM12" s="61">
        <v>1.5350769281E10</v>
      </c>
      <c r="AN12" s="62">
        <v>2.46109877102E11</v>
      </c>
      <c r="AO12" s="27"/>
      <c r="AP12" s="27" t="s">
        <v>295</v>
      </c>
      <c r="AQ12" s="28">
        <v>1.30656345348E11</v>
      </c>
      <c r="AR12" s="28">
        <v>7.059265121E9</v>
      </c>
      <c r="AS12" s="28"/>
      <c r="AT12" s="28"/>
      <c r="AU12" s="28">
        <v>3.097471E9</v>
      </c>
      <c r="AV12" s="63">
        <v>1.4081308147E11</v>
      </c>
      <c r="AW12" s="62">
        <v>3.86922958571E11</v>
      </c>
      <c r="AX12" s="27"/>
      <c r="AY12" s="27"/>
      <c r="AZ12" s="27"/>
      <c r="BA12" s="28">
        <v>2.5476188216E10</v>
      </c>
      <c r="BB12" s="27"/>
      <c r="BC12" s="27" t="s">
        <v>295</v>
      </c>
      <c r="BD12" s="27" t="s">
        <v>295</v>
      </c>
      <c r="BE12" s="28">
        <v>8.090627462E9</v>
      </c>
      <c r="BF12" s="28">
        <v>2.283637018E9</v>
      </c>
      <c r="BG12" s="28"/>
      <c r="BH12" s="28"/>
      <c r="BI12" s="28">
        <v>2.15394159E8</v>
      </c>
      <c r="BJ12" s="27" t="s">
        <v>295</v>
      </c>
      <c r="BK12" s="61">
        <v>1.90885058208E11</v>
      </c>
      <c r="BL12" s="62">
        <v>2.26950905064E11</v>
      </c>
      <c r="BM12" s="27"/>
      <c r="BN12" s="28">
        <v>1.5399414819E10</v>
      </c>
      <c r="BO12" s="28"/>
      <c r="BP12" s="28"/>
      <c r="BQ12" s="28">
        <v>1.0665248189E10</v>
      </c>
      <c r="BR12" s="27" t="s">
        <v>295</v>
      </c>
      <c r="BS12" s="63">
        <v>2.6064663008E10</v>
      </c>
      <c r="BT12" s="62">
        <v>2.53015568072E11</v>
      </c>
      <c r="BU12" s="15"/>
      <c r="BV12" s="28">
        <v>6.8245E10</v>
      </c>
      <c r="BW12" s="27" t="s">
        <v>295</v>
      </c>
      <c r="BX12" s="28">
        <v>1.4248759791E10</v>
      </c>
      <c r="BY12" s="28">
        <v>5.0176612716E10</v>
      </c>
      <c r="BZ12" s="28">
        <v>-3.110625307E9</v>
      </c>
      <c r="CA12" s="27" t="s">
        <v>295</v>
      </c>
      <c r="CB12" s="28">
        <v>4.3476433E9</v>
      </c>
      <c r="CC12" s="62">
        <v>1.33907390499E11</v>
      </c>
      <c r="CD12" s="63">
        <v>3.86922958571E11</v>
      </c>
      <c r="CF12" s="49" t="s">
        <v>313</v>
      </c>
      <c r="CG12" s="27"/>
      <c r="CH12" s="98"/>
      <c r="CI12" s="98"/>
      <c r="CJ12" s="98"/>
      <c r="CK12" s="98"/>
      <c r="CL12" s="27"/>
      <c r="CM12" s="27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27"/>
      <c r="DC12" s="98"/>
      <c r="DD12" s="98"/>
      <c r="DE12" s="98"/>
      <c r="DF12" s="98"/>
      <c r="DG12" s="27"/>
      <c r="DH12" s="98"/>
      <c r="DI12" s="98"/>
      <c r="DJ12" s="98"/>
      <c r="DK12" s="98"/>
      <c r="DL12" s="98"/>
      <c r="DM12" s="98"/>
      <c r="DP12" s="64"/>
      <c r="DQ12" s="49" t="s">
        <v>313</v>
      </c>
      <c r="DR12" s="28">
        <v>4.387580319E10</v>
      </c>
      <c r="DS12" s="28"/>
      <c r="DT12" s="28">
        <v>-1.0259733E7</v>
      </c>
      <c r="DU12" s="28">
        <v>-6254236.0</v>
      </c>
      <c r="DV12" s="62">
        <v>4.385928922E10</v>
      </c>
      <c r="DW12" s="27"/>
      <c r="DX12" s="27"/>
      <c r="DY12" s="28"/>
      <c r="DZ12" s="28">
        <v>2.762503543E10</v>
      </c>
      <c r="EA12" s="28">
        <v>2.80808E8</v>
      </c>
      <c r="EB12" s="28"/>
      <c r="EC12" s="28"/>
      <c r="ED12" s="28"/>
      <c r="EE12" s="28">
        <v>2.43995015E8</v>
      </c>
      <c r="EF12" s="28">
        <v>9016711.0</v>
      </c>
      <c r="EG12" s="28">
        <v>1.7625038E7</v>
      </c>
      <c r="EH12" s="28">
        <v>6193448.0</v>
      </c>
      <c r="EI12" s="28">
        <v>5720096.0</v>
      </c>
      <c r="EJ12" s="28">
        <v>8043401.0</v>
      </c>
      <c r="EK12" s="28">
        <v>992869.0</v>
      </c>
      <c r="EL12" s="28">
        <v>1.5764194E7</v>
      </c>
      <c r="EM12" s="28">
        <v>3.5768495E7</v>
      </c>
      <c r="EN12" s="28"/>
      <c r="EO12" s="28">
        <v>2.4E7</v>
      </c>
      <c r="EP12" s="28">
        <v>3.0140821E7</v>
      </c>
      <c r="EQ12" s="28"/>
      <c r="ER12" s="28">
        <v>3.62932721E8</v>
      </c>
      <c r="ES12" s="28">
        <v>1.98159822E8</v>
      </c>
      <c r="ET12" s="28">
        <v>4.841632676E9</v>
      </c>
      <c r="EU12" s="28"/>
      <c r="EV12" s="28">
        <v>2.11865E7</v>
      </c>
      <c r="EW12" s="99"/>
      <c r="EX12" s="28">
        <v>4.1036519E7</v>
      </c>
      <c r="EY12" s="100" t="s">
        <v>295</v>
      </c>
      <c r="EZ12" s="28">
        <v>1.80899238E8</v>
      </c>
      <c r="FA12" s="28">
        <v>3.8614167E7</v>
      </c>
      <c r="FB12" s="28"/>
      <c r="FC12" s="28">
        <v>7.9502761E7</v>
      </c>
      <c r="FD12" s="28">
        <v>2.2991127E7</v>
      </c>
      <c r="FE12" s="28"/>
      <c r="FF12" s="28">
        <v>1.53693704E8</v>
      </c>
      <c r="FG12" s="27" t="s">
        <v>295</v>
      </c>
      <c r="FH12" s="28"/>
      <c r="FI12" s="28">
        <v>2.4299E7</v>
      </c>
      <c r="FJ12" s="28">
        <v>3.596964E7</v>
      </c>
      <c r="FK12" s="27"/>
      <c r="FL12" s="27"/>
      <c r="FM12" s="27"/>
      <c r="FN12" s="27" t="s">
        <v>295</v>
      </c>
      <c r="FO12" s="28">
        <v>1.524078E7</v>
      </c>
      <c r="FP12" s="28"/>
      <c r="FQ12" s="28">
        <v>8184950.0</v>
      </c>
      <c r="FR12" s="28">
        <v>1.62238183E8</v>
      </c>
      <c r="FS12" s="28"/>
      <c r="FT12" s="28"/>
      <c r="FU12" s="28"/>
      <c r="FV12" s="28">
        <v>2.41525917E8</v>
      </c>
      <c r="FW12" s="28">
        <v>4.16433E7</v>
      </c>
      <c r="FX12" s="27" t="s">
        <v>295</v>
      </c>
      <c r="FY12" s="27"/>
      <c r="FZ12" s="27" t="s">
        <v>295</v>
      </c>
      <c r="GA12" s="28">
        <v>8.3001413E7</v>
      </c>
      <c r="GB12" s="28">
        <v>1.4290078E7</v>
      </c>
      <c r="GC12" s="28">
        <v>2769738.0</v>
      </c>
      <c r="GD12" s="28">
        <v>1.1825996E7</v>
      </c>
      <c r="GE12" s="28">
        <v>2.559908E7</v>
      </c>
      <c r="GF12" s="27" t="s">
        <v>295</v>
      </c>
      <c r="GG12" s="27" t="s">
        <v>295</v>
      </c>
      <c r="GH12" s="28">
        <v>1.1424493E7</v>
      </c>
      <c r="GI12" s="27" t="s">
        <v>295</v>
      </c>
      <c r="GJ12" s="27" t="s">
        <v>295</v>
      </c>
      <c r="GK12" s="27" t="s">
        <v>295</v>
      </c>
      <c r="GL12" s="61"/>
      <c r="GM12" s="61">
        <v>3.4921765318E10</v>
      </c>
      <c r="GN12" s="27"/>
      <c r="GO12" s="27"/>
      <c r="GP12" s="28"/>
      <c r="GQ12" s="28">
        <v>4.4802216E7</v>
      </c>
      <c r="GR12" s="28">
        <v>7.67671959E8</v>
      </c>
      <c r="GS12" s="28">
        <v>2826500.0</v>
      </c>
      <c r="GT12" s="28">
        <v>2.6933742E7</v>
      </c>
      <c r="GU12" s="28">
        <v>7.351073E7</v>
      </c>
      <c r="GV12" s="28">
        <v>4.864294E7</v>
      </c>
      <c r="GW12" s="28">
        <v>2.2118501E7</v>
      </c>
      <c r="GX12" s="28">
        <v>2.30603147E8</v>
      </c>
      <c r="GY12" s="28">
        <v>4.16873395E8</v>
      </c>
      <c r="GZ12" s="28">
        <v>4.93031932E8</v>
      </c>
      <c r="HA12" s="28"/>
      <c r="HB12" s="28"/>
      <c r="HC12" s="28">
        <v>4.4722423E7</v>
      </c>
      <c r="HD12" s="28"/>
      <c r="HE12" s="28"/>
      <c r="HF12" s="28">
        <v>1.8248307E8</v>
      </c>
      <c r="HG12" s="28">
        <v>3.1942268E7</v>
      </c>
      <c r="HH12" s="28">
        <v>7.196212E7</v>
      </c>
      <c r="HI12" s="28">
        <v>850000.0</v>
      </c>
      <c r="HJ12" s="28">
        <v>3.1451175E7</v>
      </c>
      <c r="HK12" s="28">
        <v>750000.0</v>
      </c>
      <c r="HL12" s="28"/>
      <c r="HM12" s="28"/>
      <c r="HN12" s="28">
        <v>3985525.0</v>
      </c>
      <c r="HO12" s="28">
        <v>8.0430233E7</v>
      </c>
      <c r="HP12" s="28">
        <v>4980568.0</v>
      </c>
      <c r="HQ12" s="28">
        <v>2.68841798E8</v>
      </c>
      <c r="HR12" s="28">
        <v>4826207.0</v>
      </c>
      <c r="HS12" s="28">
        <v>3162199.0</v>
      </c>
      <c r="HT12" s="28">
        <v>1.02279477E8</v>
      </c>
      <c r="HU12" s="28">
        <v>2.725E7</v>
      </c>
      <c r="HV12" s="27" t="s">
        <v>295</v>
      </c>
      <c r="HW12" s="28">
        <v>8.75E7</v>
      </c>
      <c r="HX12" s="28">
        <v>1.7246E7</v>
      </c>
      <c r="HY12" s="28">
        <v>9814528.0</v>
      </c>
      <c r="HZ12" s="28">
        <v>1.5096782E7</v>
      </c>
      <c r="IA12" s="28">
        <v>1948920.0</v>
      </c>
      <c r="IB12" s="28">
        <v>1197000.0</v>
      </c>
      <c r="IC12" s="28">
        <v>2.0102905E7</v>
      </c>
      <c r="ID12" s="28">
        <v>1.1214164E7</v>
      </c>
      <c r="IE12" s="28">
        <v>1.2549678E7</v>
      </c>
      <c r="IF12" s="28">
        <v>4027822.0</v>
      </c>
      <c r="IG12" s="28">
        <v>2.7666984E7</v>
      </c>
      <c r="IH12" s="28">
        <v>1.3801601E7</v>
      </c>
      <c r="II12" s="27"/>
      <c r="IJ12" s="27"/>
      <c r="IK12" s="27" t="s">
        <v>295</v>
      </c>
      <c r="IL12" s="28">
        <v>133329.0</v>
      </c>
      <c r="IM12" s="28">
        <v>1.38553424E8</v>
      </c>
      <c r="IN12" s="28">
        <v>3.2088251E7</v>
      </c>
      <c r="IO12" s="28">
        <v>2.4967315E7</v>
      </c>
      <c r="IP12" s="28">
        <v>1.00201552E8</v>
      </c>
      <c r="IQ12" s="28">
        <v>500000.0</v>
      </c>
      <c r="IR12" s="27"/>
      <c r="IS12" s="27" t="s">
        <v>295</v>
      </c>
      <c r="IT12" s="28">
        <v>4.2792793E7</v>
      </c>
      <c r="IU12" s="27" t="s">
        <v>295</v>
      </c>
      <c r="IV12" s="27"/>
      <c r="IW12" s="27"/>
      <c r="IX12" s="27" t="s">
        <v>295</v>
      </c>
      <c r="IY12" s="28"/>
      <c r="IZ12" s="28"/>
      <c r="JA12" s="28"/>
      <c r="JB12" s="28">
        <v>2.075E7</v>
      </c>
      <c r="JC12" s="27"/>
      <c r="JD12" s="27"/>
      <c r="JE12" s="27" t="s">
        <v>295</v>
      </c>
      <c r="JF12" s="39"/>
      <c r="JG12" s="39"/>
      <c r="JH12" s="39">
        <v>7.339144E12</v>
      </c>
      <c r="JI12" s="28">
        <v>5643250.0</v>
      </c>
      <c r="JJ12" s="27"/>
      <c r="JK12" s="27" t="s">
        <v>295</v>
      </c>
      <c r="JL12" s="28"/>
      <c r="JM12" s="28">
        <v>5.16328291E8</v>
      </c>
      <c r="JN12" s="27" t="s">
        <v>295</v>
      </c>
      <c r="JO12" s="39">
        <v>1.1695317E13</v>
      </c>
      <c r="JP12" s="28">
        <v>4.3039505E7</v>
      </c>
      <c r="JQ12" s="28">
        <v>4.83075E7</v>
      </c>
      <c r="JR12" s="27" t="s">
        <v>295</v>
      </c>
      <c r="JS12" s="28">
        <v>7.89295E7</v>
      </c>
      <c r="JT12" s="62">
        <v>4.280367681E9</v>
      </c>
      <c r="JU12" s="27"/>
      <c r="JV12" s="27"/>
      <c r="JW12" s="28">
        <v>8.02928692E8</v>
      </c>
      <c r="JX12" s="28">
        <v>1.9E7</v>
      </c>
      <c r="JY12" s="28">
        <v>4.3032698E7</v>
      </c>
      <c r="JZ12" s="62">
        <v>8.6496139E8</v>
      </c>
      <c r="KA12" s="27"/>
      <c r="KB12" s="27"/>
      <c r="KC12" s="28">
        <v>9.20877E7</v>
      </c>
      <c r="KD12" s="62">
        <v>9.20877E7</v>
      </c>
      <c r="KE12" s="27"/>
      <c r="KF12" s="27"/>
      <c r="KG12" s="28">
        <v>2.5381773E7</v>
      </c>
      <c r="KH12" s="28">
        <v>7097500.0</v>
      </c>
      <c r="KI12" s="27">
        <v>0.0</v>
      </c>
      <c r="KJ12" s="27" t="s">
        <v>295</v>
      </c>
      <c r="KK12" s="28">
        <v>13801.0</v>
      </c>
      <c r="KL12" s="28"/>
      <c r="KN12" s="62">
        <v>3.2493074E7</v>
      </c>
      <c r="KO12" s="27"/>
      <c r="KP12" s="27"/>
      <c r="KQ12" s="28">
        <v>8479013.0</v>
      </c>
      <c r="KR12" s="28">
        <v>1.837214256E9</v>
      </c>
      <c r="KS12" s="28"/>
      <c r="KT12" s="28">
        <v>2.095E8</v>
      </c>
      <c r="KU12" s="28"/>
      <c r="KV12" s="28">
        <v>2.3996341E7</v>
      </c>
      <c r="KW12" s="28">
        <v>4139.0</v>
      </c>
      <c r="KX12" s="28">
        <v>5639102.0</v>
      </c>
      <c r="KY12" s="27"/>
      <c r="KZ12" s="28">
        <v>5.8524531E8</v>
      </c>
      <c r="LA12" s="28"/>
      <c r="LB12" s="28">
        <v>9374250.0</v>
      </c>
      <c r="LC12" s="27" t="s">
        <v>295</v>
      </c>
      <c r="LD12" s="28"/>
      <c r="LE12" s="62">
        <v>2.67945241E9</v>
      </c>
      <c r="LF12" s="27"/>
      <c r="LG12" s="27"/>
      <c r="LH12" s="28">
        <v>234133.0</v>
      </c>
      <c r="LI12" s="28">
        <v>234133.0</v>
      </c>
      <c r="LJ12" s="62">
        <f t="shared" si="1"/>
        <v>7916869181</v>
      </c>
      <c r="LK12" s="28"/>
    </row>
    <row r="13">
      <c r="A13" s="49" t="s">
        <v>316</v>
      </c>
      <c r="B13" s="50">
        <v>6.0848462285E10</v>
      </c>
      <c r="C13" s="52">
        <v>4.5952511554E10</v>
      </c>
      <c r="D13" s="53">
        <v>1.4895950731E10</v>
      </c>
      <c r="E13" s="50"/>
      <c r="F13" s="50">
        <v>3.979410847E9</v>
      </c>
      <c r="G13" s="50">
        <v>4.90049564E8</v>
      </c>
      <c r="H13" s="50">
        <v>1.06413011E8</v>
      </c>
      <c r="I13" s="53">
        <v>4.575873422E9</v>
      </c>
      <c r="J13" s="53">
        <v>1.0320077309E10</v>
      </c>
      <c r="K13" s="50"/>
      <c r="L13" s="50">
        <v>1.89156082E8</v>
      </c>
      <c r="M13" s="52">
        <v>1.96917336E9</v>
      </c>
      <c r="N13" s="54">
        <v>-1.780017277E9</v>
      </c>
      <c r="O13" s="50"/>
      <c r="P13" s="53">
        <v>8.540060032E9</v>
      </c>
      <c r="Q13" s="58">
        <v>0.0</v>
      </c>
      <c r="R13" s="50"/>
      <c r="S13" s="58">
        <v>0.0</v>
      </c>
      <c r="T13" s="53">
        <v>8.540060032E9</v>
      </c>
      <c r="U13" s="104"/>
      <c r="V13" s="105"/>
      <c r="W13" s="58">
        <v>0.0</v>
      </c>
      <c r="X13" s="59">
        <v>8.540060032E9</v>
      </c>
      <c r="Y13" s="27"/>
      <c r="AB13" s="27"/>
      <c r="AC13" s="27"/>
      <c r="AD13" s="28">
        <v>1.6228480826E10</v>
      </c>
      <c r="AE13" s="28">
        <v>8.2925685482E10</v>
      </c>
      <c r="AF13" s="28"/>
      <c r="AG13" s="28">
        <v>-7.26809713E8</v>
      </c>
      <c r="AH13" s="28">
        <v>5.825645696E9</v>
      </c>
      <c r="AI13" s="28">
        <v>9.9274743635E10</v>
      </c>
      <c r="AJ13" s="27" t="s">
        <v>295</v>
      </c>
      <c r="AK13" s="27"/>
      <c r="AL13" s="28">
        <v>3.366223409E10</v>
      </c>
      <c r="AM13" s="61">
        <v>1.6997370821E10</v>
      </c>
      <c r="AN13" s="62">
        <v>2.54187350837E11</v>
      </c>
      <c r="AO13" s="27"/>
      <c r="AP13" s="27" t="s">
        <v>295</v>
      </c>
      <c r="AQ13" s="28">
        <v>1.32943952489E11</v>
      </c>
      <c r="AR13" s="28">
        <v>7.029807476E9</v>
      </c>
      <c r="AS13" s="28"/>
      <c r="AT13" s="28"/>
      <c r="AU13" s="28">
        <v>3.097471E9</v>
      </c>
      <c r="AV13" s="63">
        <v>1.43071230966E11</v>
      </c>
      <c r="AW13" s="62">
        <v>3.97258581802E11</v>
      </c>
      <c r="AX13" s="27"/>
      <c r="AY13" s="27"/>
      <c r="AZ13" s="27"/>
      <c r="BA13" s="28">
        <v>3.0921952568E10</v>
      </c>
      <c r="BB13" s="27"/>
      <c r="BC13" s="27" t="s">
        <v>295</v>
      </c>
      <c r="BD13" s="27" t="s">
        <v>295</v>
      </c>
      <c r="BE13" s="28">
        <v>1.1493763808E10</v>
      </c>
      <c r="BF13" s="28">
        <v>1.395353998E9</v>
      </c>
      <c r="BG13" s="28"/>
      <c r="BH13" s="28"/>
      <c r="BI13" s="28">
        <v>2.14849468E8</v>
      </c>
      <c r="BJ13" s="27" t="s">
        <v>295</v>
      </c>
      <c r="BK13" s="61">
        <v>1.84742012601E11</v>
      </c>
      <c r="BL13" s="62">
        <v>2.28767932443E11</v>
      </c>
      <c r="BM13" s="27"/>
      <c r="BN13" s="28">
        <v>1.5401214441E10</v>
      </c>
      <c r="BO13" s="27"/>
      <c r="BP13" s="27"/>
      <c r="BQ13" s="28">
        <v>1.0641984387E10</v>
      </c>
      <c r="BR13" s="92">
        <v>0.0</v>
      </c>
      <c r="BS13" s="63">
        <v>2.6043198828E10</v>
      </c>
      <c r="BT13" s="62">
        <v>2.54811131271E11</v>
      </c>
      <c r="BU13" s="27"/>
      <c r="BV13" s="28">
        <v>6.8245E10</v>
      </c>
      <c r="BW13" s="92">
        <v>0.0</v>
      </c>
      <c r="BX13" s="28">
        <v>2.2788819822E10</v>
      </c>
      <c r="BY13" s="28">
        <v>5.0176612716E10</v>
      </c>
      <c r="BZ13" s="28">
        <v>-3.110625307E9</v>
      </c>
      <c r="CA13" s="27" t="s">
        <v>295</v>
      </c>
      <c r="CB13" s="28">
        <v>4.3476433E9</v>
      </c>
      <c r="CC13" s="62">
        <v>1.17878613431E11</v>
      </c>
      <c r="CD13" s="63">
        <v>3.97258581802E11</v>
      </c>
      <c r="CF13" s="49" t="s">
        <v>316</v>
      </c>
      <c r="CG13" s="27"/>
      <c r="CH13" s="98"/>
      <c r="CI13" s="98"/>
      <c r="CJ13" s="98"/>
      <c r="CK13" s="98"/>
      <c r="CL13" s="27"/>
      <c r="CM13" s="27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27"/>
      <c r="DC13" s="98"/>
      <c r="DD13" s="98"/>
      <c r="DE13" s="98"/>
      <c r="DF13" s="98"/>
      <c r="DG13" s="27"/>
      <c r="DH13" s="98"/>
      <c r="DI13" s="98"/>
      <c r="DJ13" s="98"/>
      <c r="DK13" s="98"/>
      <c r="DL13" s="98"/>
      <c r="DM13" s="98"/>
      <c r="DP13" s="64"/>
      <c r="DQ13" s="49" t="s">
        <v>316</v>
      </c>
      <c r="DR13" s="28">
        <v>6.1121035296E10</v>
      </c>
      <c r="DS13" s="27"/>
      <c r="DT13" s="28">
        <v>-2.9599501E7</v>
      </c>
      <c r="DU13" s="28">
        <v>-2.4297351E8</v>
      </c>
      <c r="DV13" s="62">
        <v>6.0848462285E10</v>
      </c>
      <c r="DW13" s="27"/>
      <c r="DX13" s="27"/>
      <c r="DY13" s="28"/>
      <c r="DZ13" s="28">
        <v>3.8819880826E10</v>
      </c>
      <c r="EA13" s="28">
        <v>5.10959E8</v>
      </c>
      <c r="EB13" s="27"/>
      <c r="EC13" s="27"/>
      <c r="ED13" s="27"/>
      <c r="EE13" s="28">
        <v>2.45695016E8</v>
      </c>
      <c r="EF13" s="28">
        <v>1.565685E7</v>
      </c>
      <c r="EG13" s="28">
        <v>1.5026082E7</v>
      </c>
      <c r="EH13" s="28">
        <v>2.0455738E7</v>
      </c>
      <c r="EI13" s="28">
        <v>2.5428453E7</v>
      </c>
      <c r="EJ13" s="28">
        <v>2.3261444E7</v>
      </c>
      <c r="EK13" s="28">
        <v>1632153.0</v>
      </c>
      <c r="EL13" s="28">
        <v>6791720.0</v>
      </c>
      <c r="EM13" s="28">
        <v>3.5262639E7</v>
      </c>
      <c r="EN13" s="27"/>
      <c r="EO13" s="28">
        <v>4.8E7</v>
      </c>
      <c r="EP13" s="28">
        <v>2.33025586E8</v>
      </c>
      <c r="EQ13" s="27"/>
      <c r="ER13" s="28">
        <v>3.92674443E8</v>
      </c>
      <c r="ES13" s="28">
        <v>4.98481549E8</v>
      </c>
      <c r="ET13" s="28">
        <v>3.842897501E9</v>
      </c>
      <c r="EU13" s="28"/>
      <c r="EV13" s="28">
        <v>5.1100086E7</v>
      </c>
      <c r="EW13" s="28"/>
      <c r="EX13" s="28">
        <v>3.2132359E7</v>
      </c>
      <c r="EY13" s="28">
        <v>6.1109089E7</v>
      </c>
      <c r="EZ13" s="28">
        <v>1.88776392E8</v>
      </c>
      <c r="FA13" s="28">
        <v>1.5331056E7</v>
      </c>
      <c r="FB13" s="27"/>
      <c r="FC13" s="28">
        <v>1.14019783E8</v>
      </c>
      <c r="FD13" s="28">
        <v>2.1562472E7</v>
      </c>
      <c r="FE13" s="27"/>
      <c r="FF13" s="28">
        <v>4.5712333E7</v>
      </c>
      <c r="FG13" s="27" t="s">
        <v>317</v>
      </c>
      <c r="FH13" s="27"/>
      <c r="FI13" s="28">
        <v>1.2366E7</v>
      </c>
      <c r="FJ13" s="28">
        <v>2.11263E7</v>
      </c>
      <c r="FK13" s="27"/>
      <c r="FL13" s="27"/>
      <c r="FM13" s="27"/>
      <c r="FN13" s="27" t="s">
        <v>317</v>
      </c>
      <c r="FO13" s="28">
        <v>2.264565E7</v>
      </c>
      <c r="FP13" s="27"/>
      <c r="FQ13" s="28">
        <v>1874378.0</v>
      </c>
      <c r="FR13" s="28">
        <v>1.64005615E8</v>
      </c>
      <c r="FS13" s="27"/>
      <c r="FT13" s="27"/>
      <c r="FU13" s="27"/>
      <c r="FV13" s="28">
        <v>1.5153E7</v>
      </c>
      <c r="FW13" s="28">
        <v>578879.0</v>
      </c>
      <c r="FX13" s="27" t="s">
        <v>317</v>
      </c>
      <c r="FY13" s="27"/>
      <c r="FZ13" s="28">
        <v>6763904.0</v>
      </c>
      <c r="GA13" s="28">
        <v>2.61225465E8</v>
      </c>
      <c r="GB13" s="28">
        <v>1.7983486E7</v>
      </c>
      <c r="GC13" s="28">
        <v>2.3229831E7</v>
      </c>
      <c r="GD13" s="28">
        <v>3306549.0</v>
      </c>
      <c r="GE13" s="28">
        <v>6044978.0</v>
      </c>
      <c r="GF13" s="27" t="s">
        <v>295</v>
      </c>
      <c r="GG13" s="28">
        <v>7125000.0</v>
      </c>
      <c r="GH13" s="28">
        <v>1.576745E7</v>
      </c>
      <c r="GI13" s="27" t="s">
        <v>295</v>
      </c>
      <c r="GJ13" s="27" t="s">
        <v>295</v>
      </c>
      <c r="GK13" s="27" t="s">
        <v>295</v>
      </c>
      <c r="GL13" s="28">
        <v>4.4012791E7</v>
      </c>
      <c r="GM13" s="106">
        <v>4.5888081847E10</v>
      </c>
      <c r="GN13" s="27"/>
      <c r="GO13" s="27"/>
      <c r="GP13" s="27"/>
      <c r="GQ13" s="28">
        <v>6.8901E7</v>
      </c>
      <c r="GR13" s="28">
        <v>6.21585711E8</v>
      </c>
      <c r="GS13" s="28">
        <v>553118.0</v>
      </c>
      <c r="GT13" s="28">
        <v>5106056.0</v>
      </c>
      <c r="GU13" s="28">
        <v>7.351073E7</v>
      </c>
      <c r="GV13" s="28">
        <v>4.9764655E7</v>
      </c>
      <c r="GW13" s="28">
        <v>2.2118501E7</v>
      </c>
      <c r="GX13" s="28">
        <v>2.30603147E8</v>
      </c>
      <c r="GY13" s="28">
        <v>4.1371399E8</v>
      </c>
      <c r="GZ13" s="28">
        <v>4.38948282E8</v>
      </c>
      <c r="HA13" s="27"/>
      <c r="HB13" s="27"/>
      <c r="HC13" s="28">
        <v>2.2691807E7</v>
      </c>
      <c r="HD13" s="27"/>
      <c r="HE13" s="27"/>
      <c r="HF13" s="28">
        <v>1.56942777E8</v>
      </c>
      <c r="HG13" s="28">
        <v>3.423716E7</v>
      </c>
      <c r="HH13" s="28">
        <v>6.3910762E7</v>
      </c>
      <c r="HI13" s="27" t="s">
        <v>295</v>
      </c>
      <c r="HJ13" s="28">
        <v>1.6428627E7</v>
      </c>
      <c r="HK13" s="27" t="s">
        <v>295</v>
      </c>
      <c r="HL13" s="27"/>
      <c r="HM13" s="27"/>
      <c r="HN13" s="28">
        <v>2502709.0</v>
      </c>
      <c r="HO13" s="28">
        <v>5.8650022E7</v>
      </c>
      <c r="HP13" s="28">
        <v>5482740.0</v>
      </c>
      <c r="HQ13" s="28">
        <v>3.74057636E8</v>
      </c>
      <c r="HR13" s="28">
        <v>1.13975E7</v>
      </c>
      <c r="HS13" s="28">
        <v>1.6962527E7</v>
      </c>
      <c r="HT13" s="28">
        <v>9.1112811E7</v>
      </c>
      <c r="HU13" s="28">
        <v>4.73795E8</v>
      </c>
      <c r="HV13" s="27" t="s">
        <v>295</v>
      </c>
      <c r="HW13" s="28">
        <v>2.5E7</v>
      </c>
      <c r="HX13" s="27" t="s">
        <v>295</v>
      </c>
      <c r="HY13" s="28">
        <v>8223768.0</v>
      </c>
      <c r="HZ13" s="28">
        <v>2.3713013E7</v>
      </c>
      <c r="IA13" s="28">
        <v>8691664.0</v>
      </c>
      <c r="IB13" s="28">
        <v>3389900.0</v>
      </c>
      <c r="IC13" s="28">
        <v>1.15277E7</v>
      </c>
      <c r="ID13" s="28">
        <v>2.6160402E7</v>
      </c>
      <c r="IE13" s="28">
        <v>1.2994102E7</v>
      </c>
      <c r="IF13" s="28">
        <v>3280525.0</v>
      </c>
      <c r="IG13" s="28">
        <v>9590200.0</v>
      </c>
      <c r="IH13" s="28">
        <v>1.2554802E7</v>
      </c>
      <c r="II13" s="27"/>
      <c r="IJ13" s="27"/>
      <c r="IK13" s="28">
        <v>1065709.0</v>
      </c>
      <c r="IL13" s="28">
        <v>8182769.0</v>
      </c>
      <c r="IM13" s="28">
        <v>1.3995499E8</v>
      </c>
      <c r="IN13" s="28">
        <v>5.6986631E7</v>
      </c>
      <c r="IO13" s="28">
        <v>2.3807888E7</v>
      </c>
      <c r="IP13" s="27" t="s">
        <v>295</v>
      </c>
      <c r="IQ13" s="28">
        <v>1500000.0</v>
      </c>
      <c r="IR13" s="27"/>
      <c r="IS13" s="107">
        <v>0.0</v>
      </c>
      <c r="IT13" s="107">
        <v>0.0</v>
      </c>
      <c r="IU13" s="107">
        <v>0.0</v>
      </c>
      <c r="IV13" s="108">
        <v>4250000.0</v>
      </c>
      <c r="IW13" s="27"/>
      <c r="IX13" s="27" t="s">
        <v>317</v>
      </c>
      <c r="IY13" s="27"/>
      <c r="IZ13" s="27"/>
      <c r="JA13" s="28"/>
      <c r="JB13" s="28">
        <v>7.4686037E7</v>
      </c>
      <c r="JD13" s="27"/>
      <c r="JE13" s="28">
        <v>1.2949832E7</v>
      </c>
      <c r="JF13" s="27"/>
      <c r="JG13" s="27"/>
      <c r="JH13" s="28">
        <v>7339144.0</v>
      </c>
      <c r="JI13" s="27" t="s">
        <v>295</v>
      </c>
      <c r="JK13" s="27" t="s">
        <v>295</v>
      </c>
      <c r="JL13" s="27"/>
      <c r="JM13" s="28">
        <v>5.26248164E8</v>
      </c>
      <c r="JN13" s="27" t="s">
        <v>295</v>
      </c>
      <c r="JO13" s="28">
        <v>1.4990068E7</v>
      </c>
      <c r="JP13" s="28">
        <v>4.3039505E7</v>
      </c>
      <c r="JQ13" s="27" t="s">
        <v>295</v>
      </c>
      <c r="JR13" s="27" t="s">
        <v>295</v>
      </c>
      <c r="JS13" s="28">
        <v>3.5555E7</v>
      </c>
      <c r="JT13" s="62">
        <v>4.348659082E9</v>
      </c>
      <c r="JU13" s="27"/>
      <c r="JV13" s="27"/>
      <c r="JW13" s="28">
        <v>3.49172664E8</v>
      </c>
      <c r="JX13" s="28">
        <v>1.9E7</v>
      </c>
      <c r="JY13" s="28">
        <v>1.218769E8</v>
      </c>
      <c r="JZ13" s="62">
        <v>4.90049564E8</v>
      </c>
      <c r="KA13" s="27"/>
      <c r="KB13" s="27"/>
      <c r="KC13" s="28">
        <v>1.06163011E8</v>
      </c>
      <c r="KD13" s="62">
        <v>1.06163011E8</v>
      </c>
      <c r="KE13" s="27"/>
      <c r="KF13" s="27"/>
      <c r="KG13" s="28">
        <v>2.1438602E7</v>
      </c>
      <c r="KH13" s="28">
        <v>1.6255418E7</v>
      </c>
      <c r="KI13" s="28">
        <v>1.50742199E8</v>
      </c>
      <c r="KJ13" s="27" t="s">
        <v>295</v>
      </c>
      <c r="KK13" s="28">
        <v>719864.0</v>
      </c>
      <c r="KL13" s="27"/>
      <c r="KM13" s="27"/>
      <c r="KN13" s="62">
        <v>1.89156082E8</v>
      </c>
      <c r="KO13" s="27"/>
      <c r="KP13" s="27"/>
      <c r="KQ13" s="28">
        <v>1.0020191E7</v>
      </c>
      <c r="KR13" s="28">
        <v>1.809252863E9</v>
      </c>
      <c r="KS13" s="28"/>
      <c r="KT13" s="28">
        <v>9.45E7</v>
      </c>
      <c r="KU13" s="27"/>
      <c r="KV13" s="27">
        <v>0.0</v>
      </c>
      <c r="KW13" s="28">
        <v>23632.0</v>
      </c>
      <c r="KX13" s="28">
        <v>5376673.0</v>
      </c>
      <c r="KY13" s="27"/>
      <c r="KZ13" s="28">
        <v>5.0E7</v>
      </c>
      <c r="LA13" s="27"/>
      <c r="LB13" s="27" t="s">
        <v>295</v>
      </c>
      <c r="LC13" s="27" t="s">
        <v>295</v>
      </c>
      <c r="LE13" s="62">
        <v>2.158329442E9</v>
      </c>
      <c r="LF13" s="27"/>
      <c r="LG13" s="27"/>
      <c r="LH13" s="27">
        <v>0.0</v>
      </c>
      <c r="LI13" s="27">
        <v>0.0</v>
      </c>
      <c r="LJ13" s="62">
        <f t="shared" si="1"/>
        <v>7103201099</v>
      </c>
      <c r="LK13" s="28"/>
    </row>
    <row r="14">
      <c r="A14" s="49" t="s">
        <v>318</v>
      </c>
      <c r="B14" s="50">
        <v>5.4451094996E10</v>
      </c>
      <c r="C14" s="52">
        <v>4.2772596362E10</v>
      </c>
      <c r="D14" s="53">
        <v>1.1678498634E10</v>
      </c>
      <c r="E14" s="50"/>
      <c r="F14" s="50">
        <v>3.430273181E9</v>
      </c>
      <c r="G14" s="50">
        <v>4.29591314E8</v>
      </c>
      <c r="H14" s="50">
        <v>4.11505E7</v>
      </c>
      <c r="I14" s="53">
        <v>3.901014994E9</v>
      </c>
      <c r="J14" s="53">
        <v>7.77748364E9</v>
      </c>
      <c r="K14" s="50"/>
      <c r="L14" s="50">
        <v>5.54195179E8</v>
      </c>
      <c r="M14" s="52">
        <v>2.479326566E9</v>
      </c>
      <c r="N14" s="54">
        <v>-1.925131386E9</v>
      </c>
      <c r="O14" s="50"/>
      <c r="P14" s="53">
        <v>5.852352253E9</v>
      </c>
      <c r="Q14" s="58">
        <v>0.0</v>
      </c>
      <c r="R14" s="50"/>
      <c r="S14" s="58">
        <v>0.0</v>
      </c>
      <c r="T14" s="53">
        <v>5.852352253E9</v>
      </c>
      <c r="U14" s="104"/>
      <c r="V14" s="105"/>
      <c r="W14" s="109"/>
      <c r="X14" s="59">
        <v>5.852352253E9</v>
      </c>
      <c r="Y14" s="27"/>
      <c r="AB14" s="27"/>
      <c r="AC14" s="27"/>
      <c r="AD14" s="28">
        <v>1.5146534221E10</v>
      </c>
      <c r="AE14" s="28">
        <v>9.5360939306E10</v>
      </c>
      <c r="AF14" s="28"/>
      <c r="AG14" s="28">
        <v>-3.01516003E8</v>
      </c>
      <c r="AH14" s="28">
        <v>4.937637296E9</v>
      </c>
      <c r="AI14" s="28">
        <v>1.02352653702E11</v>
      </c>
      <c r="AJ14" s="27"/>
      <c r="AK14" s="27"/>
      <c r="AL14" s="28">
        <v>2.7357562602E10</v>
      </c>
      <c r="AM14" s="61">
        <v>1.6372616426E10</v>
      </c>
      <c r="AN14" s="62">
        <v>2.6122642755E11</v>
      </c>
      <c r="AO14" s="27"/>
      <c r="AP14" s="27" t="s">
        <v>295</v>
      </c>
      <c r="AQ14" s="28">
        <v>1.33732209029E11</v>
      </c>
      <c r="AR14" s="28">
        <v>7.000349831E9</v>
      </c>
      <c r="AS14" s="27"/>
      <c r="AT14" s="27"/>
      <c r="AU14" s="28">
        <v>3.097471E9</v>
      </c>
      <c r="AV14" s="63">
        <v>1.4383002986E11</v>
      </c>
      <c r="AW14" s="62">
        <v>4.0505645741E11</v>
      </c>
      <c r="AX14" s="27"/>
      <c r="AY14" s="27"/>
      <c r="AZ14" s="27"/>
      <c r="BA14" s="28">
        <v>2.6707978354E10</v>
      </c>
      <c r="BB14" s="27"/>
      <c r="BC14" s="27" t="s">
        <v>295</v>
      </c>
      <c r="BD14" s="27" t="s">
        <v>295</v>
      </c>
      <c r="BE14" s="28">
        <v>1.1154914765E10</v>
      </c>
      <c r="BF14" s="28">
        <v>1.486038598E9</v>
      </c>
      <c r="BG14" s="27"/>
      <c r="BH14" s="27"/>
      <c r="BI14" s="28">
        <v>2.15511729E8</v>
      </c>
      <c r="BJ14" s="27" t="s">
        <v>295</v>
      </c>
      <c r="BK14" s="61">
        <v>1.91571541624E11</v>
      </c>
      <c r="BL14" s="62">
        <v>2.31135985071E11</v>
      </c>
      <c r="BM14" s="27"/>
      <c r="BN14" s="28">
        <v>1.5403011497E10</v>
      </c>
      <c r="BO14" s="27"/>
      <c r="BP14" s="27"/>
      <c r="BQ14" s="28">
        <v>1.0217658058E10</v>
      </c>
      <c r="BR14" s="27"/>
      <c r="BS14" s="63">
        <v>2.5620669555E10</v>
      </c>
      <c r="BT14" s="62">
        <v>2.56756654625E11</v>
      </c>
      <c r="BU14" s="27"/>
      <c r="BV14" s="28">
        <v>6.8245E10</v>
      </c>
      <c r="BW14" s="27"/>
      <c r="BX14" s="28">
        <v>2.8641172076E10</v>
      </c>
      <c r="BY14" s="28">
        <v>5.0176612716E10</v>
      </c>
      <c r="BZ14" s="28">
        <v>-3.110625307E9</v>
      </c>
      <c r="CA14" s="27" t="s">
        <v>295</v>
      </c>
      <c r="CB14" s="28">
        <v>4.3476433E9</v>
      </c>
      <c r="CC14" s="63">
        <v>1.48299802784E11</v>
      </c>
      <c r="CD14" s="63">
        <v>4.0505645741E11</v>
      </c>
      <c r="CF14" s="49" t="s">
        <v>318</v>
      </c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P14" s="64"/>
      <c r="DQ14" s="49" t="s">
        <v>318</v>
      </c>
      <c r="DR14" s="28">
        <v>5.4457721463E10</v>
      </c>
      <c r="DS14" s="27"/>
      <c r="DT14" s="28">
        <v>-2135667.0</v>
      </c>
      <c r="DU14" s="28">
        <v>-4490800.0</v>
      </c>
      <c r="DV14" s="62">
        <v>5.4451094996E10</v>
      </c>
      <c r="DW14" s="27"/>
      <c r="DX14" s="27"/>
      <c r="DY14" s="28"/>
      <c r="DZ14" s="28">
        <v>3.3668034218E10</v>
      </c>
      <c r="EA14" s="28">
        <v>1.128546E9</v>
      </c>
      <c r="EB14" s="27"/>
      <c r="EC14" s="27"/>
      <c r="ED14" s="27"/>
      <c r="EE14" s="28">
        <v>2.51397797E8</v>
      </c>
      <c r="EF14" s="28">
        <v>1.4854646E7</v>
      </c>
      <c r="EG14" s="28">
        <v>1.9894149E7</v>
      </c>
      <c r="EH14" s="28">
        <v>7620753.0</v>
      </c>
      <c r="EI14" s="28">
        <v>1.3332757E7</v>
      </c>
      <c r="EJ14" s="28">
        <v>1.00210109E8</v>
      </c>
      <c r="EK14" s="28">
        <v>2617095.0</v>
      </c>
      <c r="EL14" s="28">
        <v>4602982.0</v>
      </c>
      <c r="EM14" s="28">
        <v>4.6641517E7</v>
      </c>
      <c r="EN14" s="27"/>
      <c r="EO14" s="28">
        <v>3.6E7</v>
      </c>
      <c r="EP14" s="28">
        <v>-6.1427224E7</v>
      </c>
      <c r="EQ14" s="28">
        <v>1.31712554E8</v>
      </c>
      <c r="ER14" s="28">
        <v>2.93098556E8</v>
      </c>
      <c r="ES14" s="28">
        <v>3.98141715E8</v>
      </c>
      <c r="ET14" s="28">
        <v>4.745953221E9</v>
      </c>
      <c r="EU14" s="28"/>
      <c r="EV14" s="28">
        <v>4380765.0</v>
      </c>
      <c r="EW14" s="28"/>
      <c r="EX14" s="28">
        <v>4.24598482E8</v>
      </c>
      <c r="EY14" s="28">
        <v>9.9713118E7</v>
      </c>
      <c r="EZ14" s="28">
        <v>1.66689519E8</v>
      </c>
      <c r="FA14" s="28">
        <v>3.935819E7</v>
      </c>
      <c r="FB14" s="27"/>
      <c r="FC14" s="28">
        <v>1.30045417E8</v>
      </c>
      <c r="FD14" s="28">
        <v>2.2849475E7</v>
      </c>
      <c r="FE14" s="28"/>
      <c r="FF14" s="28">
        <v>1936105.0</v>
      </c>
      <c r="FG14" s="27"/>
      <c r="FH14" s="27"/>
      <c r="FI14" s="28">
        <v>1.3112E7</v>
      </c>
      <c r="FJ14" s="28">
        <v>3.4164045E7</v>
      </c>
      <c r="FK14" s="27"/>
      <c r="FL14" s="27"/>
      <c r="FM14" s="27"/>
      <c r="FN14" s="27" t="s">
        <v>295</v>
      </c>
      <c r="FO14" s="28">
        <v>2.303005E7</v>
      </c>
      <c r="FP14" s="27"/>
      <c r="FQ14" s="28">
        <v>5.36884739E8</v>
      </c>
      <c r="FR14" s="28">
        <v>1.98843505E8</v>
      </c>
      <c r="FS14" s="27"/>
      <c r="FT14" s="27"/>
      <c r="FU14" s="27"/>
      <c r="FV14" s="28">
        <v>3.743935E7</v>
      </c>
      <c r="FW14" s="28">
        <v>3.7102633E7</v>
      </c>
      <c r="FX14" s="27"/>
      <c r="FY14" s="27"/>
      <c r="FZ14" s="28">
        <v>4.2760219E7</v>
      </c>
      <c r="GA14" s="28">
        <v>9.9662488E7</v>
      </c>
      <c r="GB14" s="28">
        <v>4093220.0</v>
      </c>
      <c r="GC14" s="28">
        <v>418404.0</v>
      </c>
      <c r="GD14" s="28">
        <v>358050.0</v>
      </c>
      <c r="GE14" s="28">
        <v>5805170.0</v>
      </c>
      <c r="GF14" s="27" t="s">
        <v>295</v>
      </c>
      <c r="GG14" s="27" t="s">
        <v>295</v>
      </c>
      <c r="GH14" s="28">
        <v>2.38375E7</v>
      </c>
      <c r="GI14" s="27" t="s">
        <v>295</v>
      </c>
      <c r="GJ14" s="27" t="s">
        <v>295</v>
      </c>
      <c r="GK14" s="27" t="s">
        <v>295</v>
      </c>
      <c r="GL14" s="28">
        <v>2.4283074E7</v>
      </c>
      <c r="GM14" s="61">
        <v>4.2772596362E10</v>
      </c>
      <c r="GN14" s="27"/>
      <c r="GO14" s="27"/>
      <c r="GP14" s="27"/>
      <c r="GQ14" s="28">
        <v>8.1273E7</v>
      </c>
      <c r="GR14" s="28">
        <v>2.26897686E8</v>
      </c>
      <c r="GS14" s="27" t="s">
        <v>295</v>
      </c>
      <c r="GT14" s="28">
        <v>1.66972E7</v>
      </c>
      <c r="GU14" s="28">
        <v>7.6213433E7</v>
      </c>
      <c r="GV14" s="28">
        <v>5.0660491E7</v>
      </c>
      <c r="GW14" s="28">
        <v>2.2118501E7</v>
      </c>
      <c r="GX14" s="28">
        <v>2.30603147E8</v>
      </c>
      <c r="GY14" s="28">
        <v>4.1371399E8</v>
      </c>
      <c r="GZ14" s="28">
        <v>4.98218892E8</v>
      </c>
      <c r="HA14" s="27"/>
      <c r="HB14" s="27"/>
      <c r="HC14" s="28">
        <v>2.9739111E7</v>
      </c>
      <c r="HD14" s="27"/>
      <c r="HE14" s="27"/>
      <c r="HF14" s="28">
        <v>1.8248307E8</v>
      </c>
      <c r="HG14" s="28">
        <v>3.2333729E7</v>
      </c>
      <c r="HH14" s="28">
        <v>6.3866902E7</v>
      </c>
      <c r="HI14" s="27" t="s">
        <v>317</v>
      </c>
      <c r="HJ14" s="28">
        <v>2.6383193E7</v>
      </c>
      <c r="HK14" s="27" t="s">
        <v>317</v>
      </c>
      <c r="HL14" s="27"/>
      <c r="HM14" s="27"/>
      <c r="HN14" s="27" t="s">
        <v>295</v>
      </c>
      <c r="HO14" s="28">
        <v>3.4865438E7</v>
      </c>
      <c r="HP14" s="28">
        <v>5418960.0</v>
      </c>
      <c r="HQ14" s="28">
        <v>1.9284041E8</v>
      </c>
      <c r="HR14" s="28">
        <v>1.416034E7</v>
      </c>
      <c r="HS14" s="28">
        <v>1522000.0</v>
      </c>
      <c r="HT14" s="28">
        <v>8.6307533E7</v>
      </c>
      <c r="HU14" s="28">
        <v>3.8803136E7</v>
      </c>
      <c r="HV14" s="27" t="s">
        <v>295</v>
      </c>
      <c r="HW14" s="27" t="s">
        <v>295</v>
      </c>
      <c r="HX14" s="28">
        <v>2.2555E7</v>
      </c>
      <c r="HY14" s="28">
        <v>5449101.0</v>
      </c>
      <c r="HZ14" s="28">
        <v>7972509.0</v>
      </c>
      <c r="IA14" s="28">
        <v>1.5507154E7</v>
      </c>
      <c r="IB14" s="28">
        <v>2037500.0</v>
      </c>
      <c r="IC14" s="28">
        <v>2.2754613E7</v>
      </c>
      <c r="ID14" s="28">
        <v>2.1196163E7</v>
      </c>
      <c r="IE14" s="28">
        <v>1.282414E7</v>
      </c>
      <c r="IF14" s="28">
        <v>3803171.0</v>
      </c>
      <c r="IG14" s="28">
        <v>1.2177E7</v>
      </c>
      <c r="IH14" s="28">
        <v>1.2252901E7</v>
      </c>
      <c r="II14" s="27"/>
      <c r="IJ14" s="27"/>
      <c r="IK14" s="27" t="s">
        <v>295</v>
      </c>
      <c r="IL14" s="28">
        <v>1.7534876E7</v>
      </c>
      <c r="IM14" s="28">
        <v>1.40834595E8</v>
      </c>
      <c r="IN14" s="28">
        <v>9.3548441E7</v>
      </c>
      <c r="IO14" s="28">
        <v>2019316.0</v>
      </c>
      <c r="IP14" s="27" t="s">
        <v>295</v>
      </c>
      <c r="IQ14" s="28">
        <v>750000.0</v>
      </c>
      <c r="IR14" s="27"/>
      <c r="IS14" s="27" t="s">
        <v>295</v>
      </c>
      <c r="IT14" s="28">
        <v>5.945946E7</v>
      </c>
      <c r="IU14" s="27" t="s">
        <v>295</v>
      </c>
      <c r="IV14" s="27" t="s">
        <v>295</v>
      </c>
      <c r="IW14" s="27"/>
      <c r="IX14" s="27" t="s">
        <v>317</v>
      </c>
      <c r="IY14" s="27"/>
      <c r="IZ14" s="27"/>
      <c r="JA14" s="28"/>
      <c r="JB14" s="28">
        <v>7800000.0</v>
      </c>
      <c r="JC14" s="28"/>
      <c r="JD14" s="28"/>
      <c r="JE14" s="28">
        <v>3995125.0</v>
      </c>
      <c r="JF14" s="28"/>
      <c r="JG14" s="27"/>
      <c r="JH14" s="28">
        <v>7339144.0</v>
      </c>
      <c r="JI14" s="27" t="s">
        <v>317</v>
      </c>
      <c r="JJ14" s="27"/>
      <c r="JK14" s="27" t="s">
        <v>317</v>
      </c>
      <c r="JL14" s="27"/>
      <c r="JM14" s="28">
        <v>5.40948282E8</v>
      </c>
      <c r="JN14" s="27" t="s">
        <v>295</v>
      </c>
      <c r="JO14" s="28">
        <v>6151256.0</v>
      </c>
      <c r="JP14" s="28">
        <v>4.5082292E7</v>
      </c>
      <c r="JQ14" s="28">
        <v>5085000.0</v>
      </c>
      <c r="JR14" s="28">
        <v>4500000.0</v>
      </c>
      <c r="JS14" s="28">
        <v>3.157598E7</v>
      </c>
      <c r="JT14" s="62">
        <v>3.430273181E9</v>
      </c>
      <c r="JU14" s="27"/>
      <c r="JV14" s="27"/>
      <c r="JW14" s="28">
        <v>3.54467423E8</v>
      </c>
      <c r="JX14" s="28">
        <v>2.55E7</v>
      </c>
      <c r="JY14" s="28">
        <v>4.9623891E7</v>
      </c>
      <c r="JZ14" s="62">
        <v>4.29591314E8</v>
      </c>
      <c r="KA14" s="27"/>
      <c r="KB14" s="27"/>
      <c r="KC14" s="28">
        <v>4.11505E7</v>
      </c>
      <c r="KD14" s="62">
        <v>4.11505E7</v>
      </c>
      <c r="KE14" s="27"/>
      <c r="KF14" s="27"/>
      <c r="KG14" s="28">
        <v>2.2209512E7</v>
      </c>
      <c r="KH14" s="28">
        <v>5416500.0</v>
      </c>
      <c r="KI14" s="27">
        <v>0.0</v>
      </c>
      <c r="KJ14" s="28">
        <v>600000.0</v>
      </c>
      <c r="KK14" s="28">
        <v>3011.0</v>
      </c>
      <c r="KL14" s="28">
        <v>5.25966156E8</v>
      </c>
      <c r="KN14" s="62">
        <v>5.54195179E8</v>
      </c>
      <c r="KO14" s="27"/>
      <c r="KP14" s="27"/>
      <c r="KQ14" s="28">
        <v>1.1245904E7</v>
      </c>
      <c r="KR14" s="28">
        <v>1.748764402E9</v>
      </c>
      <c r="KS14" s="28"/>
      <c r="KT14" s="28">
        <v>9.45E7</v>
      </c>
      <c r="KU14" s="28"/>
      <c r="KV14" s="28">
        <v>2.08466361E8</v>
      </c>
      <c r="KW14" s="28">
        <v>733.0</v>
      </c>
      <c r="KX14" s="28">
        <v>4708797.0</v>
      </c>
      <c r="KY14" s="28"/>
      <c r="KZ14" s="28">
        <v>4.11640368E8</v>
      </c>
      <c r="LA14" s="27"/>
      <c r="LB14" s="27" t="s">
        <v>317</v>
      </c>
      <c r="LC14" s="27" t="s">
        <v>295</v>
      </c>
      <c r="LD14" s="28"/>
      <c r="LE14" s="62">
        <v>3.033521745E9</v>
      </c>
      <c r="LF14" s="27"/>
      <c r="LG14" s="27"/>
      <c r="LH14" s="28">
        <v>8123461.0</v>
      </c>
      <c r="LI14" s="28">
        <v>8123461.0</v>
      </c>
      <c r="LJ14" s="62">
        <f t="shared" si="1"/>
        <v>6934536740</v>
      </c>
      <c r="LK14" s="28"/>
    </row>
    <row r="15">
      <c r="A15" s="49" t="s">
        <v>3</v>
      </c>
      <c r="B15" s="50">
        <v>7.3337840528E10</v>
      </c>
      <c r="C15" s="52">
        <v>6.4662165092E10</v>
      </c>
      <c r="D15" s="53">
        <v>8.675675436E9</v>
      </c>
      <c r="E15" s="50"/>
      <c r="F15" s="50">
        <v>3.598035874E9</v>
      </c>
      <c r="G15" s="50">
        <v>7.72538953E8</v>
      </c>
      <c r="H15" s="50">
        <v>1.0515361E8</v>
      </c>
      <c r="I15" s="53">
        <v>4.475728437E9</v>
      </c>
      <c r="J15" s="53">
        <v>4.199946999E9</v>
      </c>
      <c r="K15" s="50"/>
      <c r="L15" s="50">
        <v>2.47895233E8</v>
      </c>
      <c r="M15" s="52">
        <v>2.081307655E9</v>
      </c>
      <c r="N15" s="54">
        <v>-1.833412422E9</v>
      </c>
      <c r="O15" s="50"/>
      <c r="P15" s="53">
        <v>2.366534577E9</v>
      </c>
      <c r="Q15" s="58">
        <v>0.0</v>
      </c>
      <c r="R15" s="50"/>
      <c r="S15" s="58">
        <v>0.0</v>
      </c>
      <c r="T15" s="53">
        <v>2.366534577E9</v>
      </c>
      <c r="U15" s="104"/>
      <c r="V15" s="105"/>
      <c r="W15" s="109"/>
      <c r="X15" s="59">
        <v>2.366534577E9</v>
      </c>
      <c r="Y15" s="27"/>
      <c r="AB15" s="27"/>
      <c r="AC15" s="27"/>
      <c r="AD15" s="28">
        <v>2.6449313884E10</v>
      </c>
      <c r="AE15" s="28">
        <v>1.14222708267E11</v>
      </c>
      <c r="AF15" s="28">
        <v>2.493348844E9</v>
      </c>
      <c r="AG15" s="110">
        <v>-1.35609003E8</v>
      </c>
      <c r="AH15" s="28">
        <v>3.770977936E9</v>
      </c>
      <c r="AI15" s="28">
        <v>8.6952512893E10</v>
      </c>
      <c r="AJ15" s="27"/>
      <c r="AK15" s="27"/>
      <c r="AL15" s="28">
        <v>1.4449173958E10</v>
      </c>
      <c r="AM15" s="28">
        <v>1.7263915379E10</v>
      </c>
      <c r="AN15" s="62">
        <v>2.65466342159E11</v>
      </c>
      <c r="AO15" s="27"/>
      <c r="AP15" s="27"/>
      <c r="AQ15" s="28">
        <v>1.35246210726E11</v>
      </c>
      <c r="AR15" s="28">
        <v>7.089517186E9</v>
      </c>
      <c r="AS15" s="27"/>
      <c r="AT15" s="27"/>
      <c r="AU15" s="28">
        <v>3.097471E9</v>
      </c>
      <c r="AV15" s="63">
        <v>1.45433198911E11</v>
      </c>
      <c r="AW15" s="62">
        <v>4.10899541071E11</v>
      </c>
      <c r="AX15" s="27"/>
      <c r="AY15" s="27"/>
      <c r="AZ15" s="27"/>
      <c r="BA15" s="28">
        <v>2.2607963166E10</v>
      </c>
      <c r="BB15" s="27"/>
      <c r="BC15" s="27"/>
      <c r="BD15" s="27"/>
      <c r="BE15" s="28">
        <v>1.2112195121E10</v>
      </c>
      <c r="BF15" s="28">
        <v>7.74032498E8</v>
      </c>
      <c r="BG15" s="27"/>
      <c r="BH15" s="27"/>
      <c r="BI15" s="28">
        <v>1.96895005E8</v>
      </c>
      <c r="BJ15" s="27"/>
      <c r="BK15" s="61">
        <v>1.96058597022E11</v>
      </c>
      <c r="BL15" s="62">
        <v>2.31749682812E11</v>
      </c>
      <c r="BM15" s="27"/>
      <c r="BN15" s="28">
        <v>1.8272650705E10</v>
      </c>
      <c r="BO15" s="27"/>
      <c r="BP15" s="27"/>
      <c r="BQ15" s="28">
        <v>1.0210870193E10</v>
      </c>
      <c r="BR15" s="27"/>
      <c r="BS15" s="63">
        <v>2.8483520898E10</v>
      </c>
      <c r="BT15" s="62">
        <v>2.60233203709E11</v>
      </c>
      <c r="BU15" s="27"/>
      <c r="BV15" s="28">
        <v>6.8245E10</v>
      </c>
      <c r="BW15" s="27"/>
      <c r="BX15" s="28">
        <v>3.1007706653E10</v>
      </c>
      <c r="BY15" s="28">
        <v>5.0176612716E10</v>
      </c>
      <c r="BZ15" s="28">
        <v>-3.110625307E9</v>
      </c>
      <c r="CA15" s="27"/>
      <c r="CB15" s="28">
        <v>4.3476433E9</v>
      </c>
      <c r="CC15" s="63">
        <v>1.50666337362E11</v>
      </c>
      <c r="CD15" s="63">
        <v>4.10899541071E11</v>
      </c>
      <c r="CF15" s="49" t="s">
        <v>3</v>
      </c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P15" s="64"/>
      <c r="DQ15" s="49" t="s">
        <v>3</v>
      </c>
      <c r="DR15" s="28">
        <v>7.3347669895E10</v>
      </c>
      <c r="DS15" s="27"/>
      <c r="DT15" s="28">
        <v>-9829367.0</v>
      </c>
      <c r="DU15" s="27" t="s">
        <v>295</v>
      </c>
      <c r="DV15" s="62">
        <v>7.3337840528E10</v>
      </c>
      <c r="DW15" s="27"/>
      <c r="DX15" s="27"/>
      <c r="DY15" s="28"/>
      <c r="DZ15" s="28">
        <v>5.6677498576E10</v>
      </c>
      <c r="EA15" s="28">
        <v>1.036857E9</v>
      </c>
      <c r="EB15" s="27"/>
      <c r="EC15" s="27"/>
      <c r="ED15" s="27"/>
      <c r="EE15" s="28">
        <v>2.51704392E8</v>
      </c>
      <c r="EF15" s="28">
        <v>2.3150721E7</v>
      </c>
      <c r="EG15" s="28">
        <v>2.5427892E7</v>
      </c>
      <c r="EH15" s="28">
        <v>2.1258556E7</v>
      </c>
      <c r="EI15" s="28">
        <v>2972007.0</v>
      </c>
      <c r="EJ15" s="28">
        <v>1.6387369E7</v>
      </c>
      <c r="EK15" s="28">
        <v>3465669.0</v>
      </c>
      <c r="EL15" s="28">
        <v>3922615.0</v>
      </c>
      <c r="EM15" s="28">
        <v>4.5934749E7</v>
      </c>
      <c r="EN15" s="27"/>
      <c r="EO15" s="28">
        <v>5.13E7</v>
      </c>
      <c r="EP15" s="28">
        <v>-1.4779849E7</v>
      </c>
      <c r="EQ15" s="28">
        <v>-1.54622342E8</v>
      </c>
      <c r="ER15" s="28">
        <v>4.00344914E8</v>
      </c>
      <c r="ES15" s="28">
        <v>1.64151853E8</v>
      </c>
      <c r="ET15" s="28">
        <v>3.91849244E9</v>
      </c>
      <c r="EU15" s="27"/>
      <c r="EV15" s="28">
        <v>2251463.0</v>
      </c>
      <c r="EW15" s="28"/>
      <c r="EX15" s="28">
        <v>4.41686286E8</v>
      </c>
      <c r="EY15" s="28">
        <v>6.6118656E7</v>
      </c>
      <c r="EZ15" s="28">
        <v>1.93386598E8</v>
      </c>
      <c r="FA15" s="28">
        <v>2.6548102E7</v>
      </c>
      <c r="FB15" s="27"/>
      <c r="FC15" s="28">
        <v>1.61142952E8</v>
      </c>
      <c r="FD15" s="28">
        <v>1.7385132E7</v>
      </c>
      <c r="FE15" s="27"/>
      <c r="FF15" s="28">
        <v>1.2686228E7</v>
      </c>
      <c r="FG15" s="28">
        <v>1.979375E7</v>
      </c>
      <c r="FH15" s="27"/>
      <c r="FI15" s="28">
        <v>2.562E7</v>
      </c>
      <c r="FJ15" s="28">
        <v>2.30216E7</v>
      </c>
      <c r="FK15" s="27"/>
      <c r="FL15" s="27"/>
      <c r="FM15" s="27"/>
      <c r="FN15" s="27" t="s">
        <v>317</v>
      </c>
      <c r="FO15" s="28">
        <v>3.183845E7</v>
      </c>
      <c r="FP15" s="27"/>
      <c r="FQ15" s="28">
        <v>2.6529465E7</v>
      </c>
      <c r="FR15" s="28">
        <v>3.27194523E8</v>
      </c>
      <c r="FS15" s="27"/>
      <c r="FT15" s="27"/>
      <c r="FU15" s="27"/>
      <c r="FV15" s="28">
        <v>3.16125E7</v>
      </c>
      <c r="FW15" s="28">
        <v>2.11794735E8</v>
      </c>
      <c r="FX15" s="27" t="s">
        <v>317</v>
      </c>
      <c r="FY15" s="27"/>
      <c r="FZ15" s="27" t="s">
        <v>317</v>
      </c>
      <c r="GA15" s="28">
        <v>3.41903388E8</v>
      </c>
      <c r="GB15" s="28">
        <v>1123287.0</v>
      </c>
      <c r="GC15" s="28">
        <v>1852507.0</v>
      </c>
      <c r="GD15" s="28">
        <v>4.5868316E7</v>
      </c>
      <c r="GE15" s="28">
        <v>1.31448993E8</v>
      </c>
      <c r="GF15" s="28">
        <v>9251766.0</v>
      </c>
      <c r="GG15" s="28">
        <v>3000000.0</v>
      </c>
      <c r="GH15" s="28">
        <v>1.5723478E7</v>
      </c>
      <c r="GI15" s="27" t="s">
        <v>295</v>
      </c>
      <c r="GJ15" s="28">
        <v>783784.0</v>
      </c>
      <c r="GK15" s="27" t="s">
        <v>295</v>
      </c>
      <c r="GL15" s="28">
        <v>1.913257E7</v>
      </c>
      <c r="GM15" s="61">
        <v>6.4662165092E10</v>
      </c>
      <c r="GN15" s="27"/>
      <c r="GO15" s="27"/>
      <c r="GP15" s="27"/>
      <c r="GQ15" s="28">
        <v>5.7307672E7</v>
      </c>
      <c r="GR15" s="28">
        <v>2.25503814E8</v>
      </c>
      <c r="GS15" s="28">
        <v>512160.0</v>
      </c>
      <c r="GT15" s="28">
        <v>1.61575E7</v>
      </c>
      <c r="GU15" s="28">
        <v>7.6213433E7</v>
      </c>
      <c r="GV15" s="28">
        <v>5.0865801E7</v>
      </c>
      <c r="GW15" s="28">
        <v>2.2118501E7</v>
      </c>
      <c r="GX15" s="28">
        <v>2.31299121E8</v>
      </c>
      <c r="GY15" s="28">
        <v>4.1371399E8</v>
      </c>
      <c r="GZ15" s="28">
        <v>4.31916587E8</v>
      </c>
      <c r="HA15" s="27"/>
      <c r="HB15" s="27"/>
      <c r="HC15" s="28">
        <v>2.7674988E7</v>
      </c>
      <c r="HD15" s="27"/>
      <c r="HE15" s="27"/>
      <c r="HF15" s="28">
        <v>1.8248307E8</v>
      </c>
      <c r="HG15" s="28">
        <v>3.288772E7</v>
      </c>
      <c r="HH15" s="28">
        <v>6.4016678E7</v>
      </c>
      <c r="HI15" s="28">
        <v>80000.0</v>
      </c>
      <c r="HJ15" s="28">
        <v>1.7559599E7</v>
      </c>
      <c r="HK15" s="27" t="s">
        <v>317</v>
      </c>
      <c r="HL15" s="28">
        <v>3750000.0</v>
      </c>
      <c r="HM15" s="27"/>
      <c r="HN15" s="27" t="s">
        <v>295</v>
      </c>
      <c r="HO15" s="28">
        <v>5.6732398E7</v>
      </c>
      <c r="HP15" s="28">
        <v>4424560.0</v>
      </c>
      <c r="HQ15" s="28">
        <v>2.22767892E8</v>
      </c>
      <c r="HR15" s="28">
        <v>9068265.0</v>
      </c>
      <c r="HS15" s="28">
        <v>3.9529492E7</v>
      </c>
      <c r="HT15" s="28">
        <v>8.4807533E7</v>
      </c>
      <c r="HU15" s="28">
        <v>1.21E7</v>
      </c>
      <c r="HV15" s="27" t="s">
        <v>295</v>
      </c>
      <c r="HW15" s="28">
        <v>5000000.0</v>
      </c>
      <c r="HX15" s="27" t="s">
        <v>295</v>
      </c>
      <c r="HY15" s="28">
        <v>9177029.0</v>
      </c>
      <c r="HZ15" s="28">
        <v>2.3926555E7</v>
      </c>
      <c r="IA15" s="28">
        <v>289750.0</v>
      </c>
      <c r="IB15" s="28">
        <v>782500.0</v>
      </c>
      <c r="IC15" s="28">
        <v>2.0408952E7</v>
      </c>
      <c r="ID15" s="28">
        <v>1.3942881E7</v>
      </c>
      <c r="IE15" s="28">
        <v>1.1586534E7</v>
      </c>
      <c r="IF15" s="28">
        <v>3597400.0</v>
      </c>
      <c r="IG15" s="28">
        <v>3.44553E7</v>
      </c>
      <c r="IH15" s="27" t="s">
        <v>295</v>
      </c>
      <c r="II15" s="27"/>
      <c r="IJ15" s="27"/>
      <c r="IK15" s="27" t="s">
        <v>295</v>
      </c>
      <c r="IL15" s="28">
        <v>2091245.0</v>
      </c>
      <c r="IM15" s="28">
        <v>1.35116602E8</v>
      </c>
      <c r="IN15" s="28">
        <v>3.2088251E7</v>
      </c>
      <c r="IO15" s="28">
        <v>7.65E7</v>
      </c>
      <c r="IP15" s="27" t="s">
        <v>295</v>
      </c>
      <c r="IQ15" s="27" t="s">
        <v>295</v>
      </c>
      <c r="IR15" s="27"/>
      <c r="IS15" s="27" t="s">
        <v>295</v>
      </c>
      <c r="IT15" s="28">
        <v>2.3243244E7</v>
      </c>
      <c r="IU15" s="27" t="s">
        <v>295</v>
      </c>
      <c r="IV15" s="27" t="s">
        <v>295</v>
      </c>
      <c r="IW15" s="27"/>
      <c r="IX15" s="28">
        <v>2.61835E8</v>
      </c>
      <c r="IY15" s="27"/>
      <c r="IZ15" s="27"/>
      <c r="JA15" s="28"/>
      <c r="JB15" s="28">
        <v>1.4892216E7</v>
      </c>
      <c r="JC15" s="27"/>
      <c r="JD15" s="27"/>
      <c r="JE15" s="27">
        <v>0.0</v>
      </c>
      <c r="JF15" s="27"/>
      <c r="JG15" s="27"/>
      <c r="JH15" s="28">
        <v>7339144.0</v>
      </c>
      <c r="JI15" s="27"/>
      <c r="JJ15" s="27"/>
      <c r="JK15" s="27" t="s">
        <v>317</v>
      </c>
      <c r="JL15" s="27"/>
      <c r="JM15" s="28">
        <v>5.28255203E8</v>
      </c>
      <c r="JN15" s="27" t="s">
        <v>295</v>
      </c>
      <c r="JO15" s="28">
        <v>2.2747845E7</v>
      </c>
      <c r="JP15" s="28">
        <v>4.778245E7</v>
      </c>
      <c r="JQ15" s="27" t="s">
        <v>295</v>
      </c>
      <c r="JR15" s="28">
        <v>4500000.0</v>
      </c>
      <c r="JS15" s="28">
        <v>3.4987E7</v>
      </c>
      <c r="JT15" s="62">
        <v>3.598035874E9</v>
      </c>
      <c r="JU15" s="27"/>
      <c r="JV15" s="27"/>
      <c r="JW15" s="28">
        <v>5.35244435E8</v>
      </c>
      <c r="JX15" s="28">
        <v>1.215E8</v>
      </c>
      <c r="JY15" s="28">
        <v>1.15794518E8</v>
      </c>
      <c r="JZ15" s="62">
        <v>7.72538953E8</v>
      </c>
      <c r="KA15" s="27"/>
      <c r="KB15" s="27"/>
      <c r="KC15" s="28">
        <v>1.0515361E8</v>
      </c>
      <c r="KD15" s="62">
        <v>1.0515361E8</v>
      </c>
      <c r="KE15" s="27"/>
      <c r="KF15" s="27"/>
      <c r="KG15" s="28">
        <v>2.367518E7</v>
      </c>
      <c r="KH15" s="28">
        <v>1.68562079E8</v>
      </c>
      <c r="KI15" s="28">
        <v>5.5013037E7</v>
      </c>
      <c r="KJ15" s="28">
        <v>600000.0</v>
      </c>
      <c r="KK15" s="28">
        <v>44937.0</v>
      </c>
      <c r="KL15" s="27" t="s">
        <v>317</v>
      </c>
      <c r="KM15" s="27"/>
      <c r="KN15" s="62">
        <v>2.47895233E8</v>
      </c>
      <c r="KO15" s="27"/>
      <c r="KP15" s="27"/>
      <c r="KQ15" s="28">
        <v>1.6354921E7</v>
      </c>
      <c r="KR15" s="28">
        <v>1.896955018E9</v>
      </c>
      <c r="KS15" s="27"/>
      <c r="KT15" s="28">
        <v>9.45E7</v>
      </c>
      <c r="KU15" s="27"/>
      <c r="KV15" s="27">
        <v>0.0</v>
      </c>
      <c r="KW15" s="28">
        <v>1848.0</v>
      </c>
      <c r="KX15" s="28">
        <v>4137519.0</v>
      </c>
      <c r="KY15" s="27"/>
      <c r="KZ15" s="28">
        <v>5.0E7</v>
      </c>
      <c r="LA15" s="27"/>
      <c r="LB15" s="27" t="s">
        <v>317</v>
      </c>
      <c r="LC15" s="28">
        <v>1.9358348E7</v>
      </c>
      <c r="LD15" s="27"/>
      <c r="LE15" s="62">
        <v>2.081307655E9</v>
      </c>
      <c r="LF15" s="27"/>
      <c r="LG15" s="27"/>
      <c r="LH15" s="27">
        <v>0.0</v>
      </c>
      <c r="LI15" s="27">
        <v>0.0</v>
      </c>
      <c r="LJ15" s="62">
        <f t="shared" si="1"/>
        <v>6557036092</v>
      </c>
      <c r="LK15" s="28"/>
    </row>
    <row r="16">
      <c r="A16" s="49" t="s">
        <v>322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104"/>
      <c r="V16" s="105"/>
      <c r="W16" s="109"/>
      <c r="X16" s="109"/>
      <c r="Y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111"/>
      <c r="AN16" s="15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15"/>
      <c r="BU16" s="27"/>
      <c r="BV16" s="27"/>
      <c r="BW16" s="27"/>
      <c r="BX16" s="27"/>
      <c r="BY16" s="27"/>
      <c r="BZ16" s="27"/>
      <c r="CA16" s="27"/>
      <c r="CB16" s="27"/>
      <c r="CC16" s="113"/>
      <c r="CD16" s="113"/>
      <c r="CF16" s="49" t="s">
        <v>322</v>
      </c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P16" s="64"/>
      <c r="DQ16" s="49" t="s">
        <v>322</v>
      </c>
      <c r="DR16" s="27"/>
      <c r="DS16" s="27"/>
      <c r="DT16" s="27"/>
      <c r="DU16" s="27"/>
      <c r="DV16" s="15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8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8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27"/>
      <c r="JD16" s="27"/>
      <c r="JE16" s="27"/>
      <c r="JF16" s="27"/>
      <c r="JG16" s="27"/>
      <c r="JH16" s="27"/>
      <c r="JI16" s="27"/>
      <c r="JJ16" s="27"/>
      <c r="JK16" s="27"/>
      <c r="JL16" s="27"/>
      <c r="JM16" s="27"/>
      <c r="JN16" s="27"/>
      <c r="JO16" s="27"/>
      <c r="JP16" s="27"/>
      <c r="JQ16" s="27"/>
      <c r="JR16" s="27"/>
      <c r="JS16" s="27"/>
      <c r="JT16" s="62"/>
      <c r="JU16" s="27"/>
      <c r="JV16" s="27"/>
      <c r="JW16" s="27"/>
      <c r="JX16" s="27"/>
      <c r="JY16" s="27"/>
      <c r="JZ16" s="15"/>
      <c r="KA16" s="27"/>
      <c r="KB16" s="27"/>
      <c r="KC16" s="27"/>
      <c r="KD16" s="15"/>
      <c r="KE16" s="27"/>
      <c r="KF16" s="27"/>
      <c r="KG16" s="27"/>
      <c r="KH16" s="27"/>
      <c r="KI16" s="27"/>
      <c r="KJ16" s="27"/>
      <c r="KK16" s="27"/>
      <c r="KL16" s="27"/>
      <c r="KM16" s="27"/>
      <c r="KN16" s="15"/>
      <c r="KO16" s="27"/>
      <c r="KP16" s="27"/>
      <c r="KQ16" s="27"/>
      <c r="KR16" s="27"/>
      <c r="KS16" s="27"/>
      <c r="KT16" s="27"/>
      <c r="KU16" s="27"/>
      <c r="KV16" s="27"/>
      <c r="KW16" s="27"/>
      <c r="KX16" s="27"/>
      <c r="KY16" s="27"/>
      <c r="KZ16" s="27"/>
      <c r="LA16" s="27"/>
      <c r="LB16" s="27"/>
      <c r="LC16" s="27"/>
      <c r="LD16" s="27"/>
      <c r="LE16" s="15"/>
      <c r="LF16" s="27"/>
      <c r="LG16" s="27"/>
      <c r="LH16" s="27"/>
      <c r="LI16" s="15"/>
      <c r="LJ16" s="62">
        <f t="shared" si="1"/>
        <v>0</v>
      </c>
      <c r="LK16" s="28"/>
    </row>
    <row r="17">
      <c r="A17" s="49" t="s">
        <v>323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104"/>
      <c r="V17" s="105"/>
      <c r="W17" s="109"/>
      <c r="X17" s="109"/>
      <c r="Y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111"/>
      <c r="AN17" s="15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15"/>
      <c r="BU17" s="27"/>
      <c r="BV17" s="27"/>
      <c r="BW17" s="27"/>
      <c r="BX17" s="27"/>
      <c r="BY17" s="27"/>
      <c r="BZ17" s="27"/>
      <c r="CA17" s="27"/>
      <c r="CB17" s="27"/>
      <c r="CC17" s="113"/>
      <c r="CD17" s="113"/>
      <c r="CF17" s="49" t="s">
        <v>323</v>
      </c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P17" s="64"/>
      <c r="DQ17" s="49" t="s">
        <v>323</v>
      </c>
      <c r="DR17" s="27"/>
      <c r="DS17" s="27"/>
      <c r="DT17" s="27"/>
      <c r="DU17" s="27"/>
      <c r="DV17" s="15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8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8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27"/>
      <c r="JD17" s="27"/>
      <c r="JE17" s="27"/>
      <c r="JF17" s="27"/>
      <c r="JG17" s="27"/>
      <c r="JH17" s="27"/>
      <c r="JI17" s="27"/>
      <c r="JJ17" s="27"/>
      <c r="JK17" s="27"/>
      <c r="JL17" s="27"/>
      <c r="JM17" s="27"/>
      <c r="JN17" s="27"/>
      <c r="JO17" s="27"/>
      <c r="JP17" s="27"/>
      <c r="JQ17" s="27"/>
      <c r="JR17" s="27"/>
      <c r="JS17" s="27"/>
      <c r="JT17" s="62"/>
      <c r="JU17" s="27"/>
      <c r="JV17" s="27"/>
      <c r="JW17" s="27"/>
      <c r="JX17" s="27"/>
      <c r="JY17" s="27"/>
      <c r="JZ17" s="15"/>
      <c r="KA17" s="27"/>
      <c r="KB17" s="27"/>
      <c r="KC17" s="27"/>
      <c r="KD17" s="15"/>
      <c r="KE17" s="27"/>
      <c r="KF17" s="27"/>
      <c r="KG17" s="27"/>
      <c r="KH17" s="27"/>
      <c r="KI17" s="27"/>
      <c r="KJ17" s="27"/>
      <c r="KK17" s="27"/>
      <c r="KL17" s="27"/>
      <c r="KM17" s="27"/>
      <c r="KN17" s="15"/>
      <c r="KO17" s="27"/>
      <c r="KP17" s="27"/>
      <c r="KQ17" s="27"/>
      <c r="KR17" s="27"/>
      <c r="KS17" s="27"/>
      <c r="KT17" s="27"/>
      <c r="KU17" s="27"/>
      <c r="KV17" s="27"/>
      <c r="KW17" s="27"/>
      <c r="KX17" s="27"/>
      <c r="KY17" s="27"/>
      <c r="KZ17" s="27"/>
      <c r="LA17" s="27"/>
      <c r="LB17" s="27"/>
      <c r="LC17" s="27"/>
      <c r="LD17" s="27"/>
      <c r="LE17" s="15"/>
      <c r="LF17" s="27"/>
      <c r="LG17" s="27"/>
      <c r="LH17" s="27"/>
      <c r="LI17" s="15"/>
      <c r="LJ17" s="62">
        <f t="shared" si="1"/>
        <v>0</v>
      </c>
      <c r="LK17" s="28"/>
    </row>
    <row r="18">
      <c r="A18" s="49" t="s">
        <v>324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104"/>
      <c r="V18" s="105"/>
      <c r="W18" s="109"/>
      <c r="X18" s="109"/>
      <c r="Y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111"/>
      <c r="AN18" s="15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15"/>
      <c r="BU18" s="27"/>
      <c r="BV18" s="27"/>
      <c r="BW18" s="27"/>
      <c r="BX18" s="27"/>
      <c r="BY18" s="27"/>
      <c r="BZ18" s="27"/>
      <c r="CA18" s="27"/>
      <c r="CB18" s="27"/>
      <c r="CC18" s="113"/>
      <c r="CD18" s="113"/>
      <c r="CF18" s="49" t="s">
        <v>324</v>
      </c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P18" s="64"/>
      <c r="DQ18" s="49" t="s">
        <v>324</v>
      </c>
      <c r="DR18" s="27"/>
      <c r="DS18" s="27"/>
      <c r="DT18" s="27"/>
      <c r="DU18" s="27"/>
      <c r="DV18" s="15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8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8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27"/>
      <c r="JD18" s="27"/>
      <c r="JE18" s="27"/>
      <c r="JF18" s="27"/>
      <c r="JG18" s="27"/>
      <c r="JH18" s="27"/>
      <c r="JI18" s="27"/>
      <c r="JJ18" s="27"/>
      <c r="JK18" s="27"/>
      <c r="JL18" s="27"/>
      <c r="JM18" s="27"/>
      <c r="JN18" s="27"/>
      <c r="JO18" s="27"/>
      <c r="JP18" s="27"/>
      <c r="JQ18" s="27"/>
      <c r="JR18" s="27"/>
      <c r="JS18" s="27"/>
      <c r="JT18" s="62"/>
      <c r="JU18" s="27"/>
      <c r="JV18" s="27"/>
      <c r="JW18" s="27"/>
      <c r="JX18" s="27"/>
      <c r="JY18" s="27"/>
      <c r="JZ18" s="15"/>
      <c r="KA18" s="27"/>
      <c r="KB18" s="27"/>
      <c r="KC18" s="27"/>
      <c r="KD18" s="15"/>
      <c r="KE18" s="27"/>
      <c r="KF18" s="27"/>
      <c r="KG18" s="27"/>
      <c r="KH18" s="27"/>
      <c r="KI18" s="27"/>
      <c r="KJ18" s="27"/>
      <c r="KK18" s="27"/>
      <c r="KL18" s="27"/>
      <c r="KM18" s="27"/>
      <c r="KN18" s="15"/>
      <c r="KO18" s="27"/>
      <c r="KP18" s="27"/>
      <c r="KQ18" s="27"/>
      <c r="KR18" s="27"/>
      <c r="KS18" s="27"/>
      <c r="KT18" s="27"/>
      <c r="KU18" s="27"/>
      <c r="KV18" s="27"/>
      <c r="KW18" s="27"/>
      <c r="KX18" s="27"/>
      <c r="KY18" s="27"/>
      <c r="KZ18" s="27"/>
      <c r="LA18" s="27"/>
      <c r="LB18" s="27"/>
      <c r="LC18" s="27"/>
      <c r="LD18" s="27"/>
      <c r="LE18" s="15"/>
      <c r="LF18" s="27"/>
      <c r="LG18" s="27"/>
      <c r="LH18" s="27"/>
      <c r="LI18" s="15"/>
      <c r="LJ18" s="62">
        <f t="shared" si="1"/>
        <v>0</v>
      </c>
      <c r="LK18" s="28"/>
    </row>
    <row r="19">
      <c r="A19" s="116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6"/>
      <c r="V19" s="118"/>
      <c r="W19" s="116"/>
      <c r="X19" s="116"/>
      <c r="Y19" s="116"/>
      <c r="Z19" s="116"/>
      <c r="AA19" s="116"/>
      <c r="AB19" s="116"/>
      <c r="AC19" s="116"/>
      <c r="AD19" s="116"/>
      <c r="AE19" s="119"/>
      <c r="AF19" s="116"/>
      <c r="AG19" s="116"/>
      <c r="AH19" s="116"/>
      <c r="AI19" s="116"/>
      <c r="AJ19" s="116"/>
      <c r="AK19" s="116"/>
      <c r="AL19" s="116"/>
      <c r="AM19" s="120"/>
      <c r="AN19" s="121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21"/>
      <c r="BU19" s="116"/>
      <c r="BV19" s="116"/>
      <c r="BW19" s="116"/>
      <c r="BX19" s="116"/>
      <c r="BY19" s="116"/>
      <c r="BZ19" s="116"/>
      <c r="CA19" s="116"/>
      <c r="CB19" s="116"/>
      <c r="CC19" s="122"/>
      <c r="CD19" s="122"/>
      <c r="CE19" s="116"/>
      <c r="CF19" s="116"/>
      <c r="CG19" s="116"/>
      <c r="CH19" s="116"/>
      <c r="CI19" s="116"/>
      <c r="CJ19" s="116"/>
      <c r="CK19" s="116"/>
      <c r="CL19" s="116"/>
      <c r="CM19" s="116"/>
      <c r="CN19" s="116"/>
      <c r="CO19" s="116"/>
      <c r="CP19" s="116"/>
      <c r="CQ19" s="116"/>
      <c r="CR19" s="116"/>
      <c r="CS19" s="116"/>
      <c r="CT19" s="116"/>
      <c r="CU19" s="116"/>
      <c r="CV19" s="116"/>
      <c r="CW19" s="116"/>
      <c r="CX19" s="116"/>
      <c r="CY19" s="116"/>
      <c r="CZ19" s="116"/>
      <c r="DA19" s="116"/>
      <c r="DB19" s="116"/>
      <c r="DC19" s="116"/>
      <c r="DD19" s="116"/>
      <c r="DE19" s="116"/>
      <c r="DF19" s="116"/>
      <c r="DG19" s="116"/>
      <c r="DH19" s="116"/>
      <c r="DI19" s="116"/>
      <c r="DJ19" s="116"/>
      <c r="DK19" s="116"/>
      <c r="DL19" s="116"/>
      <c r="DM19" s="116"/>
      <c r="DN19" s="116"/>
      <c r="DO19" s="116"/>
      <c r="DP19" s="116"/>
      <c r="DQ19" s="116"/>
      <c r="DR19" s="116"/>
      <c r="DS19" s="116"/>
      <c r="DT19" s="116"/>
      <c r="DU19" s="116"/>
      <c r="DV19" s="116"/>
      <c r="DW19" s="116"/>
      <c r="DX19" s="116"/>
      <c r="DY19" s="116"/>
      <c r="DZ19" s="116"/>
      <c r="EA19" s="116"/>
      <c r="EB19" s="116"/>
      <c r="EC19" s="116"/>
      <c r="ED19" s="116"/>
      <c r="EE19" s="116"/>
      <c r="EF19" s="116"/>
      <c r="EG19" s="116"/>
      <c r="EH19" s="116"/>
      <c r="EI19" s="116"/>
      <c r="EJ19" s="116"/>
      <c r="EK19" s="116"/>
      <c r="EL19" s="116"/>
      <c r="EM19" s="116"/>
      <c r="EN19" s="116"/>
      <c r="EO19" s="116"/>
      <c r="EP19" s="116"/>
      <c r="EQ19" s="116"/>
      <c r="ER19" s="116"/>
      <c r="ES19" s="116"/>
      <c r="ET19" s="116"/>
      <c r="EU19" s="116"/>
      <c r="EV19" s="116"/>
      <c r="EW19" s="116"/>
      <c r="EX19" s="116"/>
      <c r="EY19" s="116"/>
      <c r="EZ19" s="116"/>
      <c r="FA19" s="116"/>
      <c r="FB19" s="116"/>
      <c r="FC19" s="116"/>
      <c r="FD19" s="116"/>
      <c r="FE19" s="116"/>
      <c r="FF19" s="116"/>
      <c r="FG19" s="116"/>
      <c r="FH19" s="116"/>
      <c r="FI19" s="116"/>
      <c r="FJ19" s="116"/>
      <c r="FK19" s="116"/>
      <c r="FL19" s="116"/>
      <c r="FM19" s="116"/>
      <c r="FN19" s="116"/>
      <c r="FO19" s="116"/>
      <c r="FP19" s="116"/>
      <c r="FQ19" s="116"/>
      <c r="FR19" s="116"/>
      <c r="FS19" s="116"/>
      <c r="FT19" s="116"/>
      <c r="FU19" s="116"/>
      <c r="FV19" s="116"/>
      <c r="FW19" s="116"/>
      <c r="FX19" s="116"/>
      <c r="FY19" s="116"/>
      <c r="FZ19" s="116"/>
      <c r="GA19" s="116"/>
      <c r="GB19" s="116"/>
      <c r="GC19" s="116"/>
      <c r="GD19" s="116"/>
      <c r="GE19" s="116"/>
      <c r="GF19" s="116"/>
      <c r="GG19" s="116"/>
      <c r="GH19" s="116"/>
      <c r="GI19" s="116"/>
      <c r="GJ19" s="116"/>
      <c r="GK19" s="116"/>
      <c r="GL19" s="116"/>
      <c r="GM19" s="118"/>
      <c r="GN19" s="116"/>
      <c r="GO19" s="116"/>
      <c r="GP19" s="116"/>
      <c r="GQ19" s="116"/>
      <c r="GR19" s="116"/>
      <c r="GS19" s="116"/>
      <c r="GT19" s="116"/>
      <c r="GU19" s="116"/>
      <c r="GV19" s="116"/>
      <c r="GW19" s="116"/>
      <c r="GX19" s="116"/>
      <c r="GY19" s="116"/>
      <c r="GZ19" s="116"/>
      <c r="HA19" s="116"/>
      <c r="HB19" s="116"/>
      <c r="HC19" s="116"/>
      <c r="HD19" s="116"/>
      <c r="HE19" s="116"/>
      <c r="HF19" s="116"/>
      <c r="HG19" s="116"/>
      <c r="HH19" s="116"/>
      <c r="HI19" s="116"/>
      <c r="HJ19" s="116"/>
      <c r="HK19" s="116"/>
      <c r="HL19" s="116"/>
      <c r="HM19" s="116"/>
      <c r="HN19" s="116"/>
      <c r="HO19" s="116"/>
      <c r="HP19" s="116"/>
      <c r="HQ19" s="116"/>
      <c r="HR19" s="116"/>
      <c r="HS19" s="116"/>
      <c r="HT19" s="116"/>
      <c r="HU19" s="116"/>
      <c r="HV19" s="116"/>
      <c r="HW19" s="116"/>
      <c r="HX19" s="116"/>
      <c r="HY19" s="116"/>
      <c r="HZ19" s="116"/>
      <c r="IA19" s="116"/>
      <c r="IB19" s="116"/>
      <c r="IC19" s="116"/>
      <c r="ID19" s="116"/>
      <c r="IE19" s="116"/>
      <c r="IF19" s="116"/>
      <c r="IG19" s="116"/>
      <c r="IH19" s="116"/>
      <c r="II19" s="116"/>
      <c r="IJ19" s="116"/>
      <c r="IK19" s="116"/>
      <c r="IL19" s="116"/>
      <c r="IM19" s="116"/>
      <c r="IN19" s="116"/>
      <c r="IO19" s="116"/>
      <c r="IP19" s="116"/>
      <c r="IQ19" s="116"/>
      <c r="IR19" s="116"/>
      <c r="IS19" s="116"/>
      <c r="IT19" s="116"/>
      <c r="IU19" s="116"/>
      <c r="IV19" s="116"/>
      <c r="IW19" s="116"/>
      <c r="IX19" s="116"/>
      <c r="IY19" s="116"/>
      <c r="IZ19" s="116"/>
      <c r="JA19" s="116"/>
      <c r="JB19" s="116"/>
      <c r="JC19" s="116"/>
      <c r="JD19" s="116"/>
      <c r="JE19" s="116"/>
      <c r="JF19" s="116"/>
      <c r="JG19" s="116"/>
      <c r="JH19" s="116"/>
      <c r="JI19" s="116"/>
      <c r="JJ19" s="116"/>
      <c r="JK19" s="116"/>
      <c r="JL19" s="116"/>
      <c r="JM19" s="116"/>
      <c r="JN19" s="116"/>
      <c r="JO19" s="116"/>
      <c r="JP19" s="116"/>
      <c r="JQ19" s="116"/>
      <c r="JR19" s="116"/>
      <c r="JS19" s="116"/>
      <c r="JT19" s="123"/>
      <c r="JU19" s="116"/>
      <c r="JV19" s="116"/>
      <c r="JW19" s="116"/>
      <c r="JX19" s="116"/>
      <c r="JY19" s="116"/>
      <c r="JZ19" s="116"/>
      <c r="KA19" s="116"/>
      <c r="KB19" s="116"/>
      <c r="KC19" s="116"/>
      <c r="KD19" s="116"/>
      <c r="KE19" s="116"/>
      <c r="KF19" s="116"/>
      <c r="KG19" s="116"/>
      <c r="KH19" s="116"/>
      <c r="KI19" s="116"/>
      <c r="KJ19" s="116"/>
      <c r="KK19" s="116"/>
      <c r="KL19" s="116"/>
      <c r="KM19" s="116"/>
      <c r="KN19" s="116"/>
      <c r="KO19" s="116"/>
      <c r="KP19" s="116"/>
      <c r="KQ19" s="116"/>
      <c r="KR19" s="116"/>
      <c r="KS19" s="116"/>
      <c r="KT19" s="116"/>
      <c r="KU19" s="116"/>
      <c r="KV19" s="116"/>
      <c r="KW19" s="116"/>
      <c r="KX19" s="116"/>
      <c r="KY19" s="116"/>
      <c r="KZ19" s="116"/>
      <c r="LA19" s="116"/>
      <c r="LB19" s="116"/>
      <c r="LC19" s="116"/>
      <c r="LD19" s="116"/>
      <c r="LE19" s="116"/>
      <c r="LF19" s="116"/>
      <c r="LG19" s="116"/>
      <c r="LH19" s="116"/>
      <c r="LI19" s="116"/>
      <c r="LJ19" s="116"/>
      <c r="LK19" s="116"/>
    </row>
    <row r="20">
      <c r="A20" s="116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6"/>
      <c r="V20" s="118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20"/>
      <c r="AN20" s="121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21"/>
      <c r="BU20" s="116"/>
      <c r="BV20" s="116"/>
      <c r="BW20" s="116"/>
      <c r="BX20" s="116"/>
      <c r="BY20" s="116"/>
      <c r="BZ20" s="116"/>
      <c r="CA20" s="116"/>
      <c r="CB20" s="116"/>
      <c r="CC20" s="122"/>
      <c r="CD20" s="122"/>
      <c r="CE20" s="116"/>
      <c r="CF20" s="116"/>
      <c r="CG20" s="116"/>
      <c r="CH20" s="116"/>
      <c r="CI20" s="116"/>
      <c r="CJ20" s="116"/>
      <c r="CK20" s="116"/>
      <c r="CL20" s="116"/>
      <c r="CM20" s="116"/>
      <c r="CN20" s="116"/>
      <c r="CO20" s="116"/>
      <c r="CP20" s="116"/>
      <c r="CQ20" s="116"/>
      <c r="CR20" s="116"/>
      <c r="CS20" s="116"/>
      <c r="CT20" s="116"/>
      <c r="CU20" s="116"/>
      <c r="CV20" s="116"/>
      <c r="CW20" s="116"/>
      <c r="CX20" s="116"/>
      <c r="CY20" s="116"/>
      <c r="CZ20" s="116"/>
      <c r="DA20" s="116"/>
      <c r="DB20" s="116"/>
      <c r="DC20" s="116"/>
      <c r="DD20" s="116"/>
      <c r="DE20" s="116"/>
      <c r="DF20" s="116"/>
      <c r="DG20" s="116"/>
      <c r="DH20" s="116"/>
      <c r="DI20" s="116"/>
      <c r="DJ20" s="116"/>
      <c r="DK20" s="116"/>
      <c r="DL20" s="116"/>
      <c r="DM20" s="116"/>
      <c r="DN20" s="116"/>
      <c r="DO20" s="116"/>
      <c r="DP20" s="116"/>
      <c r="DQ20" s="116"/>
      <c r="DR20" s="116"/>
      <c r="DS20" s="116"/>
      <c r="DT20" s="116"/>
      <c r="DU20" s="116"/>
      <c r="DV20" s="116"/>
      <c r="DW20" s="116"/>
      <c r="DX20" s="116"/>
      <c r="DY20" s="116"/>
      <c r="DZ20" s="116"/>
      <c r="EA20" s="116"/>
      <c r="EB20" s="116"/>
      <c r="EC20" s="116"/>
      <c r="ED20" s="116"/>
      <c r="EE20" s="116"/>
      <c r="EF20" s="116"/>
      <c r="EG20" s="116"/>
      <c r="EH20" s="116"/>
      <c r="EI20" s="116"/>
      <c r="EJ20" s="116"/>
      <c r="EK20" s="116"/>
      <c r="EL20" s="116"/>
      <c r="EM20" s="116"/>
      <c r="EN20" s="116"/>
      <c r="EO20" s="116"/>
      <c r="EP20" s="116"/>
      <c r="EQ20" s="116"/>
      <c r="ER20" s="116"/>
      <c r="ES20" s="116"/>
      <c r="ET20" s="116"/>
      <c r="EU20" s="116"/>
      <c r="EV20" s="116"/>
      <c r="EW20" s="116"/>
      <c r="EX20" s="116"/>
      <c r="EY20" s="116"/>
      <c r="EZ20" s="116"/>
      <c r="FA20" s="116"/>
      <c r="FB20" s="116"/>
      <c r="FC20" s="116"/>
      <c r="FD20" s="116"/>
      <c r="FE20" s="116"/>
      <c r="FF20" s="116"/>
      <c r="FG20" s="116"/>
      <c r="FH20" s="116"/>
      <c r="FI20" s="116"/>
      <c r="FJ20" s="116"/>
      <c r="FK20" s="116"/>
      <c r="FL20" s="116"/>
      <c r="FM20" s="116"/>
      <c r="FN20" s="116"/>
      <c r="FO20" s="116"/>
      <c r="FP20" s="116"/>
      <c r="FQ20" s="116"/>
      <c r="FR20" s="116"/>
      <c r="FS20" s="116"/>
      <c r="FT20" s="116"/>
      <c r="FU20" s="116"/>
      <c r="FV20" s="116"/>
      <c r="FW20" s="116"/>
      <c r="FX20" s="116"/>
      <c r="FY20" s="116"/>
      <c r="FZ20" s="116"/>
      <c r="GA20" s="116"/>
      <c r="GB20" s="116"/>
      <c r="GC20" s="116"/>
      <c r="GD20" s="116"/>
      <c r="GE20" s="116"/>
      <c r="GF20" s="116"/>
      <c r="GG20" s="116"/>
      <c r="GH20" s="116"/>
      <c r="GI20" s="116"/>
      <c r="GJ20" s="116"/>
      <c r="GK20" s="116"/>
      <c r="GL20" s="116"/>
      <c r="GM20" s="118"/>
      <c r="GN20" s="116"/>
      <c r="GO20" s="116"/>
      <c r="GP20" s="116"/>
      <c r="GQ20" s="116"/>
      <c r="GR20" s="116"/>
      <c r="GS20" s="116"/>
      <c r="GT20" s="116"/>
      <c r="GU20" s="116"/>
      <c r="GV20" s="116"/>
      <c r="GW20" s="116"/>
      <c r="GX20" s="116"/>
      <c r="GY20" s="116"/>
      <c r="GZ20" s="116"/>
      <c r="HA20" s="116"/>
      <c r="HB20" s="116"/>
      <c r="HC20" s="116"/>
      <c r="HD20" s="116"/>
      <c r="HE20" s="116"/>
      <c r="HF20" s="116"/>
      <c r="HG20" s="116"/>
      <c r="HH20" s="116"/>
      <c r="HI20" s="116"/>
      <c r="HJ20" s="116"/>
      <c r="HK20" s="116"/>
      <c r="HL20" s="116"/>
      <c r="HM20" s="116"/>
      <c r="HN20" s="116"/>
      <c r="HO20" s="116"/>
      <c r="HP20" s="116"/>
      <c r="HQ20" s="116"/>
      <c r="HR20" s="116"/>
      <c r="HS20" s="116"/>
      <c r="HT20" s="116"/>
      <c r="HU20" s="116"/>
      <c r="HV20" s="116"/>
      <c r="HW20" s="116"/>
      <c r="HX20" s="116"/>
      <c r="HY20" s="116"/>
      <c r="HZ20" s="116"/>
      <c r="IA20" s="116"/>
      <c r="IB20" s="116"/>
      <c r="IC20" s="116"/>
      <c r="ID20" s="116"/>
      <c r="IE20" s="116"/>
      <c r="IF20" s="116"/>
      <c r="IG20" s="116"/>
      <c r="IH20" s="116"/>
      <c r="II20" s="116"/>
      <c r="IJ20" s="116"/>
      <c r="IK20" s="116"/>
      <c r="IL20" s="116"/>
      <c r="IM20" s="116"/>
      <c r="IN20" s="116"/>
      <c r="IO20" s="116"/>
      <c r="IP20" s="116"/>
      <c r="IQ20" s="116"/>
      <c r="IR20" s="116"/>
      <c r="IS20" s="116"/>
      <c r="IT20" s="116"/>
      <c r="IU20" s="116"/>
      <c r="IV20" s="116"/>
      <c r="IW20" s="116"/>
      <c r="IX20" s="116"/>
      <c r="IY20" s="116"/>
      <c r="IZ20" s="116"/>
      <c r="JA20" s="116"/>
      <c r="JB20" s="116"/>
      <c r="JC20" s="116"/>
      <c r="JD20" s="116"/>
      <c r="JE20" s="116"/>
      <c r="JF20" s="116"/>
      <c r="JG20" s="116"/>
      <c r="JH20" s="116"/>
      <c r="JI20" s="116"/>
      <c r="JJ20" s="116"/>
      <c r="JK20" s="116"/>
      <c r="JL20" s="116"/>
      <c r="JM20" s="116"/>
      <c r="JN20" s="116"/>
      <c r="JO20" s="116"/>
      <c r="JP20" s="116"/>
      <c r="JQ20" s="116"/>
      <c r="JR20" s="116"/>
      <c r="JS20" s="116"/>
      <c r="JT20" s="123"/>
      <c r="JU20" s="116"/>
      <c r="JV20" s="116"/>
      <c r="JW20" s="116"/>
      <c r="JX20" s="116"/>
      <c r="JY20" s="116"/>
      <c r="JZ20" s="116"/>
      <c r="KA20" s="116"/>
      <c r="KB20" s="116"/>
      <c r="KC20" s="116"/>
      <c r="KD20" s="116"/>
      <c r="KE20" s="116"/>
      <c r="KF20" s="116"/>
      <c r="KG20" s="116"/>
      <c r="KH20" s="116"/>
      <c r="KI20" s="116"/>
      <c r="KJ20" s="116"/>
      <c r="KK20" s="116"/>
      <c r="KL20" s="116"/>
      <c r="KM20" s="116"/>
      <c r="KN20" s="116"/>
      <c r="KO20" s="116"/>
      <c r="KP20" s="116"/>
      <c r="KQ20" s="116"/>
      <c r="KR20" s="116"/>
      <c r="KS20" s="116"/>
      <c r="KT20" s="116"/>
      <c r="KU20" s="116"/>
      <c r="KV20" s="116"/>
      <c r="KW20" s="116"/>
      <c r="KX20" s="116"/>
      <c r="KY20" s="116"/>
      <c r="KZ20" s="116"/>
      <c r="LA20" s="116"/>
      <c r="LB20" s="116"/>
      <c r="LC20" s="116"/>
      <c r="LD20" s="116"/>
      <c r="LE20" s="116"/>
      <c r="LF20" s="116"/>
      <c r="LG20" s="116"/>
      <c r="LH20" s="116"/>
      <c r="LI20" s="116"/>
      <c r="LJ20" s="116"/>
      <c r="LK20" s="116"/>
    </row>
    <row r="21">
      <c r="A21" s="32" t="s">
        <v>326</v>
      </c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33"/>
      <c r="V21" s="126"/>
      <c r="W21" s="33"/>
      <c r="X21" s="33"/>
      <c r="Y21" s="33"/>
      <c r="Z21" s="33"/>
      <c r="AA21" s="33"/>
      <c r="AB21" s="32" t="s">
        <v>331</v>
      </c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127"/>
      <c r="AN21" s="32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2"/>
      <c r="BU21" s="33"/>
      <c r="BV21" s="33"/>
      <c r="BW21" s="33"/>
      <c r="BX21" s="33"/>
      <c r="BY21" s="33"/>
      <c r="BZ21" s="33"/>
      <c r="CA21" s="33"/>
      <c r="CB21" s="33"/>
      <c r="CC21" s="128"/>
      <c r="CD21" s="128"/>
      <c r="CE21" s="33"/>
      <c r="CF21" s="32" t="s">
        <v>332</v>
      </c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2" t="s">
        <v>333</v>
      </c>
      <c r="DR21" s="32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  <c r="GK21" s="30"/>
      <c r="GL21" s="30"/>
      <c r="GM21" s="31"/>
      <c r="GN21" s="30"/>
      <c r="GO21" s="30"/>
      <c r="GP21" s="30"/>
      <c r="GQ21" s="30"/>
      <c r="GR21" s="30"/>
      <c r="GS21" s="30"/>
      <c r="GT21" s="30"/>
      <c r="GU21" s="30"/>
      <c r="GV21" s="30"/>
      <c r="GW21" s="30"/>
      <c r="GX21" s="30"/>
      <c r="GY21" s="30"/>
      <c r="GZ21" s="30"/>
      <c r="HA21" s="30"/>
      <c r="HB21" s="30"/>
      <c r="HC21" s="30"/>
      <c r="HD21" s="30"/>
      <c r="HE21" s="30"/>
      <c r="HF21" s="30"/>
      <c r="HG21" s="30"/>
      <c r="HH21" s="30"/>
      <c r="HI21" s="30"/>
      <c r="HJ21" s="30"/>
      <c r="HK21" s="30"/>
      <c r="HL21" s="30"/>
      <c r="HM21" s="30"/>
      <c r="HN21" s="30"/>
      <c r="HO21" s="30"/>
      <c r="HP21" s="30"/>
      <c r="HQ21" s="30"/>
      <c r="HR21" s="30"/>
      <c r="HS21" s="30"/>
      <c r="HT21" s="30"/>
      <c r="HU21" s="30"/>
      <c r="HV21" s="30"/>
      <c r="HW21" s="30"/>
      <c r="HX21" s="30"/>
      <c r="HY21" s="30"/>
      <c r="HZ21" s="30"/>
      <c r="IA21" s="30"/>
      <c r="IB21" s="30"/>
      <c r="IC21" s="30"/>
      <c r="ID21" s="30"/>
      <c r="IE21" s="30"/>
      <c r="IF21" s="30"/>
      <c r="IG21" s="30"/>
      <c r="IH21" s="30"/>
      <c r="II21" s="30"/>
      <c r="IJ21" s="30"/>
      <c r="IK21" s="30"/>
      <c r="IL21" s="30"/>
      <c r="IM21" s="30"/>
      <c r="IN21" s="30"/>
      <c r="IO21" s="30"/>
      <c r="IP21" s="30"/>
      <c r="IQ21" s="30"/>
      <c r="IR21" s="30"/>
      <c r="IS21" s="30"/>
      <c r="IT21" s="30"/>
      <c r="IU21" s="30"/>
      <c r="IV21" s="30"/>
      <c r="IW21" s="30"/>
      <c r="IX21" s="30"/>
      <c r="IY21" s="30"/>
      <c r="IZ21" s="30"/>
      <c r="JA21" s="30"/>
      <c r="JB21" s="30"/>
      <c r="JC21" s="30"/>
      <c r="JD21" s="30"/>
      <c r="JE21" s="30"/>
      <c r="JF21" s="30"/>
      <c r="JG21" s="30"/>
      <c r="JH21" s="30"/>
      <c r="JI21" s="30"/>
      <c r="JJ21" s="30"/>
      <c r="JK21" s="30"/>
      <c r="JL21" s="30"/>
      <c r="JM21" s="30"/>
      <c r="JN21" s="30"/>
      <c r="JO21" s="30"/>
      <c r="JP21" s="30"/>
      <c r="JQ21" s="30"/>
      <c r="JR21" s="30"/>
      <c r="JS21" s="30"/>
      <c r="JT21" s="131"/>
      <c r="JU21" s="30"/>
      <c r="JV21" s="30"/>
      <c r="JW21" s="30"/>
      <c r="JX21" s="30"/>
      <c r="JY21" s="30"/>
      <c r="JZ21" s="30"/>
      <c r="KA21" s="30"/>
      <c r="KB21" s="30"/>
      <c r="KC21" s="30"/>
      <c r="KD21" s="30"/>
      <c r="KE21" s="30"/>
      <c r="KF21" s="30"/>
      <c r="KG21" s="30"/>
      <c r="KH21" s="30"/>
      <c r="KI21" s="30"/>
      <c r="KJ21" s="30"/>
      <c r="KK21" s="30"/>
      <c r="KL21" s="30"/>
      <c r="KM21" s="30"/>
      <c r="KN21" s="30"/>
      <c r="KO21" s="30"/>
      <c r="KP21" s="30"/>
      <c r="KQ21" s="30"/>
      <c r="KR21" s="30"/>
      <c r="KS21" s="30"/>
      <c r="KT21" s="30"/>
      <c r="KU21" s="30"/>
      <c r="KV21" s="30"/>
      <c r="KW21" s="30"/>
      <c r="KX21" s="30"/>
      <c r="KY21" s="30"/>
      <c r="KZ21" s="30"/>
      <c r="LA21" s="30"/>
      <c r="LB21" s="30"/>
      <c r="LC21" s="30"/>
      <c r="LD21" s="30"/>
      <c r="LE21" s="30"/>
      <c r="LF21" s="30"/>
      <c r="LG21" s="30"/>
      <c r="LH21" s="30"/>
      <c r="LI21" s="30"/>
      <c r="LJ21" s="30"/>
      <c r="LK21" s="30"/>
    </row>
    <row r="22" ht="48.0" customHeight="1">
      <c r="A22" s="132"/>
      <c r="B22" s="134" t="s">
        <v>19</v>
      </c>
      <c r="C22" s="134" t="s">
        <v>20</v>
      </c>
      <c r="D22" s="134" t="s">
        <v>21</v>
      </c>
      <c r="E22" s="134" t="s">
        <v>22</v>
      </c>
      <c r="F22" s="134" t="s">
        <v>23</v>
      </c>
      <c r="G22" s="134" t="s">
        <v>24</v>
      </c>
      <c r="H22" s="134" t="s">
        <v>25</v>
      </c>
      <c r="I22" s="134" t="s">
        <v>26</v>
      </c>
      <c r="J22" s="134" t="s">
        <v>27</v>
      </c>
      <c r="K22" s="134" t="s">
        <v>28</v>
      </c>
      <c r="L22" s="134" t="s">
        <v>29</v>
      </c>
      <c r="M22" s="134" t="s">
        <v>30</v>
      </c>
      <c r="N22" s="134" t="s">
        <v>31</v>
      </c>
      <c r="O22" s="134"/>
      <c r="P22" s="134" t="s">
        <v>32</v>
      </c>
      <c r="Q22" s="134" t="s">
        <v>33</v>
      </c>
      <c r="R22" s="134" t="s">
        <v>34</v>
      </c>
      <c r="S22" s="134" t="s">
        <v>35</v>
      </c>
      <c r="T22" s="134" t="s">
        <v>36</v>
      </c>
      <c r="U22" s="135" t="s">
        <v>37</v>
      </c>
      <c r="V22" s="134" t="s">
        <v>38</v>
      </c>
      <c r="W22" s="135" t="s">
        <v>39</v>
      </c>
      <c r="X22" s="135" t="s">
        <v>40</v>
      </c>
      <c r="Y22" s="136"/>
      <c r="AB22" s="38" t="s">
        <v>41</v>
      </c>
      <c r="AC22" s="38" t="s">
        <v>42</v>
      </c>
      <c r="AD22" s="38" t="s">
        <v>43</v>
      </c>
      <c r="AE22" s="38" t="s">
        <v>44</v>
      </c>
      <c r="AF22" s="38" t="s">
        <v>45</v>
      </c>
      <c r="AG22" s="38" t="s">
        <v>46</v>
      </c>
      <c r="AH22" s="38" t="s">
        <v>47</v>
      </c>
      <c r="AI22" s="38" t="s">
        <v>48</v>
      </c>
      <c r="AJ22" s="38" t="s">
        <v>49</v>
      </c>
      <c r="AK22" s="38" t="s">
        <v>50</v>
      </c>
      <c r="AL22" s="38" t="s">
        <v>51</v>
      </c>
      <c r="AM22" s="38" t="s">
        <v>52</v>
      </c>
      <c r="AN22" s="135" t="s">
        <v>53</v>
      </c>
      <c r="AO22" s="38" t="s">
        <v>54</v>
      </c>
      <c r="AP22" s="38" t="s">
        <v>55</v>
      </c>
      <c r="AQ22" s="38" t="s">
        <v>56</v>
      </c>
      <c r="AR22" s="38" t="s">
        <v>57</v>
      </c>
      <c r="AS22" s="38"/>
      <c r="AT22" s="38"/>
      <c r="AU22" s="38" t="s">
        <v>58</v>
      </c>
      <c r="AV22" s="38" t="s">
        <v>59</v>
      </c>
      <c r="AW22" s="38" t="s">
        <v>60</v>
      </c>
      <c r="AX22" s="38"/>
      <c r="AY22" s="38" t="s">
        <v>61</v>
      </c>
      <c r="AZ22" s="38" t="s">
        <v>62</v>
      </c>
      <c r="BA22" s="38" t="s">
        <v>63</v>
      </c>
      <c r="BB22" s="38"/>
      <c r="BC22" s="38" t="s">
        <v>64</v>
      </c>
      <c r="BD22" s="40" t="s">
        <v>65</v>
      </c>
      <c r="BE22" s="38" t="s">
        <v>66</v>
      </c>
      <c r="BF22" s="38" t="s">
        <v>67</v>
      </c>
      <c r="BG22" s="38"/>
      <c r="BH22" s="38"/>
      <c r="BI22" s="38" t="s">
        <v>68</v>
      </c>
      <c r="BJ22" s="38" t="s">
        <v>69</v>
      </c>
      <c r="BK22" s="38" t="s">
        <v>70</v>
      </c>
      <c r="BL22" s="38" t="s">
        <v>71</v>
      </c>
      <c r="BM22" s="38" t="s">
        <v>72</v>
      </c>
      <c r="BN22" s="38" t="s">
        <v>73</v>
      </c>
      <c r="BO22" s="38" t="s">
        <v>74</v>
      </c>
      <c r="BP22" s="38" t="s">
        <v>75</v>
      </c>
      <c r="BQ22" s="38" t="s">
        <v>76</v>
      </c>
      <c r="BR22" s="38" t="s">
        <v>77</v>
      </c>
      <c r="BS22" s="38" t="s">
        <v>78</v>
      </c>
      <c r="BT22" s="135" t="s">
        <v>79</v>
      </c>
      <c r="BU22" s="38" t="s">
        <v>80</v>
      </c>
      <c r="BV22" s="38" t="s">
        <v>81</v>
      </c>
      <c r="BW22" s="38" t="s">
        <v>82</v>
      </c>
      <c r="BX22" s="38" t="s">
        <v>83</v>
      </c>
      <c r="BY22" s="38" t="s">
        <v>84</v>
      </c>
      <c r="BZ22" s="38" t="s">
        <v>85</v>
      </c>
      <c r="CA22" s="38" t="s">
        <v>86</v>
      </c>
      <c r="CB22" s="38" t="s">
        <v>87</v>
      </c>
      <c r="CC22" s="137" t="s">
        <v>88</v>
      </c>
      <c r="CD22" s="137" t="s">
        <v>89</v>
      </c>
      <c r="CF22" s="41"/>
      <c r="CG22" s="41" t="s">
        <v>90</v>
      </c>
      <c r="CH22" s="41" t="s">
        <v>91</v>
      </c>
      <c r="CI22" s="41" t="s">
        <v>92</v>
      </c>
      <c r="CJ22" s="41" t="s">
        <v>93</v>
      </c>
      <c r="CK22" s="41" t="s">
        <v>94</v>
      </c>
      <c r="CL22" s="41"/>
      <c r="CM22" s="41" t="s">
        <v>95</v>
      </c>
      <c r="CN22" s="41" t="s">
        <v>96</v>
      </c>
      <c r="CO22" s="41" t="s">
        <v>45</v>
      </c>
      <c r="CP22" s="41" t="s">
        <v>97</v>
      </c>
      <c r="CQ22" s="41" t="s">
        <v>98</v>
      </c>
      <c r="CR22" s="41" t="s">
        <v>99</v>
      </c>
      <c r="CS22" s="41" t="s">
        <v>48</v>
      </c>
      <c r="CT22" s="41" t="s">
        <v>100</v>
      </c>
      <c r="CU22" s="41" t="s">
        <v>101</v>
      </c>
      <c r="CV22" s="41" t="s">
        <v>102</v>
      </c>
      <c r="CW22" s="41" t="s">
        <v>103</v>
      </c>
      <c r="CX22" s="41" t="s">
        <v>67</v>
      </c>
      <c r="CY22" s="41" t="s">
        <v>104</v>
      </c>
      <c r="CZ22" s="41" t="s">
        <v>105</v>
      </c>
      <c r="DA22" s="41" t="s">
        <v>107</v>
      </c>
      <c r="DB22" s="41" t="s">
        <v>108</v>
      </c>
      <c r="DC22" s="41" t="s">
        <v>109</v>
      </c>
      <c r="DD22" s="41" t="s">
        <v>110</v>
      </c>
      <c r="DE22" s="41" t="s">
        <v>111</v>
      </c>
      <c r="DF22" s="41" t="s">
        <v>112</v>
      </c>
      <c r="DG22" s="41" t="s">
        <v>113</v>
      </c>
      <c r="DH22" s="41" t="s">
        <v>114</v>
      </c>
      <c r="DI22" s="41" t="s">
        <v>115</v>
      </c>
      <c r="DJ22" s="41" t="s">
        <v>116</v>
      </c>
      <c r="DK22" s="41" t="s">
        <v>117</v>
      </c>
      <c r="DL22" s="41" t="s">
        <v>118</v>
      </c>
      <c r="DM22" s="41" t="s">
        <v>119</v>
      </c>
      <c r="DQ22" s="43"/>
      <c r="DR22" s="43" t="s">
        <v>19</v>
      </c>
      <c r="DS22" s="43"/>
      <c r="DT22" s="43" t="s">
        <v>120</v>
      </c>
      <c r="DU22" s="43" t="s">
        <v>121</v>
      </c>
      <c r="DV22" s="43" t="s">
        <v>122</v>
      </c>
      <c r="DW22" s="43"/>
      <c r="DX22" s="43" t="s">
        <v>123</v>
      </c>
      <c r="DY22" s="43" t="s">
        <v>124</v>
      </c>
      <c r="DZ22" s="44" t="s">
        <v>125</v>
      </c>
      <c r="EA22" s="43" t="s">
        <v>126</v>
      </c>
      <c r="EB22" s="43"/>
      <c r="EC22" s="43"/>
      <c r="ED22" s="43"/>
      <c r="EE22" s="43" t="s">
        <v>127</v>
      </c>
      <c r="EF22" s="43" t="s">
        <v>128</v>
      </c>
      <c r="EG22" s="43" t="s">
        <v>129</v>
      </c>
      <c r="EH22" s="43" t="s">
        <v>130</v>
      </c>
      <c r="EI22" s="43" t="s">
        <v>131</v>
      </c>
      <c r="EJ22" s="43" t="s">
        <v>132</v>
      </c>
      <c r="EK22" s="43" t="s">
        <v>133</v>
      </c>
      <c r="EL22" s="43" t="s">
        <v>134</v>
      </c>
      <c r="EM22" s="43" t="s">
        <v>135</v>
      </c>
      <c r="EN22" s="43"/>
      <c r="EO22" s="43" t="s">
        <v>136</v>
      </c>
      <c r="EP22" s="43" t="s">
        <v>137</v>
      </c>
      <c r="EQ22" s="43"/>
      <c r="ER22" s="43" t="s">
        <v>139</v>
      </c>
      <c r="ES22" s="43" t="s">
        <v>140</v>
      </c>
      <c r="ET22" s="43" t="s">
        <v>141</v>
      </c>
      <c r="EU22" s="43" t="s">
        <v>142</v>
      </c>
      <c r="EV22" s="43" t="s">
        <v>143</v>
      </c>
      <c r="EW22" s="43" t="s">
        <v>144</v>
      </c>
      <c r="EX22" s="43" t="s">
        <v>145</v>
      </c>
      <c r="EY22" s="43" t="s">
        <v>146</v>
      </c>
      <c r="EZ22" s="43" t="s">
        <v>147</v>
      </c>
      <c r="FA22" s="43" t="s">
        <v>148</v>
      </c>
      <c r="FB22" s="43"/>
      <c r="FC22" s="43" t="s">
        <v>149</v>
      </c>
      <c r="FD22" s="43" t="s">
        <v>151</v>
      </c>
      <c r="FE22" s="43"/>
      <c r="FF22" s="43" t="s">
        <v>152</v>
      </c>
      <c r="FG22" s="43" t="s">
        <v>153</v>
      </c>
      <c r="FH22" s="43"/>
      <c r="FI22" s="43" t="s">
        <v>154</v>
      </c>
      <c r="FJ22" s="43" t="s">
        <v>155</v>
      </c>
      <c r="FK22" s="44" t="s">
        <v>156</v>
      </c>
      <c r="FL22" s="44" t="s">
        <v>157</v>
      </c>
      <c r="FM22" s="44" t="s">
        <v>158</v>
      </c>
      <c r="FN22" s="43" t="s">
        <v>159</v>
      </c>
      <c r="FO22" s="43" t="s">
        <v>160</v>
      </c>
      <c r="FP22" s="43"/>
      <c r="FQ22" s="43" t="s">
        <v>161</v>
      </c>
      <c r="FR22" s="43" t="s">
        <v>162</v>
      </c>
      <c r="FS22" s="43"/>
      <c r="FT22" s="43"/>
      <c r="FU22" s="43"/>
      <c r="FV22" s="43" t="s">
        <v>163</v>
      </c>
      <c r="FW22" s="43" t="s">
        <v>164</v>
      </c>
      <c r="FX22" s="46" t="s">
        <v>165</v>
      </c>
      <c r="FY22" s="43"/>
      <c r="FZ22" s="43" t="s">
        <v>167</v>
      </c>
      <c r="GA22" s="43" t="s">
        <v>168</v>
      </c>
      <c r="GB22" s="43" t="s">
        <v>169</v>
      </c>
      <c r="GC22" s="43" t="s">
        <v>170</v>
      </c>
      <c r="GD22" s="43" t="s">
        <v>171</v>
      </c>
      <c r="GE22" s="43" t="s">
        <v>172</v>
      </c>
      <c r="GF22" s="43" t="s">
        <v>173</v>
      </c>
      <c r="GG22" s="43" t="s">
        <v>174</v>
      </c>
      <c r="GH22" s="43" t="s">
        <v>175</v>
      </c>
      <c r="GI22" s="43" t="s">
        <v>176</v>
      </c>
      <c r="GJ22" s="47" t="s">
        <v>177</v>
      </c>
      <c r="GK22" s="43" t="s">
        <v>178</v>
      </c>
      <c r="GL22" s="43" t="s">
        <v>179</v>
      </c>
      <c r="GM22" s="44" t="s">
        <v>180</v>
      </c>
      <c r="GN22" s="43"/>
      <c r="GO22" s="43" t="s">
        <v>181</v>
      </c>
      <c r="GP22" s="43"/>
      <c r="GQ22" s="43" t="s">
        <v>182</v>
      </c>
      <c r="GR22" s="43" t="s">
        <v>183</v>
      </c>
      <c r="GS22" s="43" t="s">
        <v>184</v>
      </c>
      <c r="GT22" s="43" t="s">
        <v>185</v>
      </c>
      <c r="GU22" s="43" t="s">
        <v>186</v>
      </c>
      <c r="GV22" s="43" t="s">
        <v>187</v>
      </c>
      <c r="GW22" s="43" t="s">
        <v>188</v>
      </c>
      <c r="GX22" s="43" t="s">
        <v>189</v>
      </c>
      <c r="GY22" s="43" t="s">
        <v>190</v>
      </c>
      <c r="GZ22" s="43" t="s">
        <v>191</v>
      </c>
      <c r="HA22" s="43"/>
      <c r="HB22" s="43"/>
      <c r="HC22" s="43" t="s">
        <v>192</v>
      </c>
      <c r="HD22" s="47"/>
      <c r="HE22" s="47"/>
      <c r="HF22" s="47" t="s">
        <v>194</v>
      </c>
      <c r="HG22" s="43" t="s">
        <v>195</v>
      </c>
      <c r="HH22" s="43" t="s">
        <v>196</v>
      </c>
      <c r="HI22" s="43" t="s">
        <v>197</v>
      </c>
      <c r="HJ22" s="43" t="s">
        <v>198</v>
      </c>
      <c r="HK22" s="43" t="s">
        <v>199</v>
      </c>
      <c r="HL22" s="43" t="s">
        <v>200</v>
      </c>
      <c r="HM22" s="44" t="s">
        <v>201</v>
      </c>
      <c r="HN22" s="43" t="s">
        <v>202</v>
      </c>
      <c r="HO22" s="43" t="s">
        <v>203</v>
      </c>
      <c r="HP22" s="43" t="s">
        <v>204</v>
      </c>
      <c r="HQ22" s="43" t="s">
        <v>205</v>
      </c>
      <c r="HR22" s="43" t="s">
        <v>206</v>
      </c>
      <c r="HS22" s="43" t="s">
        <v>207</v>
      </c>
      <c r="HT22" s="43" t="s">
        <v>208</v>
      </c>
      <c r="HU22" s="43" t="s">
        <v>209</v>
      </c>
      <c r="HV22" s="43" t="s">
        <v>210</v>
      </c>
      <c r="HW22" s="43" t="s">
        <v>211</v>
      </c>
      <c r="HX22" s="43" t="s">
        <v>212</v>
      </c>
      <c r="HY22" s="43" t="s">
        <v>213</v>
      </c>
      <c r="HZ22" s="43" t="s">
        <v>214</v>
      </c>
      <c r="IA22" s="43" t="s">
        <v>215</v>
      </c>
      <c r="IB22" s="43" t="s">
        <v>216</v>
      </c>
      <c r="IC22" s="43" t="s">
        <v>217</v>
      </c>
      <c r="ID22" s="43" t="s">
        <v>218</v>
      </c>
      <c r="IE22" s="43" t="s">
        <v>219</v>
      </c>
      <c r="IF22" s="43" t="s">
        <v>220</v>
      </c>
      <c r="IG22" s="43" t="s">
        <v>221</v>
      </c>
      <c r="IH22" s="43" t="s">
        <v>222</v>
      </c>
      <c r="II22" s="43"/>
      <c r="IJ22" s="43"/>
      <c r="IK22" s="43" t="s">
        <v>223</v>
      </c>
      <c r="IL22" s="43" t="s">
        <v>224</v>
      </c>
      <c r="IM22" s="43" t="s">
        <v>225</v>
      </c>
      <c r="IN22" s="43" t="s">
        <v>226</v>
      </c>
      <c r="IO22" s="43" t="s">
        <v>228</v>
      </c>
      <c r="IP22" s="43" t="s">
        <v>229</v>
      </c>
      <c r="IQ22" s="43" t="s">
        <v>230</v>
      </c>
      <c r="IR22" s="44" t="s">
        <v>231</v>
      </c>
      <c r="IS22" s="43" t="s">
        <v>232</v>
      </c>
      <c r="IT22" s="43" t="s">
        <v>233</v>
      </c>
      <c r="IU22" s="43" t="s">
        <v>234</v>
      </c>
      <c r="IV22" s="43" t="s">
        <v>235</v>
      </c>
      <c r="IW22" s="43" t="s">
        <v>236</v>
      </c>
      <c r="IX22" s="43" t="s">
        <v>237</v>
      </c>
      <c r="IY22" s="44" t="s">
        <v>238</v>
      </c>
      <c r="IZ22" s="44" t="s">
        <v>239</v>
      </c>
      <c r="JA22" s="43" t="s">
        <v>240</v>
      </c>
      <c r="JB22" s="43" t="s">
        <v>241</v>
      </c>
      <c r="JC22" s="44" t="s">
        <v>242</v>
      </c>
      <c r="JD22" s="44" t="s">
        <v>243</v>
      </c>
      <c r="JE22" s="43" t="s">
        <v>244</v>
      </c>
      <c r="JF22" s="43"/>
      <c r="JG22" s="43"/>
      <c r="JH22" s="43" t="s">
        <v>245</v>
      </c>
      <c r="JI22" s="43" t="s">
        <v>246</v>
      </c>
      <c r="JJ22" s="44" t="s">
        <v>247</v>
      </c>
      <c r="JK22" s="43" t="s">
        <v>248</v>
      </c>
      <c r="JL22" s="43" t="s">
        <v>249</v>
      </c>
      <c r="JM22" s="43" t="s">
        <v>250</v>
      </c>
      <c r="JN22" s="43" t="s">
        <v>251</v>
      </c>
      <c r="JO22" s="43" t="s">
        <v>252</v>
      </c>
      <c r="JP22" s="43" t="s">
        <v>253</v>
      </c>
      <c r="JQ22" s="43" t="s">
        <v>254</v>
      </c>
      <c r="JR22" s="43" t="s">
        <v>255</v>
      </c>
      <c r="JS22" s="43" t="s">
        <v>256</v>
      </c>
      <c r="JT22" s="138" t="s">
        <v>257</v>
      </c>
      <c r="JU22" s="43"/>
      <c r="JV22" s="43" t="s">
        <v>258</v>
      </c>
      <c r="JW22" s="43" t="s">
        <v>259</v>
      </c>
      <c r="JX22" s="43" t="s">
        <v>260</v>
      </c>
      <c r="JY22" s="43" t="s">
        <v>261</v>
      </c>
      <c r="JZ22" s="43" t="s">
        <v>262</v>
      </c>
      <c r="KA22" s="43"/>
      <c r="KB22" s="43" t="s">
        <v>263</v>
      </c>
      <c r="KC22" s="43" t="s">
        <v>25</v>
      </c>
      <c r="KD22" s="43" t="s">
        <v>265</v>
      </c>
      <c r="KE22" s="43"/>
      <c r="KF22" s="43" t="s">
        <v>266</v>
      </c>
      <c r="KG22" s="43" t="s">
        <v>267</v>
      </c>
      <c r="KH22" s="43" t="s">
        <v>268</v>
      </c>
      <c r="KI22" s="43" t="s">
        <v>269</v>
      </c>
      <c r="KJ22" s="43" t="s">
        <v>270</v>
      </c>
      <c r="KK22" s="43" t="s">
        <v>271</v>
      </c>
      <c r="KL22" s="43" t="s">
        <v>272</v>
      </c>
      <c r="KM22" s="43" t="s">
        <v>273</v>
      </c>
      <c r="KN22" s="43" t="s">
        <v>274</v>
      </c>
      <c r="KO22" s="43"/>
      <c r="KP22" s="43" t="s">
        <v>275</v>
      </c>
      <c r="KQ22" s="43" t="s">
        <v>276</v>
      </c>
      <c r="KR22" s="43" t="s">
        <v>277</v>
      </c>
      <c r="KS22" s="43"/>
      <c r="KT22" s="43" t="s">
        <v>278</v>
      </c>
      <c r="KU22" s="43"/>
      <c r="KV22" s="43" t="s">
        <v>279</v>
      </c>
      <c r="KW22" s="43" t="s">
        <v>280</v>
      </c>
      <c r="KX22" s="43" t="s">
        <v>281</v>
      </c>
      <c r="KY22" s="43" t="s">
        <v>282</v>
      </c>
      <c r="KZ22" s="43" t="s">
        <v>283</v>
      </c>
      <c r="LA22" s="43"/>
      <c r="LB22" s="43" t="s">
        <v>284</v>
      </c>
      <c r="LC22" s="43" t="s">
        <v>285</v>
      </c>
      <c r="LD22" s="43"/>
      <c r="LE22" s="43" t="s">
        <v>286</v>
      </c>
      <c r="LF22" s="43"/>
      <c r="LG22" s="43" t="s">
        <v>287</v>
      </c>
      <c r="LH22" s="43" t="s">
        <v>33</v>
      </c>
      <c r="LI22" s="43" t="s">
        <v>288</v>
      </c>
      <c r="LJ22" s="43" t="s">
        <v>289</v>
      </c>
      <c r="LK22" s="139" t="s">
        <v>290</v>
      </c>
    </row>
    <row r="23">
      <c r="A23" s="49" t="s">
        <v>291</v>
      </c>
      <c r="B23" s="140">
        <v>2.2271442059E10</v>
      </c>
      <c r="C23" s="141">
        <v>1.4550282537E10</v>
      </c>
      <c r="D23" s="142">
        <v>7.721159523E9</v>
      </c>
      <c r="E23" s="50"/>
      <c r="F23" s="50">
        <v>2.797455742E9</v>
      </c>
      <c r="G23" s="141">
        <v>6.89993629E8</v>
      </c>
      <c r="H23" s="140">
        <v>8.52972E7</v>
      </c>
      <c r="I23" s="142">
        <v>3.572746571E9</v>
      </c>
      <c r="J23" s="142">
        <v>4.148412952E9</v>
      </c>
      <c r="K23" s="50"/>
      <c r="L23" s="52">
        <v>1.4972802E7</v>
      </c>
      <c r="M23" s="141">
        <v>2.000053969E9</v>
      </c>
      <c r="N23" s="142">
        <v>-1.985081168E9</v>
      </c>
      <c r="O23" s="53"/>
      <c r="P23" s="50">
        <v>2.163331785E9</v>
      </c>
      <c r="Q23" s="50">
        <v>818660.0</v>
      </c>
      <c r="R23" s="54"/>
      <c r="S23" s="53">
        <v>818660.0</v>
      </c>
      <c r="T23" s="53">
        <v>2.162513125E9</v>
      </c>
      <c r="U23" s="104"/>
      <c r="V23" s="143"/>
      <c r="W23" s="144" t="s">
        <v>295</v>
      </c>
      <c r="X23" s="145">
        <v>2.162513125E9</v>
      </c>
      <c r="Y23" s="27"/>
      <c r="AB23" s="27"/>
      <c r="AC23" s="27"/>
      <c r="AD23" s="28">
        <v>4.4214340653E10</v>
      </c>
      <c r="AE23" s="28">
        <v>4.4331095704E10</v>
      </c>
      <c r="AF23" s="28"/>
      <c r="AG23" s="28">
        <v>-3.25897486E8</v>
      </c>
      <c r="AH23" s="28">
        <v>1.0333743154E10</v>
      </c>
      <c r="AI23" s="28">
        <v>1.04300563162E11</v>
      </c>
      <c r="AJ23" s="27" t="s">
        <v>295</v>
      </c>
      <c r="AK23" s="28"/>
      <c r="AL23" s="28">
        <v>2.7470911203E10</v>
      </c>
      <c r="AM23" s="28">
        <v>1.2165949131E10</v>
      </c>
      <c r="AN23" s="62">
        <v>2.42490705521E11</v>
      </c>
      <c r="AO23" s="27"/>
      <c r="AP23" s="27" t="s">
        <v>295</v>
      </c>
      <c r="AQ23" s="28">
        <v>1.27315422381E11</v>
      </c>
      <c r="AR23" s="28">
        <v>6.707849388E9</v>
      </c>
      <c r="AS23" s="28"/>
      <c r="AT23" s="28"/>
      <c r="AU23" s="28">
        <v>1.712002768E9</v>
      </c>
      <c r="AV23" s="63">
        <v>1.35735274537E11</v>
      </c>
      <c r="AW23" s="62">
        <v>3.78225980058E11</v>
      </c>
      <c r="AX23" s="27"/>
      <c r="AY23" s="27"/>
      <c r="AZ23" s="27"/>
      <c r="BA23" s="28">
        <v>2.1736710978E10</v>
      </c>
      <c r="BB23" s="27"/>
      <c r="BC23" s="27" t="s">
        <v>295</v>
      </c>
      <c r="BD23" s="27" t="s">
        <v>295</v>
      </c>
      <c r="BE23" s="28">
        <v>5.705977764E9</v>
      </c>
      <c r="BF23" s="28">
        <v>9.760447198E9</v>
      </c>
      <c r="BG23" s="28"/>
      <c r="BH23" s="28"/>
      <c r="BI23" s="28">
        <v>1.45767226E8</v>
      </c>
      <c r="BJ23" s="27" t="s">
        <v>295</v>
      </c>
      <c r="BK23" s="61">
        <v>1.98250150994E11</v>
      </c>
      <c r="BL23" s="62">
        <v>2.35599054161E11</v>
      </c>
      <c r="BM23" s="27"/>
      <c r="BN23" s="28">
        <v>1.0372247233E10</v>
      </c>
      <c r="BO23" s="27" t="s">
        <v>295</v>
      </c>
      <c r="BP23" s="27"/>
      <c r="BQ23" s="28">
        <v>5.424840824E9</v>
      </c>
      <c r="BR23" s="27" t="s">
        <v>295</v>
      </c>
      <c r="BS23" s="63">
        <v>1.5797088057E10</v>
      </c>
      <c r="BT23" s="62">
        <v>2.51396142218E11</v>
      </c>
      <c r="BU23" s="27"/>
      <c r="BV23" s="28">
        <v>6.8245E10</v>
      </c>
      <c r="BW23" s="27" t="s">
        <v>295</v>
      </c>
      <c r="BX23" s="28">
        <v>2.162513125E9</v>
      </c>
      <c r="BY23" s="28">
        <v>5.3985061075E10</v>
      </c>
      <c r="BZ23" s="28">
        <v>-5.4180596E8</v>
      </c>
      <c r="CA23" s="27" t="s">
        <v>295</v>
      </c>
      <c r="CB23" s="28">
        <v>2.9790696E9</v>
      </c>
      <c r="CC23" s="63">
        <v>1.26829837839E11</v>
      </c>
      <c r="CD23" s="63">
        <v>3.78225980058E11</v>
      </c>
      <c r="CF23" s="49" t="s">
        <v>291</v>
      </c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P23" s="64"/>
      <c r="DQ23" s="49" t="s">
        <v>291</v>
      </c>
      <c r="DR23" s="28">
        <v>2.2321496113E10</v>
      </c>
      <c r="DS23" s="28"/>
      <c r="DT23" s="28">
        <v>-4.9804054E7</v>
      </c>
      <c r="DU23" s="28">
        <v>-250000.0</v>
      </c>
      <c r="DV23" s="62">
        <v>2.2271442059E10</v>
      </c>
      <c r="DW23" s="27"/>
      <c r="DX23" s="27"/>
      <c r="DY23" s="28"/>
      <c r="DZ23" s="28">
        <v>1.1233807019E10</v>
      </c>
      <c r="EA23" s="28">
        <v>4.19236E8</v>
      </c>
      <c r="EB23" s="28"/>
      <c r="EC23" s="28"/>
      <c r="ED23" s="28"/>
      <c r="EE23" s="28">
        <v>2.22361613E8</v>
      </c>
      <c r="EF23" s="28">
        <v>175478.0</v>
      </c>
      <c r="EG23" s="28">
        <v>3802702.0</v>
      </c>
      <c r="EH23" s="28">
        <v>3154533.0</v>
      </c>
      <c r="EI23" s="28">
        <v>1.9358144E7</v>
      </c>
      <c r="EJ23" s="28">
        <v>328037.0</v>
      </c>
      <c r="EK23" s="28">
        <v>3330313.0</v>
      </c>
      <c r="EL23" s="28">
        <v>9.9249577E7</v>
      </c>
      <c r="EM23" s="28">
        <v>3.6077806E7</v>
      </c>
      <c r="EN23" s="28"/>
      <c r="EO23" s="28">
        <v>6.015E7</v>
      </c>
      <c r="EP23" s="28">
        <v>9103283.0</v>
      </c>
      <c r="EQ23" s="28"/>
      <c r="ER23" s="28">
        <v>3.26841928E8</v>
      </c>
      <c r="ES23" s="28">
        <v>5.949584E7</v>
      </c>
      <c r="ET23" s="28">
        <v>1.256104694E9</v>
      </c>
      <c r="EU23" s="28"/>
      <c r="EV23" s="28">
        <v>527050.0</v>
      </c>
      <c r="EW23" s="28"/>
      <c r="EX23" s="28"/>
      <c r="EY23" s="28">
        <v>7.3522457E7</v>
      </c>
      <c r="EZ23" s="28">
        <v>1.61256537E8</v>
      </c>
      <c r="FA23" s="28">
        <v>1.0059662E7</v>
      </c>
      <c r="FB23" s="28"/>
      <c r="FC23" s="28">
        <v>7.8314507E7</v>
      </c>
      <c r="FD23" s="28">
        <v>2.2316357E7</v>
      </c>
      <c r="FE23" s="28"/>
      <c r="FF23" s="28">
        <v>5981156.0</v>
      </c>
      <c r="FG23" s="28">
        <v>214800.0</v>
      </c>
      <c r="FH23" s="28"/>
      <c r="FI23" s="28">
        <v>1.2E7</v>
      </c>
      <c r="FJ23" s="28">
        <v>2.247277E7</v>
      </c>
      <c r="FK23" s="28"/>
      <c r="FL23" s="28"/>
      <c r="FM23" s="28"/>
      <c r="FN23" s="28"/>
      <c r="FO23" s="28">
        <v>1.319681E7</v>
      </c>
      <c r="FP23" s="28"/>
      <c r="FQ23" s="28"/>
      <c r="FR23" s="28">
        <v>1.17593E8</v>
      </c>
      <c r="FS23" s="28"/>
      <c r="FT23" s="28"/>
      <c r="FU23" s="28"/>
      <c r="FV23" s="28">
        <v>5.34002E7</v>
      </c>
      <c r="FW23" s="28">
        <v>2.3953018E7</v>
      </c>
      <c r="FX23" s="28"/>
      <c r="FY23" s="28"/>
      <c r="FZ23" s="28">
        <v>8.3382614E7</v>
      </c>
      <c r="GA23" s="28">
        <v>5.6657612E7</v>
      </c>
      <c r="GB23" s="28">
        <v>1.495721E7</v>
      </c>
      <c r="GC23" s="28">
        <v>7356377.0</v>
      </c>
      <c r="GD23" s="28">
        <v>315543.0</v>
      </c>
      <c r="GE23" s="28">
        <v>1.5133876E7</v>
      </c>
      <c r="GF23" s="28">
        <v>437015.0</v>
      </c>
      <c r="GG23" s="28">
        <v>2.451E7</v>
      </c>
      <c r="GH23" s="28">
        <v>147000.0</v>
      </c>
      <c r="GI23" s="28"/>
      <c r="GJ23" s="28"/>
      <c r="GK23" s="28"/>
      <c r="GL23" s="62"/>
      <c r="GM23" s="62">
        <v>1.4550282537E10</v>
      </c>
      <c r="GN23" s="27"/>
      <c r="GO23" s="27"/>
      <c r="GP23" s="28"/>
      <c r="GQ23" s="28">
        <v>3.32725E7</v>
      </c>
      <c r="GR23" s="28">
        <v>5.9048061E7</v>
      </c>
      <c r="GS23" s="28">
        <v>155000.0</v>
      </c>
      <c r="GT23" s="28">
        <v>2.3945243E7</v>
      </c>
      <c r="GU23" s="28">
        <v>8.2255996E7</v>
      </c>
      <c r="GV23" s="28">
        <v>4.7123961E7</v>
      </c>
      <c r="GW23" s="28">
        <v>2.2118501E7</v>
      </c>
      <c r="GX23" s="28">
        <v>2.29723827E8</v>
      </c>
      <c r="GY23" s="28">
        <v>4.03465056E8</v>
      </c>
      <c r="GZ23" s="28">
        <v>4.53491678E8</v>
      </c>
      <c r="HA23" s="28"/>
      <c r="HB23" s="28"/>
      <c r="HC23" s="28">
        <v>4.0204681E7</v>
      </c>
      <c r="HD23" s="28"/>
      <c r="HE23" s="28"/>
      <c r="HF23" s="28"/>
      <c r="HG23" s="28">
        <v>2.9664522E7</v>
      </c>
      <c r="HH23" s="28">
        <v>6.1503254E7</v>
      </c>
      <c r="HI23" s="28">
        <v>225000.0</v>
      </c>
      <c r="HJ23" s="28">
        <v>4.8106641E7</v>
      </c>
      <c r="HK23" s="28">
        <v>712553.0</v>
      </c>
      <c r="HL23" s="28"/>
      <c r="HM23" s="28"/>
      <c r="HN23" s="28">
        <v>2502709.0</v>
      </c>
      <c r="HO23" s="28">
        <v>2.8181917E7</v>
      </c>
      <c r="HP23" s="28">
        <v>5290000.0</v>
      </c>
      <c r="HQ23" s="28">
        <v>1.16650988E8</v>
      </c>
      <c r="HR23" s="28">
        <v>8832900.0</v>
      </c>
      <c r="HS23" s="28"/>
      <c r="HT23" s="28">
        <v>5.4003207E7</v>
      </c>
      <c r="HU23" s="28">
        <v>5.955E7</v>
      </c>
      <c r="HV23" s="28">
        <v>4.916E7</v>
      </c>
      <c r="HW23" s="28"/>
      <c r="HX23" s="28">
        <v>1.24627563E8</v>
      </c>
      <c r="HY23" s="28">
        <v>1996000.0</v>
      </c>
      <c r="HZ23" s="28">
        <v>7520728.0</v>
      </c>
      <c r="IA23" s="28">
        <v>2529592.0</v>
      </c>
      <c r="IB23" s="28">
        <v>3316499.0</v>
      </c>
      <c r="IC23" s="28">
        <v>2.0354381E7</v>
      </c>
      <c r="ID23" s="28">
        <v>1.666173E7</v>
      </c>
      <c r="IE23" s="28">
        <v>1.7158107E7</v>
      </c>
      <c r="IF23" s="28">
        <v>3178477.0</v>
      </c>
      <c r="IG23" s="28">
        <v>1.84662E7</v>
      </c>
      <c r="IH23" s="28"/>
      <c r="II23" s="28"/>
      <c r="IJ23" s="28"/>
      <c r="IK23" s="28"/>
      <c r="IL23" s="28"/>
      <c r="IM23" s="28">
        <v>7.7824374E7</v>
      </c>
      <c r="IN23" s="28"/>
      <c r="IO23" s="28"/>
      <c r="IP23" s="28"/>
      <c r="IQ23" s="28">
        <v>380000.0</v>
      </c>
      <c r="IR23" s="28"/>
      <c r="IS23" s="28"/>
      <c r="IT23" s="28"/>
      <c r="IU23" s="28"/>
      <c r="IV23" s="28"/>
      <c r="IW23" s="28"/>
      <c r="IX23" s="28"/>
      <c r="IY23" s="28"/>
      <c r="IZ23" s="28"/>
      <c r="JA23" s="28"/>
      <c r="JB23" s="28">
        <v>8.02E7</v>
      </c>
      <c r="JC23" s="28"/>
      <c r="JD23" s="28"/>
      <c r="JE23" s="28"/>
      <c r="JF23" s="28"/>
      <c r="JG23" s="28"/>
      <c r="JH23" s="28">
        <v>7339144.0</v>
      </c>
      <c r="JI23" s="28"/>
      <c r="JJ23" s="28"/>
      <c r="JK23" s="28"/>
      <c r="JL23" s="28"/>
      <c r="JM23" s="28">
        <v>4.20042284E8</v>
      </c>
      <c r="JN23" s="28">
        <v>4.6928088E7</v>
      </c>
      <c r="JO23" s="28">
        <v>765000.0</v>
      </c>
      <c r="JP23" s="28">
        <v>4.1576967E7</v>
      </c>
      <c r="JQ23" s="28">
        <v>2.8962413E7</v>
      </c>
      <c r="JR23" s="28"/>
      <c r="JS23" s="28">
        <v>1.644E7</v>
      </c>
      <c r="JT23" s="62">
        <v>2.797455742E9</v>
      </c>
      <c r="JU23" s="27"/>
      <c r="JV23" s="27"/>
      <c r="JW23" s="28">
        <v>4.91945849E8</v>
      </c>
      <c r="JX23" s="28">
        <v>1.47499E8</v>
      </c>
      <c r="JY23" s="28">
        <v>5.054878E7</v>
      </c>
      <c r="JZ23" s="62">
        <v>6.89993629E8</v>
      </c>
      <c r="KA23" s="27"/>
      <c r="KB23" s="27"/>
      <c r="KC23" s="28">
        <v>8.52972E7</v>
      </c>
      <c r="KD23" s="62">
        <v>8.52972E7</v>
      </c>
      <c r="KE23" s="27"/>
      <c r="KF23" s="27"/>
      <c r="KG23" s="28">
        <v>9971413.0</v>
      </c>
      <c r="KH23" s="28"/>
      <c r="KI23" s="28"/>
      <c r="KJ23" s="28"/>
      <c r="KK23" s="28">
        <v>1389.0</v>
      </c>
      <c r="KL23" s="28"/>
      <c r="KM23" s="28"/>
      <c r="KN23" s="62">
        <v>1.4972802E7</v>
      </c>
      <c r="KO23" s="27"/>
      <c r="KP23" s="27"/>
      <c r="KQ23" s="28">
        <v>1.0483936E7</v>
      </c>
      <c r="KR23" s="28">
        <v>1.612378407E9</v>
      </c>
      <c r="KS23" s="28"/>
      <c r="KT23" s="28">
        <v>1.0340948E8</v>
      </c>
      <c r="KU23" s="28"/>
      <c r="KV23" s="28">
        <v>2.1784634E8</v>
      </c>
      <c r="KW23" s="28">
        <v>2175.0</v>
      </c>
      <c r="KX23" s="28"/>
      <c r="KY23" s="28"/>
      <c r="KZ23" s="28"/>
      <c r="LA23" s="28"/>
      <c r="LB23" s="28"/>
      <c r="LC23" s="28">
        <v>5933631.0</v>
      </c>
      <c r="LD23" s="28"/>
      <c r="LE23" s="62">
        <v>2.00005397E9</v>
      </c>
      <c r="LF23" s="27"/>
      <c r="LG23" s="27"/>
      <c r="LH23" s="28">
        <v>818660.0</v>
      </c>
      <c r="LI23" s="62">
        <v>818660.0</v>
      </c>
      <c r="LJ23" s="62">
        <f t="shared" ref="LJ23:LJ34" si="2">LE23+KD23+JZ23+JT23</f>
        <v>5572800541</v>
      </c>
      <c r="LK23" s="110"/>
    </row>
    <row r="24">
      <c r="A24" s="49" t="s">
        <v>296</v>
      </c>
      <c r="B24" s="146">
        <v>6.2193098489E10</v>
      </c>
      <c r="C24" s="146">
        <v>4.1995808416E10</v>
      </c>
      <c r="D24" s="147">
        <v>2.0197290073E10</v>
      </c>
      <c r="E24" s="146"/>
      <c r="F24" s="146">
        <v>5.948337818E9</v>
      </c>
      <c r="G24" s="146">
        <v>1.634181348E9</v>
      </c>
      <c r="H24" s="146">
        <v>9.0764202E7</v>
      </c>
      <c r="I24" s="147">
        <v>7.673283368E9</v>
      </c>
      <c r="J24" s="147">
        <v>1.2524006705E10</v>
      </c>
      <c r="K24" s="146"/>
      <c r="L24" s="146">
        <v>3.6681724E8</v>
      </c>
      <c r="M24" s="146">
        <v>4.923618479E9</v>
      </c>
      <c r="N24" s="147">
        <v>-4.556801239E9</v>
      </c>
      <c r="O24" s="146"/>
      <c r="P24" s="146">
        <v>7.967205467E9</v>
      </c>
      <c r="Q24" s="146">
        <v>939175.0</v>
      </c>
      <c r="R24" s="146"/>
      <c r="S24" s="147">
        <v>939175.0</v>
      </c>
      <c r="T24" s="53">
        <v>7.966266292E9</v>
      </c>
      <c r="U24" s="27"/>
      <c r="V24" s="28"/>
      <c r="W24" s="144" t="s">
        <v>295</v>
      </c>
      <c r="X24" s="62">
        <v>7.966266292E9</v>
      </c>
      <c r="Y24" s="27"/>
      <c r="AB24" s="27"/>
      <c r="AC24" s="27"/>
      <c r="AD24" s="28">
        <v>2.009966731E10</v>
      </c>
      <c r="AE24" s="28">
        <v>4.9863908492E10</v>
      </c>
      <c r="AF24" s="28"/>
      <c r="AG24" s="28">
        <v>-3.25897486E8</v>
      </c>
      <c r="AH24" s="28">
        <v>1.0184417154E10</v>
      </c>
      <c r="AI24" s="28">
        <v>1.19522871582E11</v>
      </c>
      <c r="AJ24" s="27" t="s">
        <v>295</v>
      </c>
      <c r="AK24" s="28"/>
      <c r="AL24" s="28">
        <v>9.744087704E9</v>
      </c>
      <c r="AM24" s="28">
        <v>1.6589488907E10</v>
      </c>
      <c r="AN24" s="62">
        <v>2.25678543663E11</v>
      </c>
      <c r="AO24" s="27"/>
      <c r="AP24" s="27" t="s">
        <v>295</v>
      </c>
      <c r="AQ24" s="28">
        <v>1.30348634297E11</v>
      </c>
      <c r="AR24" s="28">
        <v>6.678391743E9</v>
      </c>
      <c r="AS24" s="28"/>
      <c r="AT24" s="28"/>
      <c r="AU24" s="28">
        <v>1.712002768E9</v>
      </c>
      <c r="AV24" s="63">
        <v>1.38739028808E11</v>
      </c>
      <c r="AW24" s="62">
        <v>3.64417572471E11</v>
      </c>
      <c r="AX24" s="27"/>
      <c r="AY24" s="27"/>
      <c r="AZ24" s="27"/>
      <c r="BA24" s="28">
        <v>1.5356991892E10</v>
      </c>
      <c r="BB24" s="27"/>
      <c r="BC24" s="27" t="s">
        <v>295</v>
      </c>
      <c r="BD24" s="27" t="s">
        <v>295</v>
      </c>
      <c r="BE24" s="28">
        <v>8.435842992E9</v>
      </c>
      <c r="BF24" s="28">
        <v>8.132536607E9</v>
      </c>
      <c r="BG24" s="28"/>
      <c r="BH24" s="28"/>
      <c r="BI24" s="28">
        <v>2.11412619E8</v>
      </c>
      <c r="BJ24" s="27" t="s">
        <v>295</v>
      </c>
      <c r="BK24" s="61">
        <v>1.78095094338E11</v>
      </c>
      <c r="BL24" s="62">
        <v>2.10231878448E11</v>
      </c>
      <c r="BM24" s="27"/>
      <c r="BN24" s="28">
        <v>1.6131668617E10</v>
      </c>
      <c r="BO24" s="27" t="s">
        <v>295</v>
      </c>
      <c r="BP24" s="28">
        <v>5.420434399E9</v>
      </c>
      <c r="BQ24" s="27" t="s">
        <v>295</v>
      </c>
      <c r="BR24" s="28">
        <v>2.1552103016E10</v>
      </c>
      <c r="BS24" s="63">
        <v>2.31783981464E11</v>
      </c>
      <c r="BT24" s="15"/>
      <c r="BU24" s="28">
        <v>6.8245E10</v>
      </c>
      <c r="BV24" s="27" t="s">
        <v>295</v>
      </c>
      <c r="BW24" s="28">
        <v>7.966266292E9</v>
      </c>
      <c r="BX24" s="28">
        <v>5.3985061075E10</v>
      </c>
      <c r="BY24" s="28">
        <v>-5.4180596E8</v>
      </c>
      <c r="BZ24" s="27" t="s">
        <v>295</v>
      </c>
      <c r="CB24" s="28">
        <v>2.9790696E9</v>
      </c>
      <c r="CC24" s="63">
        <v>1.32633591006E11</v>
      </c>
      <c r="CD24" s="63">
        <v>3.64417572471E11</v>
      </c>
      <c r="CF24" s="49" t="s">
        <v>296</v>
      </c>
      <c r="CG24" s="27"/>
      <c r="CH24" s="28"/>
      <c r="CI24" s="27"/>
      <c r="CJ24" s="28"/>
      <c r="CK24" s="27"/>
      <c r="CL24" s="27"/>
      <c r="CM24" s="27"/>
      <c r="CN24" s="28"/>
      <c r="CO24" s="28"/>
      <c r="CP24" s="28"/>
      <c r="CQ24" s="28"/>
      <c r="CR24" s="28"/>
      <c r="CS24" s="28"/>
      <c r="CT24" s="27"/>
      <c r="CU24" s="28"/>
      <c r="CV24" s="28"/>
      <c r="CW24" s="28"/>
      <c r="CX24" s="27"/>
      <c r="CY24" s="27"/>
      <c r="CZ24" s="28"/>
      <c r="DA24" s="28"/>
      <c r="DB24" s="27"/>
      <c r="DC24" s="28"/>
      <c r="DD24" s="27"/>
      <c r="DE24" s="28"/>
      <c r="DF24" s="28"/>
      <c r="DG24" s="27"/>
      <c r="DH24" s="28"/>
      <c r="DI24" s="27"/>
      <c r="DJ24" s="28"/>
      <c r="DK24" s="28"/>
      <c r="DL24" s="28"/>
      <c r="DM24" s="28"/>
      <c r="DP24" s="64"/>
      <c r="DQ24" s="49" t="s">
        <v>296</v>
      </c>
      <c r="DR24" s="28">
        <v>6.233741443E10</v>
      </c>
      <c r="DS24" s="28"/>
      <c r="DT24" s="28">
        <v>-1.44065941E8</v>
      </c>
      <c r="DU24" s="28">
        <v>-250000.0</v>
      </c>
      <c r="DV24" s="62">
        <v>6.2193098489E10</v>
      </c>
      <c r="DW24" s="27"/>
      <c r="DX24" s="27"/>
      <c r="DY24" s="28"/>
      <c r="DZ24" s="28">
        <v>4.1995808416E10</v>
      </c>
      <c r="EA24" s="28">
        <v>9.84727E8</v>
      </c>
      <c r="EB24" s="28"/>
      <c r="EC24" s="28"/>
      <c r="ED24" s="28"/>
      <c r="EE24" s="28">
        <v>4.44366975E8</v>
      </c>
      <c r="EF24" s="28">
        <v>1468944.0</v>
      </c>
      <c r="EG24" s="28">
        <v>6499650.0</v>
      </c>
      <c r="EH24" s="28">
        <v>1.2204311E7</v>
      </c>
      <c r="EI24" s="28">
        <v>2.1320922E7</v>
      </c>
      <c r="EJ24" s="28">
        <v>913916.0</v>
      </c>
      <c r="EK24" s="28">
        <v>3481852.0</v>
      </c>
      <c r="EL24" s="28">
        <v>1.05887437E8</v>
      </c>
      <c r="EM24" s="28">
        <v>7.244756E7</v>
      </c>
      <c r="EN24" s="28"/>
      <c r="EO24" s="28">
        <v>1.3635E8</v>
      </c>
      <c r="EP24" s="28">
        <v>2.0344703E7</v>
      </c>
      <c r="EQ24" s="28"/>
      <c r="ER24" s="28">
        <v>6.90949354E8</v>
      </c>
      <c r="ES24" s="28">
        <v>5.31012409E8</v>
      </c>
      <c r="ET24" s="28">
        <v>3.253296089E9</v>
      </c>
      <c r="EU24" s="28"/>
      <c r="EV24" s="28">
        <v>7497538.0</v>
      </c>
      <c r="EW24" s="28"/>
      <c r="EX24" s="28">
        <v>7791915.0</v>
      </c>
      <c r="EY24" s="28">
        <v>1.58264647E8</v>
      </c>
      <c r="EZ24" s="28">
        <v>3.48391323E8</v>
      </c>
      <c r="FA24" s="28">
        <v>4.0710236E7</v>
      </c>
      <c r="FB24" s="28"/>
      <c r="FC24" s="28">
        <v>1.92766711E8</v>
      </c>
      <c r="FD24" s="28">
        <v>4.4298816E7</v>
      </c>
      <c r="FE24" s="28"/>
      <c r="FF24" s="28">
        <v>2.6178595E7</v>
      </c>
      <c r="FG24" s="28">
        <v>299178.0</v>
      </c>
      <c r="FH24" s="28"/>
      <c r="FI24" s="28">
        <v>3.638E7</v>
      </c>
      <c r="FJ24" s="28">
        <v>5.76979E7</v>
      </c>
      <c r="FK24" s="28"/>
      <c r="FL24" s="28"/>
      <c r="FM24" s="28"/>
      <c r="FN24" s="28"/>
      <c r="FO24" s="28">
        <v>4.1148912E7</v>
      </c>
      <c r="FP24" s="28"/>
      <c r="FQ24" s="28">
        <v>8.2347618E7</v>
      </c>
      <c r="FR24" s="28">
        <v>3.0208575E8</v>
      </c>
      <c r="FS24" s="27"/>
      <c r="FT24" s="27"/>
      <c r="FU24" s="27"/>
      <c r="FV24" s="27"/>
      <c r="FW24" s="28">
        <v>4.845355E7</v>
      </c>
      <c r="FX24" s="28"/>
      <c r="FY24" s="28"/>
      <c r="FZ24" s="28">
        <v>8.7869514E7</v>
      </c>
      <c r="GA24" s="28">
        <v>7.6031417E7</v>
      </c>
      <c r="GB24" s="28">
        <v>2.416494E7</v>
      </c>
      <c r="GC24" s="28">
        <v>8557462.0</v>
      </c>
      <c r="GD24" s="28">
        <v>1.2672832E7</v>
      </c>
      <c r="GE24" s="28">
        <v>4.6363537E7</v>
      </c>
      <c r="GF24" s="28">
        <v>1542886.0</v>
      </c>
      <c r="GG24" s="28">
        <v>2.451E7</v>
      </c>
      <c r="GH24" s="28">
        <v>2.1097373E7</v>
      </c>
      <c r="GI24" s="28">
        <v>2.5E8</v>
      </c>
      <c r="GJ24" s="27"/>
      <c r="GK24" s="27"/>
      <c r="GL24" s="62"/>
      <c r="GM24" s="62">
        <v>4.1995805594394066E10</v>
      </c>
      <c r="GN24" s="27"/>
      <c r="GO24" s="27"/>
      <c r="GP24" s="28"/>
      <c r="GQ24" s="28">
        <v>3.72725E7</v>
      </c>
      <c r="GR24" s="28">
        <v>1.15729122E8</v>
      </c>
      <c r="GS24" s="28">
        <v>155000.0</v>
      </c>
      <c r="GT24" s="28">
        <v>4.2859243E7</v>
      </c>
      <c r="GU24" s="28">
        <v>1.64511991E8</v>
      </c>
      <c r="GV24" s="28">
        <v>9.5596203E7</v>
      </c>
      <c r="GW24" s="28">
        <v>4.4237002E7</v>
      </c>
      <c r="GX24" s="28">
        <v>4.59447655E8</v>
      </c>
      <c r="GY24" s="28">
        <v>8.85124224E8</v>
      </c>
      <c r="GZ24" s="28">
        <v>1.030289227E9</v>
      </c>
      <c r="HA24" s="28"/>
      <c r="HB24" s="28"/>
      <c r="HC24" s="28">
        <v>8.0340812E7</v>
      </c>
      <c r="HD24" s="28"/>
      <c r="HE24" s="28"/>
      <c r="HF24" s="28"/>
      <c r="HG24" s="28">
        <v>6.2633056E7</v>
      </c>
      <c r="HH24" s="28">
        <v>1.18241036E8</v>
      </c>
      <c r="HI24" s="28">
        <v>225000.0</v>
      </c>
      <c r="HJ24" s="28">
        <v>8.5202799E7</v>
      </c>
      <c r="HK24" s="28">
        <v>8493578.0</v>
      </c>
      <c r="HL24" s="28"/>
      <c r="HM24" s="28"/>
      <c r="HN24" s="28">
        <v>5005418.0</v>
      </c>
      <c r="HO24" s="28">
        <v>6.3671763E7</v>
      </c>
      <c r="HP24" s="28">
        <v>9974000.0</v>
      </c>
      <c r="HQ24" s="28">
        <v>3.30978204E8</v>
      </c>
      <c r="HR24" s="28">
        <v>3.036755E7</v>
      </c>
      <c r="HS24" s="28">
        <v>3231689.0</v>
      </c>
      <c r="HT24" s="28">
        <v>1.15825581E8</v>
      </c>
      <c r="HU24" s="28">
        <v>7.515E7</v>
      </c>
      <c r="HV24" s="28">
        <v>4.994975E7</v>
      </c>
      <c r="HW24" s="28">
        <v>1.125E8</v>
      </c>
      <c r="HX24" s="28">
        <v>2.15958517E8</v>
      </c>
      <c r="HY24" s="28">
        <v>1.1329482E7</v>
      </c>
      <c r="HZ24" s="28">
        <v>1.4092878E7</v>
      </c>
      <c r="IA24" s="28">
        <v>9903242.0</v>
      </c>
      <c r="IB24" s="28">
        <v>5751498.0</v>
      </c>
      <c r="IC24" s="28">
        <v>3.6150492E7</v>
      </c>
      <c r="ID24" s="28">
        <v>4.5552367E7</v>
      </c>
      <c r="IE24" s="28">
        <v>2.7439117E7</v>
      </c>
      <c r="IF24" s="28">
        <v>8383938.0</v>
      </c>
      <c r="IG24" s="28">
        <v>2.7952425E7</v>
      </c>
      <c r="IH24" s="28">
        <v>4550000.0</v>
      </c>
      <c r="II24" s="28"/>
      <c r="IJ24" s="28"/>
      <c r="IK24" s="28">
        <v>1.75E7</v>
      </c>
      <c r="IL24" s="28">
        <v>545613.0</v>
      </c>
      <c r="IM24" s="28">
        <v>1.79261372E8</v>
      </c>
      <c r="IN24" s="28"/>
      <c r="IO24" s="28">
        <v>500000.0</v>
      </c>
      <c r="IP24" s="28"/>
      <c r="IQ24" s="28">
        <v>540000.0</v>
      </c>
      <c r="IR24" s="28"/>
      <c r="IS24" s="28"/>
      <c r="IT24" s="28"/>
      <c r="IU24" s="28">
        <v>1.025641E7</v>
      </c>
      <c r="IV24" s="28"/>
      <c r="IW24" s="28"/>
      <c r="IX24" s="28"/>
      <c r="IY24" s="28"/>
      <c r="IZ24" s="28"/>
      <c r="JA24" s="28"/>
      <c r="JB24" s="28">
        <v>9.02E7</v>
      </c>
      <c r="JC24" s="28"/>
      <c r="JD24" s="28"/>
      <c r="JE24" s="28">
        <v>1100000.0</v>
      </c>
      <c r="JF24" s="28"/>
      <c r="JG24" s="28"/>
      <c r="JH24" s="28">
        <v>1.4678288E7</v>
      </c>
      <c r="JI24" s="28">
        <v>5780000.0</v>
      </c>
      <c r="JJ24" s="28"/>
      <c r="JK24" s="28">
        <v>2.76E7</v>
      </c>
      <c r="JL24" s="28"/>
      <c r="JM24" s="28">
        <v>9.19791824E8</v>
      </c>
      <c r="JN24" s="28">
        <v>7.4485026E7</v>
      </c>
      <c r="JO24" s="28">
        <v>7067090.0</v>
      </c>
      <c r="JP24" s="28">
        <v>8.4438423E7</v>
      </c>
      <c r="JQ24" s="28">
        <v>3.4662413E7</v>
      </c>
      <c r="JR24" s="28">
        <v>4500000.0</v>
      </c>
      <c r="JS24" s="28">
        <v>4.1355E7</v>
      </c>
      <c r="JT24" s="62">
        <v>5.948337818E11</v>
      </c>
      <c r="JU24" s="27"/>
      <c r="JV24" s="27"/>
      <c r="JW24" s="28">
        <v>1.333255924E9</v>
      </c>
      <c r="JX24" s="28">
        <v>1.92795E8</v>
      </c>
      <c r="JY24" s="39">
        <v>1.08130424E14</v>
      </c>
      <c r="JZ24" s="62">
        <v>1.634181348E9</v>
      </c>
      <c r="KA24" s="27"/>
      <c r="KB24" s="27"/>
      <c r="KC24" s="28">
        <v>9.0764202E7</v>
      </c>
      <c r="KD24" s="62">
        <v>9.0764202E7</v>
      </c>
      <c r="KE24" s="27"/>
      <c r="KF24" s="27"/>
      <c r="KG24" s="28">
        <v>2.0373845E7</v>
      </c>
      <c r="KH24" s="28">
        <v>1.2524E7</v>
      </c>
      <c r="KI24" s="28">
        <v>3.28712547E8</v>
      </c>
      <c r="KJ24" s="28">
        <v>250000.0</v>
      </c>
      <c r="KK24" s="28">
        <v>1893.0</v>
      </c>
      <c r="KL24" s="28"/>
      <c r="KM24" s="28">
        <v>4954955.0</v>
      </c>
      <c r="KN24" s="62">
        <v>3.6681724E8</v>
      </c>
      <c r="KO24" s="27"/>
      <c r="KP24" s="27"/>
      <c r="KQ24" s="28">
        <v>1.9597654E7</v>
      </c>
      <c r="KR24" s="28">
        <v>3.347966924E9</v>
      </c>
      <c r="KS24" s="28"/>
      <c r="KT24" s="28">
        <v>1.97076142E8</v>
      </c>
      <c r="KU24" s="28"/>
      <c r="KV24" s="28">
        <v>8.49340071E8</v>
      </c>
      <c r="KW24" s="28">
        <v>4056.0</v>
      </c>
      <c r="KX24" s="28"/>
      <c r="KY24" s="28"/>
      <c r="KZ24" s="28">
        <v>5.0E8</v>
      </c>
      <c r="LA24" s="28"/>
      <c r="LB24" s="28"/>
      <c r="LC24" s="28">
        <v>9633631.0</v>
      </c>
      <c r="LD24" s="28"/>
      <c r="LE24" s="62">
        <v>4.923618479E9</v>
      </c>
      <c r="LF24" s="27"/>
      <c r="LG24" s="27"/>
      <c r="LH24" s="28">
        <v>939175.0</v>
      </c>
      <c r="LI24" s="62">
        <v>939175.0</v>
      </c>
      <c r="LJ24" s="62">
        <f t="shared" si="2"/>
        <v>601482345829</v>
      </c>
      <c r="LK24" s="110"/>
    </row>
    <row r="25">
      <c r="A25" s="49" t="s">
        <v>299</v>
      </c>
      <c r="B25" s="146">
        <v>1.10370489515E11</v>
      </c>
      <c r="C25" s="146">
        <v>8.2906707994E10</v>
      </c>
      <c r="D25" s="147">
        <v>2.746378152E10</v>
      </c>
      <c r="E25" s="50"/>
      <c r="F25" s="146">
        <v>9.208484937E9</v>
      </c>
      <c r="G25" s="146">
        <v>2.948396212E9</v>
      </c>
      <c r="H25" s="146">
        <v>1.28485815E8</v>
      </c>
      <c r="I25" s="147">
        <v>1.2285366964E10</v>
      </c>
      <c r="J25" s="147">
        <v>1.5178414556E10</v>
      </c>
      <c r="K25" s="50"/>
      <c r="L25" s="146">
        <v>5.37194857E8</v>
      </c>
      <c r="M25" s="146">
        <v>7.100569924E9</v>
      </c>
      <c r="N25" s="147">
        <v>-6.563375067E9</v>
      </c>
      <c r="O25" s="53"/>
      <c r="P25" s="146">
        <v>8.615039489E9</v>
      </c>
      <c r="Q25" s="146">
        <v>939175.0</v>
      </c>
      <c r="R25" s="54"/>
      <c r="S25" s="147">
        <v>939175.0</v>
      </c>
      <c r="T25" s="53">
        <v>8.614100314E9</v>
      </c>
      <c r="U25" s="104"/>
      <c r="V25" s="143"/>
      <c r="W25" s="144" t="s">
        <v>295</v>
      </c>
      <c r="X25" s="62">
        <v>8.614100314E9</v>
      </c>
      <c r="Y25" s="27"/>
      <c r="AB25" s="67"/>
      <c r="AC25" s="67"/>
      <c r="AD25" s="71">
        <v>1.9442003776E10</v>
      </c>
      <c r="AE25" s="71">
        <v>5.1173068869E10</v>
      </c>
      <c r="AF25" s="71"/>
      <c r="AG25" s="71">
        <v>-3.25897486E8</v>
      </c>
      <c r="AH25" s="71">
        <v>1.0482259154E10</v>
      </c>
      <c r="AI25" s="71">
        <v>9.2350283616E10</v>
      </c>
      <c r="AJ25" s="72" t="s">
        <v>295</v>
      </c>
      <c r="AK25" s="71"/>
      <c r="AL25" s="71">
        <v>2.0785426853E10</v>
      </c>
      <c r="AM25" s="71">
        <v>1.2225997754E10</v>
      </c>
      <c r="AN25" s="74">
        <v>2.06133142535E11</v>
      </c>
      <c r="AO25" s="72"/>
      <c r="AP25" s="72" t="s">
        <v>295</v>
      </c>
      <c r="AQ25" s="71">
        <v>1.30908524708E11</v>
      </c>
      <c r="AR25" s="71">
        <v>6.648934098E9</v>
      </c>
      <c r="AS25" s="71"/>
      <c r="AT25" s="71"/>
      <c r="AU25" s="71">
        <v>1.712002768E9</v>
      </c>
      <c r="AV25" s="75">
        <v>1.39269461574E11</v>
      </c>
      <c r="AW25" s="74">
        <v>3.45402604109E11</v>
      </c>
      <c r="AX25" s="72"/>
      <c r="AY25" s="72"/>
      <c r="AZ25" s="72"/>
      <c r="BA25" s="71">
        <v>1.2535565229E10</v>
      </c>
      <c r="BB25" s="72"/>
      <c r="BC25" s="72" t="s">
        <v>295</v>
      </c>
      <c r="BD25" s="72" t="s">
        <v>295</v>
      </c>
      <c r="BE25" s="71">
        <v>5.495911745E9</v>
      </c>
      <c r="BF25" s="71">
        <v>1.887033524E9</v>
      </c>
      <c r="BG25" s="71"/>
      <c r="BH25" s="71"/>
      <c r="BI25" s="71">
        <v>1.23728456E8</v>
      </c>
      <c r="BJ25" s="72" t="s">
        <v>295</v>
      </c>
      <c r="BK25" s="73">
        <v>1.71105117438E11</v>
      </c>
      <c r="BL25" s="74">
        <v>1.91147356392E11</v>
      </c>
      <c r="BM25" s="72"/>
      <c r="BN25" s="71">
        <v>1.6098725935E10</v>
      </c>
      <c r="BO25" s="72" t="s">
        <v>295</v>
      </c>
      <c r="BP25" s="72" t="s">
        <v>295</v>
      </c>
      <c r="BQ25" s="71">
        <v>4.874363998E9</v>
      </c>
      <c r="BR25" s="72" t="s">
        <v>295</v>
      </c>
      <c r="BS25" s="75">
        <v>2.0973089933E10</v>
      </c>
      <c r="BT25" s="74">
        <v>2.12120446325E11</v>
      </c>
      <c r="BU25" s="72"/>
      <c r="BV25" s="71">
        <v>6.8245E10</v>
      </c>
      <c r="BW25" s="72" t="s">
        <v>295</v>
      </c>
      <c r="BX25" s="71">
        <v>8.614100314E9</v>
      </c>
      <c r="BY25" s="71">
        <v>5.3985793831E10</v>
      </c>
      <c r="BZ25" s="71">
        <v>-5.4180596E8</v>
      </c>
      <c r="CA25" s="72" t="s">
        <v>295</v>
      </c>
      <c r="CB25" s="71">
        <v>2.9790696E9</v>
      </c>
      <c r="CC25" s="77">
        <v>1.33282157785E11</v>
      </c>
      <c r="CD25" s="77">
        <v>3.4540260411E11</v>
      </c>
      <c r="CF25" s="49" t="s">
        <v>299</v>
      </c>
      <c r="CG25" s="27"/>
      <c r="CH25" s="28"/>
      <c r="CI25" s="27"/>
      <c r="CJ25" s="28"/>
      <c r="CK25" s="27"/>
      <c r="CL25" s="27"/>
      <c r="CM25" s="27"/>
      <c r="CN25" s="28"/>
      <c r="CO25" s="28"/>
      <c r="CP25" s="28"/>
      <c r="CQ25" s="28"/>
      <c r="CR25" s="28"/>
      <c r="CS25" s="28"/>
      <c r="CT25" s="27"/>
      <c r="CU25" s="28"/>
      <c r="CV25" s="28"/>
      <c r="CW25" s="28"/>
      <c r="CX25" s="27"/>
      <c r="CY25" s="27"/>
      <c r="CZ25" s="28"/>
      <c r="DA25" s="28"/>
      <c r="DB25" s="27"/>
      <c r="DC25" s="28"/>
      <c r="DD25" s="27"/>
      <c r="DE25" s="28"/>
      <c r="DF25" s="28"/>
      <c r="DG25" s="27"/>
      <c r="DH25" s="28"/>
      <c r="DI25" s="27"/>
      <c r="DJ25" s="28"/>
      <c r="DK25" s="28"/>
      <c r="DL25" s="28"/>
      <c r="DM25" s="28"/>
      <c r="DP25" s="64"/>
      <c r="DQ25" s="49" t="s">
        <v>299</v>
      </c>
      <c r="DR25" s="67">
        <v>1.10519521998E11</v>
      </c>
      <c r="DS25" s="67"/>
      <c r="DT25" s="67">
        <v>-1.4518194E8</v>
      </c>
      <c r="DU25" s="67">
        <v>-3850543.0</v>
      </c>
      <c r="DV25" s="78">
        <v>1.10370489515E11</v>
      </c>
      <c r="DW25" s="27"/>
      <c r="DX25" s="27"/>
      <c r="DY25" s="67"/>
      <c r="DZ25" s="67">
        <v>7.0532863645E10</v>
      </c>
      <c r="EA25" s="67">
        <v>1.016185E9</v>
      </c>
      <c r="EB25" s="67"/>
      <c r="EC25" s="67"/>
      <c r="ED25" s="67"/>
      <c r="EE25" s="67">
        <v>6.59809838E8</v>
      </c>
      <c r="EF25" s="67">
        <v>1468944.0</v>
      </c>
      <c r="EG25" s="67">
        <v>1.163005E7</v>
      </c>
      <c r="EH25" s="67">
        <v>1.2602663E7</v>
      </c>
      <c r="EI25" s="67">
        <v>2.4951552E7</v>
      </c>
      <c r="EJ25" s="67">
        <v>6424414.0</v>
      </c>
      <c r="EK25" s="67">
        <v>3481852.0</v>
      </c>
      <c r="EL25" s="67">
        <v>1.14942535E8</v>
      </c>
      <c r="EM25" s="67">
        <v>1.08881429E8</v>
      </c>
      <c r="EN25" s="67"/>
      <c r="EO25" s="67">
        <v>2.1475E8</v>
      </c>
      <c r="EP25" s="67">
        <v>1.7922319E7</v>
      </c>
      <c r="EQ25" s="67"/>
      <c r="ER25" s="67">
        <v>1.021398046E9</v>
      </c>
      <c r="ES25" s="67">
        <v>1.094839512E9</v>
      </c>
      <c r="ET25" s="67">
        <v>4.782070414E9</v>
      </c>
      <c r="EU25" s="67"/>
      <c r="EV25" s="67">
        <v>3.2718697E7</v>
      </c>
      <c r="EW25" s="28"/>
      <c r="EX25" s="67">
        <v>2.1091913E7</v>
      </c>
      <c r="EY25" s="67">
        <v>2.3542073E8</v>
      </c>
      <c r="EZ25" s="67">
        <v>5.185604E8</v>
      </c>
      <c r="FA25" s="67">
        <v>4.4483446E7</v>
      </c>
      <c r="FB25" s="67"/>
      <c r="FC25" s="67">
        <v>3.50376716E8</v>
      </c>
      <c r="FD25" s="67">
        <v>6.7014624E7</v>
      </c>
      <c r="FE25" s="67"/>
      <c r="FF25" s="67">
        <v>5.8858966E7</v>
      </c>
      <c r="FG25" s="67">
        <v>345003.0</v>
      </c>
      <c r="FH25" s="67"/>
      <c r="FI25" s="67">
        <v>4.958E7</v>
      </c>
      <c r="FJ25" s="67">
        <v>7.8345975E7</v>
      </c>
      <c r="FK25" s="67"/>
      <c r="FL25" s="67"/>
      <c r="FM25" s="67"/>
      <c r="FN25" s="67"/>
      <c r="FO25" s="67">
        <v>6.0195162E7</v>
      </c>
      <c r="FP25" s="67"/>
      <c r="FQ25" s="67">
        <v>1.56211275E8</v>
      </c>
      <c r="FR25" s="67">
        <v>4.2178994E8</v>
      </c>
      <c r="FS25" s="67"/>
      <c r="FT25" s="67"/>
      <c r="FU25" s="67"/>
      <c r="FV25" s="67">
        <v>1.45135445E8</v>
      </c>
      <c r="FW25" s="67">
        <v>2.34336533E8</v>
      </c>
      <c r="FX25" s="67">
        <v>6500000.0</v>
      </c>
      <c r="FY25" s="67"/>
      <c r="FZ25" s="67">
        <v>9.0554264E7</v>
      </c>
      <c r="GA25" s="67">
        <v>1.48034771E8</v>
      </c>
      <c r="GB25" s="67">
        <v>2.9641658E7</v>
      </c>
      <c r="GC25" s="67">
        <v>8782374.0</v>
      </c>
      <c r="GD25" s="67">
        <v>1.3801961E7</v>
      </c>
      <c r="GE25" s="67">
        <v>1.93635646E8</v>
      </c>
      <c r="GF25" s="67">
        <v>3413220.0</v>
      </c>
      <c r="GG25" s="28">
        <v>2.451E7</v>
      </c>
      <c r="GH25" s="148">
        <v>3.6408877E7</v>
      </c>
      <c r="GI25" s="67">
        <v>2.5E8</v>
      </c>
      <c r="GJ25" s="67">
        <v>2738184.0</v>
      </c>
      <c r="GK25" s="67"/>
      <c r="GL25" s="78"/>
      <c r="GM25" s="62">
        <v>8.2906707994E10</v>
      </c>
      <c r="GN25" s="27"/>
      <c r="GO25" s="67"/>
      <c r="GP25" s="67"/>
      <c r="GQ25" s="67">
        <v>3.74613E7</v>
      </c>
      <c r="GR25" s="67">
        <v>1.72410183E8</v>
      </c>
      <c r="GS25" s="67">
        <v>2210234.0</v>
      </c>
      <c r="GT25" s="67">
        <v>6.5435507E7</v>
      </c>
      <c r="GU25" s="67">
        <v>2.3784043E8</v>
      </c>
      <c r="GV25" s="67">
        <v>1.4400087E8</v>
      </c>
      <c r="GW25" s="67">
        <v>6.6355503E7</v>
      </c>
      <c r="GX25" s="67">
        <v>6.89171482E8</v>
      </c>
      <c r="GY25" s="67">
        <v>1.330845744E9</v>
      </c>
      <c r="GZ25" s="67">
        <v>1.531631022E9</v>
      </c>
      <c r="HA25" s="67"/>
      <c r="HB25" s="67"/>
      <c r="HC25" s="67">
        <v>1.22201428E8</v>
      </c>
      <c r="HD25" s="67"/>
      <c r="HE25" s="67"/>
      <c r="HF25" s="67">
        <v>2.35397436E8</v>
      </c>
      <c r="HG25" s="67">
        <v>9.3925171E7</v>
      </c>
      <c r="HH25" s="67">
        <v>1.76825817E8</v>
      </c>
      <c r="HI25" s="67">
        <v>795000.0</v>
      </c>
      <c r="HJ25" s="67">
        <v>1.15260225E8</v>
      </c>
      <c r="HK25" s="67">
        <v>4.8552081E7</v>
      </c>
      <c r="HL25" s="67"/>
      <c r="HM25" s="67"/>
      <c r="HN25" s="67">
        <v>7508127.0</v>
      </c>
      <c r="HO25" s="67">
        <v>9.3040877E7</v>
      </c>
      <c r="HP25" s="67">
        <v>1.26185E7</v>
      </c>
      <c r="HQ25" s="67">
        <v>7.23247172E8</v>
      </c>
      <c r="HR25" s="67">
        <v>4.862255E7</v>
      </c>
      <c r="HS25" s="67">
        <v>3702889.0</v>
      </c>
      <c r="HT25" s="67">
        <v>1.55566314E8</v>
      </c>
      <c r="HU25" s="67">
        <v>1.126E8</v>
      </c>
      <c r="HV25" s="67">
        <v>4.994975E7</v>
      </c>
      <c r="HW25" s="67">
        <v>1.125E8</v>
      </c>
      <c r="HX25" s="67">
        <v>2.30143017E8</v>
      </c>
      <c r="HY25" s="67">
        <v>1.4012855E7</v>
      </c>
      <c r="HZ25" s="67">
        <v>2.7159774E7</v>
      </c>
      <c r="IA25" s="67">
        <v>1.1568842E7</v>
      </c>
      <c r="IB25" s="67">
        <v>6210498.0</v>
      </c>
      <c r="IC25" s="67">
        <v>6.0213267E7</v>
      </c>
      <c r="ID25" s="67">
        <v>7.3938932E7</v>
      </c>
      <c r="IE25" s="67">
        <v>3.8703585E7</v>
      </c>
      <c r="IF25" s="67">
        <v>1.3046163E7</v>
      </c>
      <c r="IG25" s="67">
        <v>4.8561425E7</v>
      </c>
      <c r="IH25" s="67">
        <v>7550000.0</v>
      </c>
      <c r="II25" s="67"/>
      <c r="IJ25" s="67"/>
      <c r="IK25" s="67">
        <v>1.75E7</v>
      </c>
      <c r="IL25" s="67">
        <v>1682333.0</v>
      </c>
      <c r="IM25" s="28">
        <v>3.24478732E8</v>
      </c>
      <c r="IN25" s="28"/>
      <c r="IO25" s="28">
        <v>500000.0</v>
      </c>
      <c r="IP25" s="67"/>
      <c r="IQ25" s="67">
        <v>540000.0</v>
      </c>
      <c r="IR25" s="67"/>
      <c r="IS25" s="67"/>
      <c r="IT25" s="67">
        <v>3153153.0</v>
      </c>
      <c r="IU25" s="67">
        <v>1.025641E7</v>
      </c>
      <c r="IV25" s="67"/>
      <c r="IW25" s="67"/>
      <c r="IX25" s="67"/>
      <c r="IY25" s="67"/>
      <c r="IZ25" s="67"/>
      <c r="JA25" s="67"/>
      <c r="JB25" s="67">
        <v>1.0235E8</v>
      </c>
      <c r="JC25" s="28"/>
      <c r="JD25" s="28"/>
      <c r="JE25" s="28">
        <v>1100000.0</v>
      </c>
      <c r="JF25" s="28"/>
      <c r="JG25" s="28"/>
      <c r="JH25" s="28">
        <v>2.2017432E7</v>
      </c>
      <c r="JI25" s="67">
        <v>5780000.0</v>
      </c>
      <c r="JJ25" s="67"/>
      <c r="JK25" s="67">
        <v>2.76E7</v>
      </c>
      <c r="JL25" s="28"/>
      <c r="JM25" s="28">
        <v>1.368212321E9</v>
      </c>
      <c r="JN25" s="80">
        <v>1.13957469E14</v>
      </c>
      <c r="JO25" s="67">
        <v>1.65104E7</v>
      </c>
      <c r="JP25" s="67">
        <v>1.30318007E8</v>
      </c>
      <c r="JQ25" s="67">
        <v>7.878721E7</v>
      </c>
      <c r="JR25" s="28">
        <v>1.35E7</v>
      </c>
      <c r="JS25" s="28">
        <v>4.94575E7</v>
      </c>
      <c r="JT25" s="62">
        <v>9.208484937E9</v>
      </c>
      <c r="JU25" s="67"/>
      <c r="JV25" s="67"/>
      <c r="JW25" s="67">
        <v>2.44611033E9</v>
      </c>
      <c r="JX25" s="67">
        <v>3.36795E8</v>
      </c>
      <c r="JY25" s="67">
        <v>1.65490882E8</v>
      </c>
      <c r="JZ25" s="78">
        <v>2.948396212E9</v>
      </c>
      <c r="KA25" s="28"/>
      <c r="KB25" s="80"/>
      <c r="KC25" s="67">
        <v>1.28485815E8</v>
      </c>
      <c r="KD25" s="78">
        <v>1.28485815E8</v>
      </c>
      <c r="KE25" s="27"/>
      <c r="KF25" s="28"/>
      <c r="KG25" s="28">
        <v>3.090352E7</v>
      </c>
      <c r="KH25" s="28">
        <v>1.8758595E7</v>
      </c>
      <c r="KI25" s="28">
        <v>4.80936493E8</v>
      </c>
      <c r="KJ25" s="28">
        <v>250000.0</v>
      </c>
      <c r="KK25" s="28">
        <v>2493.0</v>
      </c>
      <c r="KL25" s="28"/>
      <c r="KM25" s="28">
        <v>6343756.0</v>
      </c>
      <c r="KN25" s="62">
        <v>5.37194857E8</v>
      </c>
      <c r="KO25" s="28"/>
      <c r="KP25" s="28"/>
      <c r="KQ25" s="28">
        <v>2.89118E7</v>
      </c>
      <c r="KR25" s="28">
        <v>4.970896952E9</v>
      </c>
      <c r="KS25" s="28"/>
      <c r="KT25" s="28">
        <v>2.90742804E8</v>
      </c>
      <c r="KU25" s="27"/>
      <c r="KV25" s="28">
        <v>8.49340071E8</v>
      </c>
      <c r="KW25" s="28">
        <v>644259.0</v>
      </c>
      <c r="KX25" s="28"/>
      <c r="KY25" s="28">
        <v>400407.0</v>
      </c>
      <c r="KZ25" s="28">
        <v>9.5E8</v>
      </c>
      <c r="LA25" s="27"/>
      <c r="LB25" s="27"/>
      <c r="LC25" s="28">
        <v>9633631.0</v>
      </c>
      <c r="LD25" s="28"/>
      <c r="LE25" s="62">
        <v>7.100569924E9</v>
      </c>
      <c r="LF25" s="27"/>
      <c r="LG25" s="27"/>
      <c r="LH25" s="28">
        <v>939175.0</v>
      </c>
      <c r="LI25" s="62">
        <v>939175.0</v>
      </c>
      <c r="LJ25" s="62">
        <f t="shared" si="2"/>
        <v>19385936888</v>
      </c>
      <c r="LK25" s="110"/>
    </row>
    <row r="26">
      <c r="A26" s="49" t="s">
        <v>302</v>
      </c>
      <c r="B26" s="146">
        <v>1.39947620196E11</v>
      </c>
      <c r="C26" s="146">
        <v>1.05088851349E11</v>
      </c>
      <c r="D26" s="147">
        <v>3.4858768846E10</v>
      </c>
      <c r="E26" s="50"/>
      <c r="F26" s="146">
        <v>1.2950979758E10</v>
      </c>
      <c r="G26" s="146">
        <v>3.461167848E9</v>
      </c>
      <c r="H26" s="146">
        <v>1.74461315E8</v>
      </c>
      <c r="I26" s="147">
        <v>1.6586608921E10</v>
      </c>
      <c r="J26" s="147">
        <v>1.8272159926E10</v>
      </c>
      <c r="K26" s="50"/>
      <c r="L26" s="146">
        <v>1.001810395E9</v>
      </c>
      <c r="M26" s="146">
        <v>9.437715037E9</v>
      </c>
      <c r="N26" s="147">
        <v>-8.435904642E9</v>
      </c>
      <c r="O26" s="50"/>
      <c r="P26" s="146">
        <v>9.836255284E9</v>
      </c>
      <c r="Q26" s="146">
        <v>7885483.0</v>
      </c>
      <c r="R26" s="50"/>
      <c r="S26" s="147">
        <v>7885483.0</v>
      </c>
      <c r="T26" s="53">
        <v>9.828369801E9</v>
      </c>
      <c r="U26" s="104"/>
      <c r="V26" s="105"/>
      <c r="W26" s="144" t="s">
        <v>295</v>
      </c>
      <c r="X26" s="62">
        <v>9.828369801E9</v>
      </c>
      <c r="Y26" s="27"/>
      <c r="AB26" s="67"/>
      <c r="AC26" s="67"/>
      <c r="AD26" s="67">
        <v>2.2149448688E10</v>
      </c>
      <c r="AE26" s="67">
        <v>3.9387620234E10</v>
      </c>
      <c r="AF26" s="67"/>
      <c r="AG26" s="67">
        <v>-7.26809713E8</v>
      </c>
      <c r="AH26" s="67">
        <v>8.069303618E9</v>
      </c>
      <c r="AI26" s="67">
        <v>9.9484397378E10</v>
      </c>
      <c r="AJ26" s="67" t="s">
        <v>295</v>
      </c>
      <c r="AK26" s="67"/>
      <c r="AL26" s="67">
        <v>4.2184427546E10</v>
      </c>
      <c r="AM26" s="67">
        <v>1.3027126905E10</v>
      </c>
      <c r="AN26" s="78">
        <v>2.23575514655E11</v>
      </c>
      <c r="AO26" s="67"/>
      <c r="AP26" s="67" t="s">
        <v>295</v>
      </c>
      <c r="AQ26" s="67">
        <v>1.30729959005E11</v>
      </c>
      <c r="AR26" s="67">
        <v>7.117825212E9</v>
      </c>
      <c r="AS26" s="67"/>
      <c r="AT26" s="67"/>
      <c r="AU26" s="67">
        <v>3.097471E9</v>
      </c>
      <c r="AV26" s="82">
        <v>1.40945255216E11</v>
      </c>
      <c r="AW26" s="78">
        <v>3.64520769872E11</v>
      </c>
      <c r="AX26" s="67"/>
      <c r="AY26" s="67"/>
      <c r="AZ26" s="67"/>
      <c r="BA26" s="67">
        <v>1.3754261151E10</v>
      </c>
      <c r="BB26" s="67"/>
      <c r="BC26" s="67" t="s">
        <v>295</v>
      </c>
      <c r="BD26" s="67" t="s">
        <v>295</v>
      </c>
      <c r="BE26" s="67">
        <v>5.190026785E9</v>
      </c>
      <c r="BF26" s="67">
        <v>2.875451223E9</v>
      </c>
      <c r="BG26" s="67"/>
      <c r="BH26" s="67"/>
      <c r="BI26" s="67">
        <v>2.04767964E8</v>
      </c>
      <c r="BJ26" s="67" t="s">
        <v>295</v>
      </c>
      <c r="BK26" s="79">
        <v>1.86931451312E11</v>
      </c>
      <c r="BL26" s="78">
        <v>2.08955958435E11</v>
      </c>
      <c r="BM26" s="67"/>
      <c r="BN26" s="67">
        <v>1.5378310047E10</v>
      </c>
      <c r="BO26" s="67"/>
      <c r="BP26" s="67"/>
      <c r="BQ26" s="67">
        <v>1.069950088E10</v>
      </c>
      <c r="BR26" s="67" t="s">
        <v>295</v>
      </c>
      <c r="BS26" s="82">
        <v>2.6077810927E10</v>
      </c>
      <c r="BT26" s="78">
        <v>2.35033769362E11</v>
      </c>
      <c r="BU26" s="67"/>
      <c r="BV26" s="67">
        <v>6.8245E10</v>
      </c>
      <c r="BW26" s="67" t="s">
        <v>295</v>
      </c>
      <c r="BX26" s="67">
        <v>9.828369801E9</v>
      </c>
      <c r="BY26" s="67">
        <v>5.0176612716E10</v>
      </c>
      <c r="BZ26" s="67">
        <v>-3.110625307E9</v>
      </c>
      <c r="CA26" s="67" t="s">
        <v>295</v>
      </c>
      <c r="CB26" s="67">
        <v>4.3476433E9</v>
      </c>
      <c r="CC26" s="82">
        <v>1.29487000509E11</v>
      </c>
      <c r="CD26" s="82">
        <v>3.64520769872E11</v>
      </c>
      <c r="CF26" s="49" t="s">
        <v>302</v>
      </c>
      <c r="CG26" s="27"/>
      <c r="CH26" s="28"/>
      <c r="CI26" s="27"/>
      <c r="CJ26" s="28"/>
      <c r="CK26" s="27"/>
      <c r="CL26" s="27"/>
      <c r="CM26" s="27"/>
      <c r="CN26" s="28"/>
      <c r="CO26" s="28"/>
      <c r="CP26" s="28"/>
      <c r="CQ26" s="28"/>
      <c r="CR26" s="28"/>
      <c r="CS26" s="28"/>
      <c r="CT26" s="27"/>
      <c r="CU26" s="28"/>
      <c r="CV26" s="28"/>
      <c r="CW26" s="28"/>
      <c r="CX26" s="27"/>
      <c r="CY26" s="27"/>
      <c r="CZ26" s="28"/>
      <c r="DA26" s="28"/>
      <c r="DB26" s="27"/>
      <c r="DC26" s="28"/>
      <c r="DD26" s="27"/>
      <c r="DE26" s="28"/>
      <c r="DF26" s="28"/>
      <c r="DG26" s="27"/>
      <c r="DH26" s="28"/>
      <c r="DI26" s="27"/>
      <c r="DJ26" s="28"/>
      <c r="DK26" s="28"/>
      <c r="DL26" s="28"/>
      <c r="DM26" s="28"/>
      <c r="DP26" s="64"/>
      <c r="DQ26" s="49" t="s">
        <v>302</v>
      </c>
      <c r="DR26" s="28">
        <v>1.40133396985E11</v>
      </c>
      <c r="DS26" s="28"/>
      <c r="DT26" s="28">
        <v>-1.48252159E8</v>
      </c>
      <c r="DU26" s="28">
        <v>-3.752463E7</v>
      </c>
      <c r="DV26" s="62">
        <v>1.39947620196E11</v>
      </c>
      <c r="DW26" s="27"/>
      <c r="DX26" s="27"/>
      <c r="DY26" s="28"/>
      <c r="DZ26" s="28">
        <v>8.8927651287E10</v>
      </c>
      <c r="EA26" s="28">
        <v>1.249743E9</v>
      </c>
      <c r="EB26" s="28"/>
      <c r="EC26" s="28"/>
      <c r="ED26" s="28"/>
      <c r="EE26" s="28">
        <v>9.22887414E8</v>
      </c>
      <c r="EF26" s="28">
        <v>3305634.0</v>
      </c>
      <c r="EG26" s="28">
        <v>1.4111742E7</v>
      </c>
      <c r="EH26" s="28">
        <v>2.0328456E7</v>
      </c>
      <c r="EI26" s="28">
        <v>2.5830794E7</v>
      </c>
      <c r="EJ26" s="28">
        <v>6736668.0</v>
      </c>
      <c r="EK26" s="28">
        <v>3510698.0</v>
      </c>
      <c r="EL26" s="28">
        <v>1.19013891E8</v>
      </c>
      <c r="EM26" s="28">
        <v>1.44511933E8</v>
      </c>
      <c r="EN26" s="28"/>
      <c r="EO26" s="28">
        <v>2.6445E8</v>
      </c>
      <c r="EP26" s="28">
        <v>-1904413.0</v>
      </c>
      <c r="EQ26" s="28"/>
      <c r="ER26" s="28">
        <v>1.34568353E9</v>
      </c>
      <c r="ES26" s="28">
        <v>1.402110444E9</v>
      </c>
      <c r="ET26" s="28">
        <v>6.306811771E9</v>
      </c>
      <c r="EU26" s="28"/>
      <c r="EV26" s="28">
        <v>4.1716197E7</v>
      </c>
      <c r="EW26" s="28"/>
      <c r="EX26" s="28">
        <v>4.060329E7</v>
      </c>
      <c r="EY26" s="28">
        <v>3.12904213E8</v>
      </c>
      <c r="EZ26" s="28">
        <v>6.7508798E8</v>
      </c>
      <c r="FA26" s="28">
        <v>5.2303376E7</v>
      </c>
      <c r="FB26" s="28"/>
      <c r="FC26" s="28">
        <v>4.28452015E8</v>
      </c>
      <c r="FD26" s="28">
        <v>8.7167963E7</v>
      </c>
      <c r="FE26" s="28"/>
      <c r="FF26" s="28">
        <v>5.9543286E7</v>
      </c>
      <c r="FG26" s="28">
        <v>2631125.0</v>
      </c>
      <c r="FH26" s="28"/>
      <c r="FI26" s="28">
        <v>8.606E7</v>
      </c>
      <c r="FJ26" s="28">
        <v>1.09564925E8</v>
      </c>
      <c r="FK26" s="28"/>
      <c r="FL26" s="28"/>
      <c r="FM26" s="28"/>
      <c r="FN26" s="28">
        <v>660000.0</v>
      </c>
      <c r="FO26" s="28">
        <v>8.1430327E7</v>
      </c>
      <c r="FP26" s="28"/>
      <c r="FQ26" s="28">
        <v>1.6140277E8</v>
      </c>
      <c r="FR26" s="28">
        <v>6.88805339E8</v>
      </c>
      <c r="FS26" s="28"/>
      <c r="FT26" s="28"/>
      <c r="FU26" s="28"/>
      <c r="FV26" s="28">
        <v>1.68540445E8</v>
      </c>
      <c r="FW26" s="28">
        <v>2.34336533E8</v>
      </c>
      <c r="FX26" s="28">
        <v>2.2355186E7</v>
      </c>
      <c r="FY26" s="28"/>
      <c r="FZ26" s="28">
        <v>1.21754264E8</v>
      </c>
      <c r="GA26" s="28">
        <v>2.00397475E8</v>
      </c>
      <c r="GB26" s="28">
        <v>3.4442645E7</v>
      </c>
      <c r="GC26" s="28">
        <v>1.8328113E7</v>
      </c>
      <c r="GD26" s="28">
        <v>9303274.0</v>
      </c>
      <c r="GE26" s="28">
        <v>2.15272754E8</v>
      </c>
      <c r="GF26" s="28">
        <v>6784749.0</v>
      </c>
      <c r="GG26" s="28">
        <v>2.761E7</v>
      </c>
      <c r="GH26" s="28">
        <v>3.6553387E7</v>
      </c>
      <c r="GI26" s="28">
        <v>2.5E8</v>
      </c>
      <c r="GJ26" s="28">
        <v>4217246.0</v>
      </c>
      <c r="GK26" s="28">
        <v>1.55839622E8</v>
      </c>
      <c r="GL26" s="62"/>
      <c r="GM26" s="62">
        <v>1.05088851349E11</v>
      </c>
      <c r="GN26" s="27"/>
      <c r="GO26" s="27"/>
      <c r="GP26" s="28"/>
      <c r="GQ26" s="28">
        <v>8.78563E7</v>
      </c>
      <c r="GR26" s="28">
        <v>2.29091244E8</v>
      </c>
      <c r="GS26" s="28">
        <v>3307053.0</v>
      </c>
      <c r="GT26" s="28">
        <v>1.02276175E8</v>
      </c>
      <c r="GU26" s="28">
        <v>3.11168869E8</v>
      </c>
      <c r="GV26" s="28">
        <v>1.92072026E8</v>
      </c>
      <c r="GW26" s="28">
        <v>8.8474004E7</v>
      </c>
      <c r="GX26" s="28">
        <v>9.1889531E8</v>
      </c>
      <c r="GY26" s="28">
        <v>1.706087228E9</v>
      </c>
      <c r="GZ26" s="28">
        <v>2.023904146E9</v>
      </c>
      <c r="HA26" s="28"/>
      <c r="HB26" s="28"/>
      <c r="HC26" s="28">
        <v>1.5433388E8</v>
      </c>
      <c r="HD26" s="28"/>
      <c r="HE26" s="28"/>
      <c r="HF26" s="28">
        <v>4.22380511E8</v>
      </c>
      <c r="HG26" s="28">
        <v>1.25693376E8</v>
      </c>
      <c r="HH26" s="28">
        <v>2.34667747E8</v>
      </c>
      <c r="HI26" s="28">
        <v>795000.0</v>
      </c>
      <c r="HJ26" s="28">
        <v>1.24232921E8</v>
      </c>
      <c r="HK26" s="28">
        <v>5.0424034E7</v>
      </c>
      <c r="HL26" s="28"/>
      <c r="HM26" s="28"/>
      <c r="HN26" s="28">
        <v>1.0010836E7</v>
      </c>
      <c r="HO26" s="28">
        <v>1.33737419E8</v>
      </c>
      <c r="HP26" s="28">
        <v>1.91961E7</v>
      </c>
      <c r="HQ26" s="28">
        <v>1.091015012E9</v>
      </c>
      <c r="HR26" s="28">
        <v>5.603955E7</v>
      </c>
      <c r="HS26" s="28">
        <v>5797889.0</v>
      </c>
      <c r="HT26" s="28">
        <v>4.09802895E8</v>
      </c>
      <c r="HU26" s="28">
        <v>1.152E8</v>
      </c>
      <c r="HV26" s="28">
        <v>4.994975E7</v>
      </c>
      <c r="HW26" s="28">
        <v>1.125E8</v>
      </c>
      <c r="HX26" s="28">
        <v>2.53809772E8</v>
      </c>
      <c r="HY26" s="28">
        <v>2.6365895E7</v>
      </c>
      <c r="HZ26" s="28">
        <v>4.727676E7</v>
      </c>
      <c r="IA26" s="28">
        <v>2.54483E7</v>
      </c>
      <c r="IB26" s="28">
        <v>8703998.0</v>
      </c>
      <c r="IC26" s="28">
        <v>8.8033174E7</v>
      </c>
      <c r="ID26" s="28">
        <v>1.16586859E8</v>
      </c>
      <c r="IE26" s="28">
        <v>4.8921115E7</v>
      </c>
      <c r="IF26" s="28">
        <v>1.6304142E7</v>
      </c>
      <c r="IG26" s="28">
        <v>6.3316656E7</v>
      </c>
      <c r="IH26" s="28">
        <v>1.4400801E7</v>
      </c>
      <c r="II26" s="27"/>
      <c r="IJ26" s="27"/>
      <c r="IK26" s="28">
        <v>1.75E7</v>
      </c>
      <c r="IL26" s="28">
        <v>1682333.0</v>
      </c>
      <c r="IM26" s="28">
        <v>4.69276915E8</v>
      </c>
      <c r="IN26" s="28">
        <v>2.49716382E8</v>
      </c>
      <c r="IO26" s="28">
        <v>500000.0</v>
      </c>
      <c r="IP26" s="28">
        <v>1.00201552E8</v>
      </c>
      <c r="IQ26" s="28">
        <v>540000.0</v>
      </c>
      <c r="IR26" s="28"/>
      <c r="IS26" s="28">
        <v>2.0512326E7</v>
      </c>
      <c r="IT26" s="28">
        <v>1.7806306E7</v>
      </c>
      <c r="IU26" s="28">
        <v>1.025641E7</v>
      </c>
      <c r="IV26" s="28"/>
      <c r="IW26" s="28"/>
      <c r="IX26" s="28">
        <v>1.7975E7</v>
      </c>
      <c r="IY26" s="28"/>
      <c r="IZ26" s="28"/>
      <c r="JA26" s="28"/>
      <c r="JB26" s="28">
        <v>1.08272E8</v>
      </c>
      <c r="JC26" s="28"/>
      <c r="JD26" s="28"/>
      <c r="JE26" s="28">
        <v>1430309.0</v>
      </c>
      <c r="JF26" s="39"/>
      <c r="JG26" s="39"/>
      <c r="JH26" s="39">
        <v>2.9356576E13</v>
      </c>
      <c r="JI26" s="28">
        <v>5780000.0</v>
      </c>
      <c r="JJ26" s="28"/>
      <c r="JK26" s="28">
        <v>3.4775E7</v>
      </c>
      <c r="JL26" s="28"/>
      <c r="JM26" s="28">
        <v>1.885604221E9</v>
      </c>
      <c r="JN26" s="28">
        <v>1.13957469E8</v>
      </c>
      <c r="JO26" s="39">
        <v>1.8637911E13</v>
      </c>
      <c r="JP26" s="28">
        <v>1.71220924E8</v>
      </c>
      <c r="JQ26" s="28">
        <v>8.9203876E7</v>
      </c>
      <c r="JR26" s="28">
        <v>1.8E7</v>
      </c>
      <c r="JS26" s="28">
        <v>8.06975E7</v>
      </c>
      <c r="JT26" s="62">
        <v>1.2950979758E10</v>
      </c>
      <c r="JU26" s="27"/>
      <c r="JV26" s="27"/>
      <c r="JW26" s="28">
        <v>2.869719284E9</v>
      </c>
      <c r="JX26" s="39">
        <v>3.57795E14</v>
      </c>
      <c r="JY26" s="28">
        <v>2.33653564E8</v>
      </c>
      <c r="JZ26" s="62">
        <v>3.461167848E9</v>
      </c>
      <c r="KA26" s="27"/>
      <c r="KB26" s="27"/>
      <c r="KC26" s="28">
        <v>1.74461315E8</v>
      </c>
      <c r="KD26" s="62">
        <v>1.74461315E8</v>
      </c>
      <c r="KE26" s="27"/>
      <c r="KF26" s="27"/>
      <c r="KG26" s="28">
        <v>4.5865998E7</v>
      </c>
      <c r="KH26" s="28">
        <v>2.46885E7</v>
      </c>
      <c r="KI26" s="28">
        <v>9.24046182E8</v>
      </c>
      <c r="KJ26" s="28">
        <v>2250000.0</v>
      </c>
      <c r="KK26" s="28">
        <v>4760.0</v>
      </c>
      <c r="KL26" s="27"/>
      <c r="KM26" s="28">
        <v>6343756.0</v>
      </c>
      <c r="KN26" s="62">
        <v>1.001810395E9</v>
      </c>
      <c r="KO26" s="27"/>
      <c r="KP26" s="27"/>
      <c r="KQ26" s="28">
        <v>4.0254666E7</v>
      </c>
      <c r="KR26" s="28">
        <v>6.637253505E9</v>
      </c>
      <c r="KS26" s="28"/>
      <c r="KT26" s="28">
        <v>3.90112436E8</v>
      </c>
      <c r="KU26" s="27"/>
      <c r="KV26" s="28">
        <v>8.49340071E8</v>
      </c>
      <c r="KW26" s="28">
        <v>109093.0</v>
      </c>
      <c r="KX26" s="28">
        <v>1.1011635E7</v>
      </c>
      <c r="KY26" s="27"/>
      <c r="KZ26" s="28">
        <v>1.5E9</v>
      </c>
      <c r="LA26" s="27"/>
      <c r="LB26" s="27"/>
      <c r="LC26" s="28">
        <v>9633631.0</v>
      </c>
      <c r="LD26" s="28"/>
      <c r="LE26" s="62">
        <v>9.437715037E9</v>
      </c>
      <c r="LF26" s="27"/>
      <c r="LG26" s="27"/>
      <c r="LH26" s="28">
        <v>7885483.0</v>
      </c>
      <c r="LI26" s="62">
        <v>7885483.0</v>
      </c>
      <c r="LJ26" s="62">
        <f t="shared" si="2"/>
        <v>26024323958</v>
      </c>
      <c r="LK26" s="110"/>
    </row>
    <row r="27">
      <c r="A27" s="49" t="s">
        <v>304</v>
      </c>
      <c r="B27" s="146">
        <v>1.68433122793E11</v>
      </c>
      <c r="C27" s="146">
        <v>1.24126481249E11</v>
      </c>
      <c r="D27" s="147">
        <v>4.4306641544E10</v>
      </c>
      <c r="E27" s="149"/>
      <c r="F27" s="146">
        <v>1.7048881589E10</v>
      </c>
      <c r="G27" s="146">
        <v>3.885772632E9</v>
      </c>
      <c r="H27" s="146">
        <v>1.89078217E8</v>
      </c>
      <c r="I27" s="147">
        <v>2.1123732437E10</v>
      </c>
      <c r="J27" s="147">
        <v>2.3182909106E10</v>
      </c>
      <c r="K27" s="85"/>
      <c r="L27" s="146">
        <v>1.931993478E9</v>
      </c>
      <c r="M27" s="146">
        <v>1.1911167128E10</v>
      </c>
      <c r="N27" s="147">
        <v>-9.97917365E9</v>
      </c>
      <c r="O27" s="87"/>
      <c r="P27" s="146">
        <v>1.3203735457E10</v>
      </c>
      <c r="Q27" s="146">
        <v>7889328.0</v>
      </c>
      <c r="R27" s="85"/>
      <c r="S27" s="147">
        <v>7889328.0</v>
      </c>
      <c r="T27" s="53">
        <v>1.3195846129E10</v>
      </c>
      <c r="U27" s="150"/>
      <c r="V27" s="151"/>
      <c r="W27" s="144" t="s">
        <v>295</v>
      </c>
      <c r="X27" s="62">
        <v>1.3195846129E10</v>
      </c>
      <c r="Y27" s="27"/>
      <c r="AB27" s="152"/>
      <c r="AC27" s="152"/>
      <c r="AD27" s="92">
        <v>2.5811037262E10</v>
      </c>
      <c r="AE27" s="92">
        <v>4.7008967012E10</v>
      </c>
      <c r="AF27" s="92"/>
      <c r="AG27" s="92">
        <v>-7.26809713E8</v>
      </c>
      <c r="AH27" s="92">
        <v>7.289928852E9</v>
      </c>
      <c r="AI27" s="92">
        <v>1.05118264727E11</v>
      </c>
      <c r="AJ27" s="92" t="s">
        <v>295</v>
      </c>
      <c r="AK27" s="92"/>
      <c r="AL27" s="92">
        <v>3.5666207828E10</v>
      </c>
      <c r="AM27" s="92">
        <v>1.4770319852E10</v>
      </c>
      <c r="AN27" s="95">
        <v>2.34937915819E11</v>
      </c>
      <c r="AO27" s="92"/>
      <c r="AP27" s="92" t="s">
        <v>295</v>
      </c>
      <c r="AQ27" s="92">
        <v>1.31006355933E11</v>
      </c>
      <c r="AR27" s="92">
        <v>7.088722766E9</v>
      </c>
      <c r="AS27" s="92"/>
      <c r="AT27" s="92"/>
      <c r="AU27" s="92">
        <v>3.097471E9</v>
      </c>
      <c r="AV27" s="96">
        <v>1.41192549699E11</v>
      </c>
      <c r="AW27" s="95">
        <v>3.76130465518E11</v>
      </c>
      <c r="AX27" s="92"/>
      <c r="AY27" s="92"/>
      <c r="AZ27" s="92"/>
      <c r="BA27" s="92">
        <v>2.2160497551E10</v>
      </c>
      <c r="BB27" s="92"/>
      <c r="BC27" s="92" t="s">
        <v>295</v>
      </c>
      <c r="BD27" s="92" t="s">
        <v>295</v>
      </c>
      <c r="BE27" s="92">
        <v>7.273003713E9</v>
      </c>
      <c r="BF27" s="92">
        <v>1.17036553E9</v>
      </c>
      <c r="BG27" s="92"/>
      <c r="BH27" s="92"/>
      <c r="BI27" s="92">
        <v>2.09126689E8</v>
      </c>
      <c r="BJ27" s="92" t="s">
        <v>295</v>
      </c>
      <c r="BK27" s="94">
        <v>2.0177331116E11</v>
      </c>
      <c r="BL27" s="95">
        <v>2.32586304644E11</v>
      </c>
      <c r="BM27" s="92"/>
      <c r="BN27" s="92" t="s">
        <v>295</v>
      </c>
      <c r="BO27" s="92"/>
      <c r="BP27" s="92"/>
      <c r="BQ27" s="92">
        <v>1.0689684037E10</v>
      </c>
      <c r="BR27" s="92" t="s">
        <v>295</v>
      </c>
      <c r="BS27" s="96">
        <v>1.0689684037E10</v>
      </c>
      <c r="BT27" s="95">
        <v>2.43275988681E11</v>
      </c>
      <c r="BU27" s="92"/>
      <c r="BV27" s="92">
        <v>6.8245E10</v>
      </c>
      <c r="BW27" s="92" t="s">
        <v>295</v>
      </c>
      <c r="BX27" s="92">
        <v>1.3195846129E10</v>
      </c>
      <c r="BY27" s="92">
        <v>5.0176612716E10</v>
      </c>
      <c r="BZ27" s="92">
        <v>-3.110625307E9</v>
      </c>
      <c r="CA27" s="92" t="s">
        <v>295</v>
      </c>
      <c r="CB27" s="92">
        <v>4.3476433E9</v>
      </c>
      <c r="CC27" s="96">
        <v>1.32854476837E11</v>
      </c>
      <c r="CD27" s="96">
        <v>3.76130465518E11</v>
      </c>
      <c r="CF27" s="49" t="s">
        <v>304</v>
      </c>
      <c r="CG27" s="27"/>
      <c r="CH27" s="28"/>
      <c r="CI27" s="27"/>
      <c r="CJ27" s="28"/>
      <c r="CK27" s="27"/>
      <c r="CL27" s="27"/>
      <c r="CM27" s="27"/>
      <c r="CN27" s="28"/>
      <c r="CO27" s="28"/>
      <c r="CP27" s="28"/>
      <c r="CQ27" s="28"/>
      <c r="CR27" s="28"/>
      <c r="CS27" s="28"/>
      <c r="CT27" s="27"/>
      <c r="CU27" s="28"/>
      <c r="CV27" s="28"/>
      <c r="CW27" s="28"/>
      <c r="CX27" s="27"/>
      <c r="CY27" s="27"/>
      <c r="CZ27" s="28"/>
      <c r="DA27" s="28"/>
      <c r="DB27" s="27"/>
      <c r="DC27" s="28"/>
      <c r="DD27" s="27"/>
      <c r="DE27" s="28"/>
      <c r="DF27" s="28"/>
      <c r="DG27" s="27"/>
      <c r="DH27" s="28"/>
      <c r="DI27" s="27"/>
      <c r="DJ27" s="28"/>
      <c r="DK27" s="28"/>
      <c r="DL27" s="28"/>
      <c r="DM27" s="28"/>
      <c r="DP27" s="64"/>
      <c r="DQ27" s="49" t="s">
        <v>304</v>
      </c>
      <c r="DR27" s="28">
        <v>1.68843420255E11</v>
      </c>
      <c r="DS27" s="28"/>
      <c r="DT27" s="28">
        <v>-1.51806356E8</v>
      </c>
      <c r="DU27" s="28">
        <v>-2.58491107E8</v>
      </c>
      <c r="DV27" s="62">
        <v>1.68433122792E11</v>
      </c>
      <c r="DW27" s="27"/>
      <c r="DX27" s="27"/>
      <c r="DY27" s="28"/>
      <c r="DZ27" s="28">
        <v>1.04225123898E11</v>
      </c>
      <c r="EA27" s="28">
        <v>1.256078E9</v>
      </c>
      <c r="EB27" s="28"/>
      <c r="EC27" s="28"/>
      <c r="ED27" s="28"/>
      <c r="EE27" s="28">
        <v>1.164357684E9</v>
      </c>
      <c r="EF27" s="28">
        <v>1.1199204E7</v>
      </c>
      <c r="EG27" s="28">
        <v>3.7700353E7</v>
      </c>
      <c r="EH27" s="28">
        <v>2.4295509E7</v>
      </c>
      <c r="EI27" s="28">
        <v>3.1169618E7</v>
      </c>
      <c r="EJ27" s="28">
        <v>1.971298E7</v>
      </c>
      <c r="EK27" s="28">
        <v>1.6773861E7</v>
      </c>
      <c r="EL27" s="28">
        <v>1.30060076E8</v>
      </c>
      <c r="EM27" s="28">
        <v>1.80670695E8</v>
      </c>
      <c r="EN27" s="28"/>
      <c r="EO27" s="28">
        <v>3.1095E8</v>
      </c>
      <c r="EP27" s="28">
        <v>5.1894684E7</v>
      </c>
      <c r="EQ27" s="28"/>
      <c r="ER27" s="28">
        <v>1.676879836E9</v>
      </c>
      <c r="ES27" s="28">
        <v>1.475149838E9</v>
      </c>
      <c r="ET27" s="28">
        <v>7.578915424E9</v>
      </c>
      <c r="EU27" s="28"/>
      <c r="EV27" s="28">
        <v>5.0468697E7</v>
      </c>
      <c r="EW27" s="28"/>
      <c r="EX27" s="28">
        <v>1.0772245E8</v>
      </c>
      <c r="EY27" s="28">
        <v>3.94032942E8</v>
      </c>
      <c r="EZ27" s="28">
        <v>8.41473546E8</v>
      </c>
      <c r="FA27" s="28">
        <v>1.04107364E8</v>
      </c>
      <c r="FB27" s="28"/>
      <c r="FC27" s="28">
        <v>5.71691847E8</v>
      </c>
      <c r="FD27" s="28">
        <v>1.14559689E8</v>
      </c>
      <c r="FE27" s="28"/>
      <c r="FF27" s="28">
        <v>6.3013731E7</v>
      </c>
      <c r="FG27" s="28">
        <v>2631125.0</v>
      </c>
      <c r="FH27" s="28"/>
      <c r="FI27" s="28">
        <v>9.893E7</v>
      </c>
      <c r="FJ27" s="28">
        <v>1.37911678E8</v>
      </c>
      <c r="FK27" s="27"/>
      <c r="FL27" s="27"/>
      <c r="FM27" s="27"/>
      <c r="FN27" s="28">
        <v>660000.0</v>
      </c>
      <c r="FO27" s="28">
        <v>9.2792982E7</v>
      </c>
      <c r="FP27" s="28"/>
      <c r="FQ27" s="28">
        <v>1.71543508E8</v>
      </c>
      <c r="FR27" s="28">
        <v>8.68918816E8</v>
      </c>
      <c r="FS27" s="28"/>
      <c r="FT27" s="28"/>
      <c r="FU27" s="28"/>
      <c r="FV27" s="28">
        <v>2.2902007E8</v>
      </c>
      <c r="FW27" s="28">
        <v>3.66635207E8</v>
      </c>
      <c r="FX27" s="28">
        <v>2.2355186E7</v>
      </c>
      <c r="FY27" s="28"/>
      <c r="FZ27" s="28">
        <v>1.28008722E8</v>
      </c>
      <c r="GA27" s="28">
        <v>2.76563018E8</v>
      </c>
      <c r="GB27" s="28">
        <v>4.1864434E7</v>
      </c>
      <c r="GC27" s="28">
        <v>2.0768324E7</v>
      </c>
      <c r="GD27" s="28">
        <v>1.0850605E7</v>
      </c>
      <c r="GE27" s="28">
        <v>4.79480476E8</v>
      </c>
      <c r="GF27" s="28">
        <v>1.3414749E7</v>
      </c>
      <c r="GG27" s="28">
        <v>2.761E7</v>
      </c>
      <c r="GH27" s="28">
        <v>3.6553387E7</v>
      </c>
      <c r="GI27" s="28">
        <v>5.005E8</v>
      </c>
      <c r="GJ27" s="28">
        <v>5627414.0</v>
      </c>
      <c r="GK27" s="28">
        <v>1.55839622E8</v>
      </c>
      <c r="GL27" s="62"/>
      <c r="GM27" s="62">
        <v>1.24126481249E11</v>
      </c>
      <c r="GN27" s="27"/>
      <c r="GO27" s="27"/>
      <c r="GP27" s="28"/>
      <c r="GQ27" s="28">
        <v>1.37281781E8</v>
      </c>
      <c r="GR27" s="28">
        <v>8.50028622E8</v>
      </c>
      <c r="GS27" s="28">
        <v>3307053.0</v>
      </c>
      <c r="GT27" s="28">
        <v>1.36348475E8</v>
      </c>
      <c r="GU27" s="28">
        <v>3.84497307E8</v>
      </c>
      <c r="GV27" s="28">
        <v>2.40852055E8</v>
      </c>
      <c r="GW27" s="28">
        <v>1.10592506E8</v>
      </c>
      <c r="GX27" s="28">
        <v>1.148619137E9</v>
      </c>
      <c r="GY27" s="28">
        <v>2.131065874E9</v>
      </c>
      <c r="GZ27" s="28">
        <v>2.461511712E9</v>
      </c>
      <c r="HA27" s="28"/>
      <c r="HB27" s="28"/>
      <c r="HC27" s="28">
        <v>1.75057718E8</v>
      </c>
      <c r="HD27" s="28"/>
      <c r="HE27" s="28"/>
      <c r="HF27" s="28">
        <v>6.04863581E8</v>
      </c>
      <c r="HG27" s="28">
        <v>1.58094621E8</v>
      </c>
      <c r="HH27" s="28">
        <v>2.95540459E8</v>
      </c>
      <c r="HI27" s="28">
        <v>2290000.0</v>
      </c>
      <c r="HJ27" s="28">
        <v>1.63152186E8</v>
      </c>
      <c r="HK27" s="28">
        <v>5.0577187E7</v>
      </c>
      <c r="HL27" s="28"/>
      <c r="HM27" s="28"/>
      <c r="HN27" s="28">
        <v>1.2513545E7</v>
      </c>
      <c r="HO27" s="28">
        <v>1.76699991E8</v>
      </c>
      <c r="HP27" s="28">
        <v>2.2288649E7</v>
      </c>
      <c r="HQ27" s="28">
        <v>1.478906577E9</v>
      </c>
      <c r="HR27" s="28">
        <v>6.0462151E7</v>
      </c>
      <c r="HS27" s="28">
        <v>1.2062151E7</v>
      </c>
      <c r="HT27" s="28">
        <v>5.08415706E8</v>
      </c>
      <c r="HU27" s="28">
        <v>1.39125E8</v>
      </c>
      <c r="HV27" s="28">
        <v>4.994975E7</v>
      </c>
      <c r="HW27" s="28">
        <v>1.125E8</v>
      </c>
      <c r="HX27" s="28">
        <v>3.31500216E8</v>
      </c>
      <c r="HY27" s="28">
        <v>3.6790743E7</v>
      </c>
      <c r="HZ27" s="28">
        <v>5.8612282E7</v>
      </c>
      <c r="IA27" s="28">
        <v>2.671996E7</v>
      </c>
      <c r="IB27" s="28">
        <v>9073198.0</v>
      </c>
      <c r="IC27" s="28">
        <v>9.5202574E7</v>
      </c>
      <c r="ID27" s="28">
        <v>1.27442108E8</v>
      </c>
      <c r="IE27" s="28">
        <v>6.1980923E7</v>
      </c>
      <c r="IF27" s="28">
        <v>2.2288536E7</v>
      </c>
      <c r="IG27" s="28">
        <v>8.7827656E7</v>
      </c>
      <c r="IH27" s="28">
        <v>2.8270152E7</v>
      </c>
      <c r="II27" s="28"/>
      <c r="IJ27" s="28"/>
      <c r="IK27" s="28">
        <v>1.97E7</v>
      </c>
      <c r="IL27" s="28">
        <v>2108311.0</v>
      </c>
      <c r="IM27" s="28">
        <v>5.63439954E8</v>
      </c>
      <c r="IN27" s="28">
        <v>3.26389997E8</v>
      </c>
      <c r="IO27" s="28">
        <v>500000.0</v>
      </c>
      <c r="IP27" s="28">
        <v>2.01379904E8</v>
      </c>
      <c r="IQ27" s="28">
        <v>540000.0</v>
      </c>
      <c r="IR27" s="28"/>
      <c r="IS27" s="28">
        <v>2.3576614E7</v>
      </c>
      <c r="IT27" s="28">
        <v>2.9306306E7</v>
      </c>
      <c r="IU27" s="28">
        <v>1.2025641E8</v>
      </c>
      <c r="IV27" s="28"/>
      <c r="IW27" s="28"/>
      <c r="IX27" s="28">
        <v>2.6375E7</v>
      </c>
      <c r="IY27" s="28"/>
      <c r="IZ27" s="28"/>
      <c r="JA27" s="28"/>
      <c r="JB27" s="28">
        <v>1.29022E8</v>
      </c>
      <c r="JC27" s="28"/>
      <c r="JD27" s="28"/>
      <c r="JE27" s="28">
        <v>2805309.0</v>
      </c>
      <c r="JF27" s="39"/>
      <c r="JG27" s="39"/>
      <c r="JH27" s="39">
        <v>3.669572E13</v>
      </c>
      <c r="JI27" s="28">
        <v>9411104.0</v>
      </c>
      <c r="JJ27" s="27"/>
      <c r="JK27" s="28">
        <v>3.4775E7</v>
      </c>
      <c r="JL27" s="28"/>
      <c r="JM27" s="28">
        <v>2.392184359E9</v>
      </c>
      <c r="JN27" s="28">
        <v>1.13957469E8</v>
      </c>
      <c r="JO27" s="39">
        <v>3.0614185E13</v>
      </c>
      <c r="JP27" s="28">
        <v>2.14260429E8</v>
      </c>
      <c r="JQ27" s="28">
        <v>1.37511376E8</v>
      </c>
      <c r="JR27" s="28">
        <v>2.25E7</v>
      </c>
      <c r="JS27" s="28">
        <v>9.926E7</v>
      </c>
      <c r="JT27" s="62">
        <v>1.7048881589E10</v>
      </c>
      <c r="JU27" s="27"/>
      <c r="JV27" s="27"/>
      <c r="JW27" s="28">
        <v>3.202768359E9</v>
      </c>
      <c r="JX27" s="39">
        <v>3.74795E14</v>
      </c>
      <c r="JY27" s="28">
        <v>3.08209273E8</v>
      </c>
      <c r="JZ27" s="62">
        <v>3.885772632E9</v>
      </c>
      <c r="KA27" s="27"/>
      <c r="KB27" s="27"/>
      <c r="KC27" s="28">
        <v>1.89078217E8</v>
      </c>
      <c r="KD27" s="62">
        <v>1.89078217E8</v>
      </c>
      <c r="KE27" s="27"/>
      <c r="KF27" s="27"/>
      <c r="KG27" s="28">
        <v>5.4463602E7</v>
      </c>
      <c r="KH27" s="28">
        <v>3.11775E7</v>
      </c>
      <c r="KI27" s="28">
        <v>1.797260894E9</v>
      </c>
      <c r="KJ27" s="28">
        <v>4.90765E7</v>
      </c>
      <c r="KK27" s="28">
        <v>14982.0</v>
      </c>
      <c r="KL27" s="27"/>
      <c r="KM27" s="28">
        <v>6343756.0</v>
      </c>
      <c r="KN27" s="62">
        <v>1.931993478E9</v>
      </c>
      <c r="KO27" s="27"/>
      <c r="KP27" s="27"/>
      <c r="KQ27" s="28">
        <v>4.9848291E7</v>
      </c>
      <c r="KR27" s="28">
        <v>8.446347403E9</v>
      </c>
      <c r="KS27" s="28"/>
      <c r="KT27" s="28">
        <v>5.26857436E8</v>
      </c>
      <c r="KU27" s="27"/>
      <c r="KV27" s="28">
        <v>8.49340071E8</v>
      </c>
      <c r="KW27" s="28">
        <v>113959.0</v>
      </c>
      <c r="KX27" s="28">
        <v>1.1011635E7</v>
      </c>
      <c r="KY27" s="28">
        <v>1.3731336E7</v>
      </c>
      <c r="KZ27" s="28">
        <v>1.85E9</v>
      </c>
      <c r="LA27" s="28"/>
      <c r="LB27" s="28">
        <v>1.65295E8</v>
      </c>
      <c r="LC27" s="28">
        <v>9633631.0</v>
      </c>
      <c r="LD27" s="28"/>
      <c r="LE27" s="62">
        <v>1.1911167128E10</v>
      </c>
      <c r="LF27" s="27"/>
      <c r="LG27" s="27"/>
      <c r="LH27" s="28">
        <v>7889328.0</v>
      </c>
      <c r="LI27" s="62">
        <v>7885483.0</v>
      </c>
      <c r="LJ27" s="62">
        <f t="shared" si="2"/>
        <v>33034899566</v>
      </c>
      <c r="LK27" s="110"/>
    </row>
    <row r="28">
      <c r="A28" s="153" t="s">
        <v>313</v>
      </c>
      <c r="B28" s="154">
        <v>2.12292412013E11</v>
      </c>
      <c r="C28" s="154">
        <v>1.59048246567E11</v>
      </c>
      <c r="D28" s="155">
        <v>5.3244165446E10</v>
      </c>
      <c r="E28" s="154"/>
      <c r="F28" s="154">
        <v>2.132924927E10</v>
      </c>
      <c r="G28" s="154">
        <v>4.750734022E9</v>
      </c>
      <c r="H28" s="154">
        <v>2.81165917E8</v>
      </c>
      <c r="I28" s="155">
        <v>2.6361149208E10</v>
      </c>
      <c r="J28" s="155">
        <v>2.6883016238E10</v>
      </c>
      <c r="K28" s="154"/>
      <c r="L28" s="154">
        <v>1.964486552E9</v>
      </c>
      <c r="M28" s="154">
        <v>1.4590619538E10</v>
      </c>
      <c r="N28" s="155">
        <v>-1.2626132986E10</v>
      </c>
      <c r="O28" s="154"/>
      <c r="P28" s="154">
        <v>1.4256883252E10</v>
      </c>
      <c r="Q28" s="154">
        <v>8123461.0</v>
      </c>
      <c r="R28" s="154"/>
      <c r="S28" s="155">
        <v>8123461.0</v>
      </c>
      <c r="T28" s="156">
        <v>1.4248759791E10</v>
      </c>
      <c r="U28" s="157"/>
      <c r="V28" s="158"/>
      <c r="W28" s="159" t="s">
        <v>295</v>
      </c>
      <c r="X28" s="160">
        <v>1.4248759791E10</v>
      </c>
      <c r="Y28" s="157"/>
      <c r="Z28" s="161"/>
      <c r="AA28" s="161"/>
      <c r="AB28" s="157"/>
      <c r="AC28" s="157"/>
      <c r="AD28" s="158">
        <v>1.5936203293E10</v>
      </c>
      <c r="AE28" s="158">
        <v>6.3024226276E10</v>
      </c>
      <c r="AF28" s="158"/>
      <c r="AG28" s="158">
        <v>-7.26809713E8</v>
      </c>
      <c r="AH28" s="158">
        <v>6.595645696E9</v>
      </c>
      <c r="AI28" s="158">
        <v>1.07226471817E11</v>
      </c>
      <c r="AJ28" s="157" t="s">
        <v>295</v>
      </c>
      <c r="AK28" s="158"/>
      <c r="AL28" s="158">
        <v>3.8703370451E10</v>
      </c>
      <c r="AM28" s="158">
        <v>1.5350769281E10</v>
      </c>
      <c r="AN28" s="160">
        <v>2.46109877102E11</v>
      </c>
      <c r="AO28" s="157"/>
      <c r="AP28" s="157" t="s">
        <v>295</v>
      </c>
      <c r="AQ28" s="158">
        <v>1.30656345348E11</v>
      </c>
      <c r="AR28" s="158">
        <v>7.059265121E9</v>
      </c>
      <c r="AS28" s="158"/>
      <c r="AT28" s="158"/>
      <c r="AU28" s="158">
        <v>3.097471E9</v>
      </c>
      <c r="AV28" s="162">
        <v>1.4081308147E11</v>
      </c>
      <c r="AW28" s="160">
        <v>3.86922958571E11</v>
      </c>
      <c r="AX28" s="157"/>
      <c r="AY28" s="157"/>
      <c r="AZ28" s="157"/>
      <c r="BA28" s="158">
        <v>2.5476188216E10</v>
      </c>
      <c r="BB28" s="157"/>
      <c r="BC28" s="157" t="s">
        <v>295</v>
      </c>
      <c r="BD28" s="157" t="s">
        <v>295</v>
      </c>
      <c r="BE28" s="158">
        <v>8.090627462E9</v>
      </c>
      <c r="BF28" s="158">
        <v>2.283637018E9</v>
      </c>
      <c r="BG28" s="158"/>
      <c r="BH28" s="158"/>
      <c r="BI28" s="158">
        <v>2.15394159E8</v>
      </c>
      <c r="BJ28" s="157" t="s">
        <v>295</v>
      </c>
      <c r="BK28" s="163">
        <v>1.90885058208E11</v>
      </c>
      <c r="BL28" s="160">
        <v>2.26950905064E11</v>
      </c>
      <c r="BM28" s="157"/>
      <c r="BN28" s="158">
        <v>1.5399414819E10</v>
      </c>
      <c r="BO28" s="158"/>
      <c r="BP28" s="158"/>
      <c r="BQ28" s="158">
        <v>1.0665248189E10</v>
      </c>
      <c r="BR28" s="157" t="s">
        <v>295</v>
      </c>
      <c r="BS28" s="162">
        <v>2.6064663008E10</v>
      </c>
      <c r="BT28" s="160">
        <v>2.53015568072E11</v>
      </c>
      <c r="BU28" s="164"/>
      <c r="BV28" s="158">
        <v>6.8245E10</v>
      </c>
      <c r="BW28" s="157" t="s">
        <v>295</v>
      </c>
      <c r="BX28" s="158">
        <v>1.4248759791E10</v>
      </c>
      <c r="BY28" s="158">
        <v>5.0176612716E10</v>
      </c>
      <c r="BZ28" s="158">
        <v>-3.110625307E9</v>
      </c>
      <c r="CA28" s="157" t="s">
        <v>295</v>
      </c>
      <c r="CB28" s="158">
        <v>4.3476433E9</v>
      </c>
      <c r="CC28" s="162">
        <v>1.33907390499E11</v>
      </c>
      <c r="CD28" s="162">
        <v>3.86922958571E11</v>
      </c>
      <c r="CE28" s="161"/>
      <c r="CF28" s="153" t="s">
        <v>313</v>
      </c>
      <c r="CG28" s="165"/>
      <c r="CH28" s="166"/>
      <c r="CI28" s="167"/>
      <c r="CJ28" s="166"/>
      <c r="CK28" s="166"/>
      <c r="CL28" s="165"/>
      <c r="CM28" s="165"/>
      <c r="CN28" s="166"/>
      <c r="CO28" s="166"/>
      <c r="CP28" s="166"/>
      <c r="CQ28" s="166"/>
      <c r="CR28" s="166"/>
      <c r="CS28" s="166"/>
      <c r="CT28" s="167"/>
      <c r="CU28" s="166"/>
      <c r="CV28" s="166"/>
      <c r="CW28" s="166"/>
      <c r="CX28" s="166"/>
      <c r="CY28" s="166"/>
      <c r="CZ28" s="166"/>
      <c r="DA28" s="166"/>
      <c r="DB28" s="165"/>
      <c r="DC28" s="166"/>
      <c r="DD28" s="166"/>
      <c r="DE28" s="166"/>
      <c r="DF28" s="166"/>
      <c r="DG28" s="165"/>
      <c r="DH28" s="166"/>
      <c r="DI28" s="166"/>
      <c r="DJ28" s="166"/>
      <c r="DK28" s="166"/>
      <c r="DL28" s="166"/>
      <c r="DM28" s="166"/>
      <c r="DN28" s="161"/>
      <c r="DO28" s="161"/>
      <c r="DP28" s="168"/>
      <c r="DQ28" s="153" t="s">
        <v>313</v>
      </c>
      <c r="DR28" s="158">
        <v>2.12719223445E11</v>
      </c>
      <c r="DS28" s="158"/>
      <c r="DT28" s="158">
        <v>-1.62066089E8</v>
      </c>
      <c r="DU28" s="158">
        <v>-2.64745343E8</v>
      </c>
      <c r="DV28" s="160">
        <v>2.12292412013E11</v>
      </c>
      <c r="DW28" s="157"/>
      <c r="DX28" s="157"/>
      <c r="DY28" s="158"/>
      <c r="DZ28" s="158">
        <v>1.31850159327E11</v>
      </c>
      <c r="EA28" s="158">
        <v>1.536886E9</v>
      </c>
      <c r="EB28" s="158"/>
      <c r="EC28" s="158"/>
      <c r="ED28" s="158"/>
      <c r="EE28" s="158">
        <v>1.408352698E9</v>
      </c>
      <c r="EF28" s="158">
        <v>2.0215916E7</v>
      </c>
      <c r="EG28" s="158">
        <v>5.5325391E7</v>
      </c>
      <c r="EH28" s="158">
        <v>3.0488957E7</v>
      </c>
      <c r="EI28" s="158">
        <v>3.6889714E7</v>
      </c>
      <c r="EJ28" s="158">
        <v>2.775638E7</v>
      </c>
      <c r="EK28" s="158">
        <v>1.776673E7</v>
      </c>
      <c r="EL28" s="158">
        <v>1.4582427E8</v>
      </c>
      <c r="EM28" s="158">
        <v>2.1643919E8</v>
      </c>
      <c r="EN28" s="158"/>
      <c r="EO28" s="158">
        <v>3.3495E8</v>
      </c>
      <c r="EP28" s="158">
        <v>8.2035505E7</v>
      </c>
      <c r="EQ28" s="158"/>
      <c r="ER28" s="158">
        <v>2.039812557E9</v>
      </c>
      <c r="ES28" s="158">
        <v>1.67330966E9</v>
      </c>
      <c r="ET28" s="158">
        <v>1.24205481E10</v>
      </c>
      <c r="EU28" s="158"/>
      <c r="EV28" s="158">
        <v>7.1655197E7</v>
      </c>
      <c r="EW28" s="28"/>
      <c r="EX28" s="158">
        <v>1.48758969E8</v>
      </c>
      <c r="EY28" s="158">
        <v>3.94032942E8</v>
      </c>
      <c r="EZ28" s="158">
        <v>1.022372784E9</v>
      </c>
      <c r="FA28" s="158">
        <v>1.4272153E8</v>
      </c>
      <c r="FB28" s="158"/>
      <c r="FC28" s="158">
        <v>6.51194608E8</v>
      </c>
      <c r="FD28" s="158">
        <v>1.37550816E8</v>
      </c>
      <c r="FE28" s="158"/>
      <c r="FF28" s="158">
        <v>2.16707435E8</v>
      </c>
      <c r="FG28" s="158">
        <v>2631125.0</v>
      </c>
      <c r="FH28" s="158"/>
      <c r="FI28" s="158">
        <v>1.23229E8</v>
      </c>
      <c r="FJ28" s="158">
        <v>1.73881318E8</v>
      </c>
      <c r="FK28" s="157"/>
      <c r="FL28" s="157"/>
      <c r="FM28" s="157"/>
      <c r="FN28" s="158">
        <v>660000.0</v>
      </c>
      <c r="FO28" s="158">
        <v>1.08033762E8</v>
      </c>
      <c r="FP28" s="158"/>
      <c r="FQ28" s="158">
        <v>1.79728458E8</v>
      </c>
      <c r="FR28" s="158">
        <v>1.031156999E9</v>
      </c>
      <c r="FS28" s="158"/>
      <c r="FT28" s="158"/>
      <c r="FU28" s="158"/>
      <c r="FV28" s="158">
        <v>4.70545987E8</v>
      </c>
      <c r="FW28" s="158">
        <v>4.08278507E8</v>
      </c>
      <c r="FX28" s="158">
        <v>2.2355186E7</v>
      </c>
      <c r="FY28" s="157"/>
      <c r="FZ28" s="158">
        <v>1.28008722E8</v>
      </c>
      <c r="GA28" s="158">
        <v>3.59564431E8</v>
      </c>
      <c r="GB28" s="158">
        <v>5.6154512E7</v>
      </c>
      <c r="GC28" s="158">
        <v>2.3538062E7</v>
      </c>
      <c r="GD28" s="158">
        <v>2.2676602E7</v>
      </c>
      <c r="GE28" s="158">
        <v>5.05079555E8</v>
      </c>
      <c r="GF28" s="158">
        <v>1.3414749E7</v>
      </c>
      <c r="GG28" s="158">
        <v>2.761E7</v>
      </c>
      <c r="GH28" s="158">
        <v>4.797788E7</v>
      </c>
      <c r="GI28" s="158">
        <v>5.005E8</v>
      </c>
      <c r="GJ28" s="158">
        <v>5627414.0</v>
      </c>
      <c r="GK28" s="158">
        <v>1.55839622E8</v>
      </c>
      <c r="GL28" s="160"/>
      <c r="GM28" s="160">
        <v>1.59048246567E11</v>
      </c>
      <c r="GN28" s="157"/>
      <c r="GO28" s="157"/>
      <c r="GP28" s="158"/>
      <c r="GQ28" s="158">
        <v>1.82083997E8</v>
      </c>
      <c r="GR28" s="158">
        <v>1.617700581E9</v>
      </c>
      <c r="GS28" s="158">
        <v>6133553.0</v>
      </c>
      <c r="GT28" s="158">
        <v>1.63282217E8</v>
      </c>
      <c r="GU28" s="158">
        <v>4.58008038E8</v>
      </c>
      <c r="GV28" s="158">
        <v>2.89494996E8</v>
      </c>
      <c r="GW28" s="158">
        <v>1.32711007E8</v>
      </c>
      <c r="GX28" s="158">
        <v>1.379222284E9</v>
      </c>
      <c r="GY28" s="158">
        <v>2.547939269E9</v>
      </c>
      <c r="GZ28" s="158">
        <v>2.954543644E9</v>
      </c>
      <c r="HA28" s="158"/>
      <c r="HB28" s="158"/>
      <c r="HC28" s="158">
        <v>2.19780141E8</v>
      </c>
      <c r="HD28" s="158"/>
      <c r="HE28" s="158"/>
      <c r="HF28" s="158">
        <v>7.87346651E8</v>
      </c>
      <c r="HG28" s="158">
        <v>1.90036889E8</v>
      </c>
      <c r="HH28" s="158">
        <v>3.67502579E8</v>
      </c>
      <c r="HI28" s="158">
        <v>3140000.0</v>
      </c>
      <c r="HJ28" s="158">
        <v>1.94603361E8</v>
      </c>
      <c r="HK28" s="158">
        <v>5.1327187E7</v>
      </c>
      <c r="HL28" s="158"/>
      <c r="HM28" s="158"/>
      <c r="HN28" s="158">
        <v>1.649907E7</v>
      </c>
      <c r="HO28" s="158">
        <v>2.57130224E8</v>
      </c>
      <c r="HP28" s="158">
        <v>2.7269217E7</v>
      </c>
      <c r="HQ28" s="158">
        <v>1.747748375E9</v>
      </c>
      <c r="HR28" s="158">
        <v>6.5288358E7</v>
      </c>
      <c r="HS28" s="158">
        <v>1.522435E7</v>
      </c>
      <c r="HT28" s="158">
        <v>6.10695183E8</v>
      </c>
      <c r="HU28" s="158">
        <v>1.66375E8</v>
      </c>
      <c r="HV28" s="158">
        <v>4.994975E7</v>
      </c>
      <c r="HW28" s="158">
        <v>2.0E8</v>
      </c>
      <c r="HX28" s="158">
        <v>3.48746216E8</v>
      </c>
      <c r="HY28" s="158">
        <v>4.6605271E7</v>
      </c>
      <c r="HZ28" s="158">
        <v>7.3709064E7</v>
      </c>
      <c r="IA28" s="158">
        <v>2.866888E7</v>
      </c>
      <c r="IB28" s="158">
        <v>1.0270198E7</v>
      </c>
      <c r="IC28" s="158">
        <v>1.15305479E8</v>
      </c>
      <c r="ID28" s="158">
        <v>1.38656272E8</v>
      </c>
      <c r="IE28" s="158">
        <v>7.4530601E7</v>
      </c>
      <c r="IF28" s="158">
        <v>2.6316358E7</v>
      </c>
      <c r="IG28" s="158">
        <v>1.1549464E8</v>
      </c>
      <c r="IH28" s="158">
        <v>4.2071753E7</v>
      </c>
      <c r="II28" s="157"/>
      <c r="IJ28" s="157"/>
      <c r="IK28" s="158">
        <v>1.97E7</v>
      </c>
      <c r="IL28" s="158">
        <v>2241640.0</v>
      </c>
      <c r="IM28" s="158">
        <v>7.01993378E8</v>
      </c>
      <c r="IN28" s="158">
        <v>3.58478248E8</v>
      </c>
      <c r="IO28" s="158">
        <v>2.5467315E7</v>
      </c>
      <c r="IP28" s="158">
        <v>3.01581456E8</v>
      </c>
      <c r="IQ28" s="158">
        <v>1040000.0</v>
      </c>
      <c r="IR28" s="157"/>
      <c r="IS28" s="158">
        <v>2.3576614E7</v>
      </c>
      <c r="IT28" s="158">
        <v>7.2099099E7</v>
      </c>
      <c r="IU28" s="158">
        <v>1.2025641E8</v>
      </c>
      <c r="IV28" s="157"/>
      <c r="IW28" s="157"/>
      <c r="IX28" s="158">
        <v>2.6375E7</v>
      </c>
      <c r="IY28" s="158"/>
      <c r="IZ28" s="158"/>
      <c r="JA28" s="158"/>
      <c r="JB28" s="158">
        <v>1.49772E8</v>
      </c>
      <c r="JC28" s="157"/>
      <c r="JD28" s="157"/>
      <c r="JE28" s="158">
        <v>2805309.0</v>
      </c>
      <c r="JF28" s="169"/>
      <c r="JG28" s="169"/>
      <c r="JH28" s="169">
        <v>4.4034864E13</v>
      </c>
      <c r="JI28" s="158">
        <v>1.5054354E7</v>
      </c>
      <c r="JJ28" s="157"/>
      <c r="JK28" s="158">
        <v>3.4775E7</v>
      </c>
      <c r="JL28" s="158"/>
      <c r="JM28" s="158">
        <v>2.90851265E9</v>
      </c>
      <c r="JN28" s="158">
        <v>1.13957469E8</v>
      </c>
      <c r="JO28" s="169">
        <v>4.2309502E13</v>
      </c>
      <c r="JP28" s="158">
        <v>2.57299934E8</v>
      </c>
      <c r="JQ28" s="158">
        <v>1.85818876E8</v>
      </c>
      <c r="JR28" s="158">
        <v>2.25E7</v>
      </c>
      <c r="JS28" s="158">
        <v>1.781895E8</v>
      </c>
      <c r="JT28" s="160">
        <v>2.132924927E10</v>
      </c>
      <c r="JU28" s="157"/>
      <c r="JV28" s="157"/>
      <c r="JW28" s="158">
        <v>4.005697051E9</v>
      </c>
      <c r="JX28" s="169">
        <v>3.93795E14</v>
      </c>
      <c r="JY28" s="158">
        <v>3.51241971E8</v>
      </c>
      <c r="JZ28" s="160">
        <v>4.750734022E9</v>
      </c>
      <c r="KA28" s="157"/>
      <c r="KB28" s="157"/>
      <c r="KC28" s="158">
        <v>2.81165917E8</v>
      </c>
      <c r="KD28" s="160">
        <v>2.81165917E8</v>
      </c>
      <c r="KE28" s="157"/>
      <c r="KF28" s="157"/>
      <c r="KG28" s="158">
        <v>7.9845375E7</v>
      </c>
      <c r="KH28" s="158">
        <v>3.8275E7</v>
      </c>
      <c r="KI28" s="158">
        <v>1.797260895E9</v>
      </c>
      <c r="KJ28" s="158">
        <v>4.90765E7</v>
      </c>
      <c r="KK28" s="158">
        <v>28783.0</v>
      </c>
      <c r="KL28" s="158"/>
      <c r="KM28" s="158">
        <v>6343756.0</v>
      </c>
      <c r="KN28" s="160">
        <v>1.964486552E9</v>
      </c>
      <c r="KO28" s="157"/>
      <c r="KP28" s="157"/>
      <c r="KQ28" s="158">
        <v>5.8327304E7</v>
      </c>
      <c r="KR28" s="158">
        <v>1.0283561659E10</v>
      </c>
      <c r="KS28" s="158"/>
      <c r="KT28" s="158">
        <v>7.36357436E8</v>
      </c>
      <c r="KU28" s="158"/>
      <c r="KV28" s="158">
        <v>8.73336412E8</v>
      </c>
      <c r="KW28" s="158">
        <v>118098.0</v>
      </c>
      <c r="KX28" s="158">
        <v>1.9370438E7</v>
      </c>
      <c r="KY28" s="158"/>
      <c r="KZ28" s="158">
        <v>2.43524531E9</v>
      </c>
      <c r="LA28" s="158"/>
      <c r="LB28" s="158">
        <v>1.7466925E8</v>
      </c>
      <c r="LC28" s="158">
        <v>9633631.0</v>
      </c>
      <c r="LD28" s="158"/>
      <c r="LE28" s="160">
        <v>1.4590619538E10</v>
      </c>
      <c r="LF28" s="157"/>
      <c r="LG28" s="157"/>
      <c r="LH28" s="158">
        <v>8123461.0</v>
      </c>
      <c r="LI28" s="160">
        <v>8123461.0</v>
      </c>
      <c r="LJ28" s="62">
        <f t="shared" si="2"/>
        <v>40951768747</v>
      </c>
      <c r="LK28" s="170"/>
    </row>
    <row r="29">
      <c r="A29" s="49" t="s">
        <v>316</v>
      </c>
      <c r="B29" s="146">
        <v>2.73140874298E11</v>
      </c>
      <c r="C29" s="146">
        <v>2.04589533159E11</v>
      </c>
      <c r="D29" s="147">
        <v>6.855134114E10</v>
      </c>
      <c r="E29" s="146"/>
      <c r="F29" s="146">
        <v>2.5720135079E10</v>
      </c>
      <c r="G29" s="146">
        <v>5.240783586E9</v>
      </c>
      <c r="H29" s="146">
        <v>3.87328928E8</v>
      </c>
      <c r="I29" s="147">
        <v>3.1348247593E10</v>
      </c>
      <c r="J29" s="147">
        <v>3.7203093547E10</v>
      </c>
      <c r="K29" s="146"/>
      <c r="L29" s="146">
        <v>2.153642634E9</v>
      </c>
      <c r="M29" s="146">
        <v>1.6559792898E10</v>
      </c>
      <c r="N29" s="147">
        <v>-1.4406150264E10</v>
      </c>
      <c r="O29" s="146"/>
      <c r="P29" s="146">
        <v>2.2796943283E10</v>
      </c>
      <c r="Q29" s="146">
        <v>8123461.0</v>
      </c>
      <c r="R29" s="146"/>
      <c r="S29" s="147">
        <f t="shared" ref="S29:T29" si="3">S28+S13</f>
        <v>8123461</v>
      </c>
      <c r="T29" s="147">
        <f t="shared" si="3"/>
        <v>22788819823</v>
      </c>
      <c r="U29" s="146"/>
      <c r="V29" s="146"/>
      <c r="W29" s="146"/>
      <c r="X29" s="147">
        <f>X28+X13</f>
        <v>22788819823</v>
      </c>
      <c r="Y29" s="146"/>
      <c r="AB29" s="27"/>
      <c r="AC29" s="27"/>
      <c r="AD29" s="28">
        <v>1.6228480826E10</v>
      </c>
      <c r="AE29" s="28">
        <v>8.2925685482E10</v>
      </c>
      <c r="AF29" s="28"/>
      <c r="AG29" s="28">
        <v>-7.26809713E8</v>
      </c>
      <c r="AH29" s="28">
        <v>5.825645696E9</v>
      </c>
      <c r="AI29" s="28">
        <v>9.9274743635E10</v>
      </c>
      <c r="AJ29" s="27" t="s">
        <v>295</v>
      </c>
      <c r="AK29" s="27"/>
      <c r="AL29" s="28">
        <v>3.366223409E10</v>
      </c>
      <c r="AM29" s="28">
        <v>1.6997370821E10</v>
      </c>
      <c r="AN29" s="62">
        <v>2.54187350837E11</v>
      </c>
      <c r="AO29" s="27"/>
      <c r="AP29" s="27" t="s">
        <v>295</v>
      </c>
      <c r="AQ29" s="28">
        <v>1.32943952489E11</v>
      </c>
      <c r="AR29" s="28">
        <v>7.029807476E9</v>
      </c>
      <c r="AS29" s="28"/>
      <c r="AT29" s="28"/>
      <c r="AU29" s="28">
        <v>3.097471E9</v>
      </c>
      <c r="AV29" s="63">
        <v>1.43071230966E11</v>
      </c>
      <c r="AW29" s="62">
        <v>3.97258581802E11</v>
      </c>
      <c r="AX29" s="27"/>
      <c r="AY29" s="27"/>
      <c r="AZ29" s="27"/>
      <c r="BA29" s="28">
        <v>3.0921952568E10</v>
      </c>
      <c r="BB29" s="27"/>
      <c r="BC29" s="27" t="s">
        <v>295</v>
      </c>
      <c r="BD29" s="27" t="s">
        <v>295</v>
      </c>
      <c r="BE29" s="28">
        <v>1.1493763808E10</v>
      </c>
      <c r="BF29" s="28">
        <v>1.395353998E9</v>
      </c>
      <c r="BG29" s="28"/>
      <c r="BH29" s="28"/>
      <c r="BI29" s="28">
        <v>2.14849468E8</v>
      </c>
      <c r="BJ29" s="27" t="s">
        <v>295</v>
      </c>
      <c r="BK29" s="61">
        <v>1.84742012601E11</v>
      </c>
      <c r="BL29" s="62">
        <v>2.28767932443E11</v>
      </c>
      <c r="BM29" s="27"/>
      <c r="BN29" s="28">
        <v>1.5401214441E10</v>
      </c>
      <c r="BO29" s="27"/>
      <c r="BP29" s="27"/>
      <c r="BQ29" s="28">
        <v>1.0641984387E10</v>
      </c>
      <c r="BR29" s="92">
        <v>0.0</v>
      </c>
      <c r="BS29" s="63">
        <v>2.6043198828E10</v>
      </c>
      <c r="BT29" s="62">
        <v>2.54811131271E11</v>
      </c>
      <c r="BU29" s="27"/>
      <c r="BV29" s="28">
        <v>6.8245E10</v>
      </c>
      <c r="BW29" s="92">
        <v>0.0</v>
      </c>
      <c r="BX29" s="28">
        <v>2.2788819822E10</v>
      </c>
      <c r="BY29" s="28">
        <v>5.0176612716E10</v>
      </c>
      <c r="BZ29" s="28">
        <v>-3.110625307E9</v>
      </c>
      <c r="CA29" s="27" t="s">
        <v>295</v>
      </c>
      <c r="CB29" s="28">
        <v>4.3476433E9</v>
      </c>
      <c r="CC29" s="63">
        <v>1.42447450531E11</v>
      </c>
      <c r="CD29" s="63">
        <v>3.97258581802E11</v>
      </c>
      <c r="CF29" s="49" t="s">
        <v>316</v>
      </c>
      <c r="CG29" s="102"/>
      <c r="CH29" s="171"/>
      <c r="CI29" s="172"/>
      <c r="CJ29" s="171"/>
      <c r="CK29" s="171"/>
      <c r="CL29" s="102"/>
      <c r="CM29" s="102"/>
      <c r="CN29" s="171"/>
      <c r="CO29" s="171"/>
      <c r="CP29" s="171"/>
      <c r="CQ29" s="171"/>
      <c r="CR29" s="171"/>
      <c r="CS29" s="171"/>
      <c r="CT29" s="172"/>
      <c r="CU29" s="171"/>
      <c r="CV29" s="171"/>
      <c r="CW29" s="171"/>
      <c r="CX29" s="171"/>
      <c r="CY29" s="171"/>
      <c r="CZ29" s="171"/>
      <c r="DA29" s="171"/>
      <c r="DB29" s="102"/>
      <c r="DC29" s="171"/>
      <c r="DD29" s="171"/>
      <c r="DE29" s="171"/>
      <c r="DF29" s="171"/>
      <c r="DG29" s="102"/>
      <c r="DH29" s="171"/>
      <c r="DI29" s="171"/>
      <c r="DJ29" s="171"/>
      <c r="DK29" s="171"/>
      <c r="DL29" s="171"/>
      <c r="DM29" s="171"/>
      <c r="DP29" s="64"/>
      <c r="DQ29" s="49" t="s">
        <v>316</v>
      </c>
      <c r="DR29" s="28">
        <v>2.73840258741E11</v>
      </c>
      <c r="DS29" s="27"/>
      <c r="DT29" s="28">
        <v>-1.9166559E8</v>
      </c>
      <c r="DU29" s="28">
        <v>-5.07718853E8</v>
      </c>
      <c r="DV29" s="62">
        <v>2.73140874298E11</v>
      </c>
      <c r="DW29" s="27"/>
      <c r="DX29" s="27"/>
      <c r="DY29" s="28"/>
      <c r="DZ29" s="28">
        <v>1.70670040154E11</v>
      </c>
      <c r="EA29" s="28">
        <v>2.047845E9</v>
      </c>
      <c r="EB29" s="27"/>
      <c r="EC29" s="27"/>
      <c r="ED29" s="27"/>
      <c r="EE29" s="28">
        <v>1.654047714E9</v>
      </c>
      <c r="EF29" s="28">
        <v>3.5872766E7</v>
      </c>
      <c r="EG29" s="28">
        <v>7.0351473E7</v>
      </c>
      <c r="EH29" s="28">
        <v>5.0944695E7</v>
      </c>
      <c r="EI29" s="28">
        <v>6.2318167E7</v>
      </c>
      <c r="EJ29" s="28">
        <v>5.1017825E7</v>
      </c>
      <c r="EK29" s="28">
        <v>1.9398883E7</v>
      </c>
      <c r="EL29" s="28">
        <v>1.5261599E8</v>
      </c>
      <c r="EM29" s="28">
        <v>2.51701829E8</v>
      </c>
      <c r="EN29" s="27"/>
      <c r="EO29" s="28">
        <v>3.8295E8</v>
      </c>
      <c r="EP29" s="28">
        <v>3.1506109E8</v>
      </c>
      <c r="ER29" s="28">
        <v>2.432487E9</v>
      </c>
      <c r="ES29" s="28">
        <v>2.171791209E9</v>
      </c>
      <c r="ET29" s="28">
        <v>1.6059586073E10</v>
      </c>
      <c r="EU29" s="28"/>
      <c r="EV29" s="28">
        <v>1.22755283E8</v>
      </c>
      <c r="EW29" s="28"/>
      <c r="EX29" s="28">
        <v>1.80891328E8</v>
      </c>
      <c r="EY29" s="28">
        <v>5.1495612E8</v>
      </c>
      <c r="EZ29" s="28">
        <v>1.211149176E9</v>
      </c>
      <c r="FA29" s="28">
        <v>1.58052586E8</v>
      </c>
      <c r="FC29" s="28">
        <v>7.65214391E8</v>
      </c>
      <c r="FD29" s="28">
        <v>1.59113288E8</v>
      </c>
      <c r="FF29" s="28">
        <v>2.62419768E8</v>
      </c>
      <c r="FG29" s="28">
        <v>2631125.0</v>
      </c>
      <c r="FI29" s="28">
        <v>1.35595E8</v>
      </c>
      <c r="FJ29" s="28">
        <v>1.95007618E8</v>
      </c>
      <c r="FK29" s="27"/>
      <c r="FL29" s="27"/>
      <c r="FM29" s="27"/>
      <c r="FN29" s="28">
        <v>660000.0</v>
      </c>
      <c r="FO29" s="28">
        <v>1.30679412E8</v>
      </c>
      <c r="FP29" s="27"/>
      <c r="FQ29" s="28">
        <v>1.81602836E8</v>
      </c>
      <c r="FR29" s="28">
        <v>1.195162614E9</v>
      </c>
      <c r="FS29" s="27"/>
      <c r="FT29" s="27"/>
      <c r="FU29" s="27"/>
      <c r="FV29" s="28">
        <v>2.8294917E8</v>
      </c>
      <c r="FW29" s="28">
        <v>4.08857386E8</v>
      </c>
      <c r="FX29" s="28">
        <v>2.2355186E7</v>
      </c>
      <c r="FY29" s="27"/>
      <c r="FZ29" s="28">
        <v>1.34772626E8</v>
      </c>
      <c r="GA29" s="28">
        <v>6.20789897E8</v>
      </c>
      <c r="GB29" s="28">
        <v>7.4137998E7</v>
      </c>
      <c r="GC29" s="28">
        <v>4.6767893E7</v>
      </c>
      <c r="GD29" s="28">
        <v>2.5983151E7</v>
      </c>
      <c r="GE29" s="28">
        <v>5.11124534E8</v>
      </c>
      <c r="GF29" s="28">
        <v>1.3414749E7</v>
      </c>
      <c r="GG29" s="28">
        <v>3.4735E7</v>
      </c>
      <c r="GH29" s="28">
        <v>6.374533E7</v>
      </c>
      <c r="GI29" s="28">
        <v>5.005E8</v>
      </c>
      <c r="GJ29" s="28">
        <v>5627414.0</v>
      </c>
      <c r="GK29" s="28">
        <v>1.55839622E8</v>
      </c>
      <c r="GL29" s="28">
        <v>4.4012791E7</v>
      </c>
      <c r="GM29" s="62">
        <v>2.04589533159E11</v>
      </c>
      <c r="GN29" s="27"/>
      <c r="GO29" s="27"/>
      <c r="GP29" s="27"/>
      <c r="GQ29" s="28">
        <v>2.50984997E8</v>
      </c>
      <c r="GR29" s="28">
        <v>2.341327108E9</v>
      </c>
      <c r="GS29" s="28">
        <v>6686671.0</v>
      </c>
      <c r="GT29" s="28">
        <v>1.68388273E8</v>
      </c>
      <c r="GU29" s="28">
        <v>5.31518768E8</v>
      </c>
      <c r="GV29" s="28">
        <v>3.39259651E8</v>
      </c>
      <c r="GW29" s="28">
        <v>1.54829508E8</v>
      </c>
      <c r="GX29" s="28">
        <v>1.609825431E9</v>
      </c>
      <c r="GY29" s="28">
        <v>2.961653259E9</v>
      </c>
      <c r="GZ29" s="28">
        <v>3.333677837E9</v>
      </c>
      <c r="HB29" s="27"/>
      <c r="HC29" s="28">
        <v>2.42471948E8</v>
      </c>
      <c r="HD29" s="27"/>
      <c r="HE29" s="27"/>
      <c r="HF29" s="28">
        <v>9.44289428E8</v>
      </c>
      <c r="HG29" s="28">
        <v>2.24274049E8</v>
      </c>
      <c r="HH29" s="28">
        <v>4.31413341E8</v>
      </c>
      <c r="HI29" s="28">
        <v>3140000.0</v>
      </c>
      <c r="HJ29" s="28">
        <v>2.11031988E8</v>
      </c>
      <c r="HK29" s="28">
        <v>5.1327187E7</v>
      </c>
      <c r="HL29" s="28"/>
      <c r="HM29" s="28"/>
      <c r="HN29" s="28">
        <v>1.9001779E7</v>
      </c>
      <c r="HO29" s="28">
        <v>3.15780246E8</v>
      </c>
      <c r="HP29" s="28">
        <v>3.2751957E7</v>
      </c>
      <c r="HQ29" s="28">
        <v>2.121806011E9</v>
      </c>
      <c r="HR29" s="28">
        <v>7.6685858E7</v>
      </c>
      <c r="HS29" s="28">
        <v>3.2186877E7</v>
      </c>
      <c r="HT29" s="28">
        <v>7.01807994E8</v>
      </c>
      <c r="HU29" s="28">
        <v>6.4017E8</v>
      </c>
      <c r="HV29" s="28">
        <v>4.994975E7</v>
      </c>
      <c r="HW29" s="28">
        <v>2.25E8</v>
      </c>
      <c r="HX29" s="28">
        <v>3.48746216E8</v>
      </c>
      <c r="HY29" s="28">
        <v>5.4829039E7</v>
      </c>
      <c r="HZ29" s="28">
        <v>9.7422077E7</v>
      </c>
      <c r="IA29" s="28">
        <v>3.7360544E7</v>
      </c>
      <c r="IB29" s="28">
        <v>1.3660098E7</v>
      </c>
      <c r="IC29" s="28">
        <v>1.26833179E8</v>
      </c>
      <c r="ID29" s="28">
        <v>1.64816674E8</v>
      </c>
      <c r="IE29" s="28">
        <v>8.7524703E7</v>
      </c>
      <c r="IF29" s="28">
        <v>2.9596883E7</v>
      </c>
      <c r="IG29" s="28">
        <v>1.2508484E8</v>
      </c>
      <c r="IH29" s="28">
        <v>5.4626555E7</v>
      </c>
      <c r="II29" s="27"/>
      <c r="IJ29" s="27"/>
      <c r="IK29" s="28">
        <v>2.0765709E7</v>
      </c>
      <c r="IL29" s="28">
        <v>1.0424409E7</v>
      </c>
      <c r="IM29" s="28">
        <v>8.41948368E8</v>
      </c>
      <c r="IN29" s="28">
        <v>4.15464879E8</v>
      </c>
      <c r="IO29" s="28">
        <v>4.9275203E7</v>
      </c>
      <c r="IP29" s="28">
        <v>3.01581456E8</v>
      </c>
      <c r="IQ29" s="28">
        <v>2540000.0</v>
      </c>
      <c r="IR29" s="27"/>
      <c r="IS29" s="28">
        <v>2.3576614E7</v>
      </c>
      <c r="IT29" s="28">
        <v>7.2099099E7</v>
      </c>
      <c r="IU29" s="28">
        <v>1.2025641E8</v>
      </c>
      <c r="IV29" s="28">
        <v>4250000.0</v>
      </c>
      <c r="IX29" s="28">
        <v>2.6375E7</v>
      </c>
      <c r="IY29" s="27"/>
      <c r="IZ29" s="27"/>
      <c r="JA29" s="28"/>
      <c r="JB29" s="28">
        <v>2.24458037E8</v>
      </c>
      <c r="JC29" s="27"/>
      <c r="JD29" s="27"/>
      <c r="JE29" s="28">
        <v>1.5755141E7</v>
      </c>
      <c r="JF29" s="27"/>
      <c r="JG29" s="27"/>
      <c r="JH29" s="28">
        <v>5.1374009E7</v>
      </c>
      <c r="JI29" s="28">
        <v>1.5054354E7</v>
      </c>
      <c r="JJ29" s="27"/>
      <c r="JK29" s="28">
        <v>3.4775E7</v>
      </c>
      <c r="JL29" s="27"/>
      <c r="JM29" s="28">
        <v>3.434760814E9</v>
      </c>
      <c r="JN29" s="28">
        <v>1.13957469E8</v>
      </c>
      <c r="JO29" s="28">
        <v>5.729957E7</v>
      </c>
      <c r="JP29" s="28">
        <v>3.00339439E8</v>
      </c>
      <c r="JQ29" s="28">
        <v>1.85818876E8</v>
      </c>
      <c r="JR29" s="28">
        <v>2.25E7</v>
      </c>
      <c r="JS29" s="28">
        <v>2.137445E8</v>
      </c>
      <c r="JT29" s="62">
        <v>2.5720135079E10</v>
      </c>
      <c r="JU29" s="27"/>
      <c r="JV29" s="27"/>
      <c r="JW29" s="28">
        <v>4.354869715E9</v>
      </c>
      <c r="JX29" s="28">
        <v>4.12795E8</v>
      </c>
      <c r="JY29" s="28">
        <v>4.73118871E8</v>
      </c>
      <c r="JZ29" s="62">
        <v>5.240783586E9</v>
      </c>
      <c r="KA29" s="27"/>
      <c r="KB29" s="27"/>
      <c r="KC29" s="28">
        <v>3.87328928E8</v>
      </c>
      <c r="KD29" s="62">
        <v>3.87328928E8</v>
      </c>
      <c r="KE29" s="27"/>
      <c r="KF29" s="27"/>
      <c r="KG29" s="28">
        <v>1.01283976E8</v>
      </c>
      <c r="KH29" s="28">
        <v>5.4530417E7</v>
      </c>
      <c r="KI29" s="28">
        <v>1.948003093E9</v>
      </c>
      <c r="KJ29" s="28">
        <v>4.90765E7</v>
      </c>
      <c r="KK29" s="28">
        <v>748647.0</v>
      </c>
      <c r="KM29" s="28">
        <v>6343756.0</v>
      </c>
      <c r="KN29" s="62">
        <v>2.153642634E9</v>
      </c>
      <c r="KO29" s="27"/>
      <c r="KP29" s="27"/>
      <c r="KQ29" s="28">
        <v>6.8347495E7</v>
      </c>
      <c r="KR29" s="28">
        <v>1.2092814522E10</v>
      </c>
      <c r="KS29" s="28"/>
      <c r="KT29" s="28">
        <v>8.30857436E8</v>
      </c>
      <c r="KU29" s="27"/>
      <c r="KV29" s="28">
        <v>8.73336413E8</v>
      </c>
      <c r="KW29" s="28">
        <v>141730.0</v>
      </c>
      <c r="KX29" s="28">
        <v>2.4747111E7</v>
      </c>
      <c r="KY29" s="27"/>
      <c r="KZ29" s="28">
        <v>2.48524531E9</v>
      </c>
      <c r="LA29" s="27"/>
      <c r="LB29" s="28">
        <v>1.7466925E8</v>
      </c>
      <c r="LC29" s="28">
        <v>9633631.0</v>
      </c>
      <c r="LE29" s="62">
        <v>1.8713435533E10</v>
      </c>
      <c r="LF29" s="27"/>
      <c r="LG29" s="27"/>
      <c r="LH29" s="28">
        <v>8123461.0</v>
      </c>
      <c r="LI29" s="62">
        <v>8123461.0</v>
      </c>
      <c r="LJ29" s="62">
        <f t="shared" si="2"/>
        <v>50061683126</v>
      </c>
      <c r="LK29" s="110"/>
    </row>
    <row r="30">
      <c r="A30" s="49" t="s">
        <v>318</v>
      </c>
      <c r="B30" s="146">
        <v>3.27591969294E11</v>
      </c>
      <c r="C30" s="146">
        <v>2.48151334323E11</v>
      </c>
      <c r="D30" s="147">
        <v>7.9440634971E10</v>
      </c>
      <c r="E30" s="146"/>
      <c r="F30" s="146">
        <v>2.8372953456E10</v>
      </c>
      <c r="G30" s="146">
        <v>5.6703749E9</v>
      </c>
      <c r="H30" s="146">
        <v>4.16729428E8</v>
      </c>
      <c r="I30" s="147">
        <v>3.4460057784E10</v>
      </c>
      <c r="J30" s="147">
        <v>4.4980577187E10</v>
      </c>
      <c r="K30" s="146"/>
      <c r="L30" s="146">
        <v>2.707837814E9</v>
      </c>
      <c r="M30" s="146">
        <v>1.9039119464E10</v>
      </c>
      <c r="N30" s="147">
        <v>-1.633128165E10</v>
      </c>
      <c r="O30" s="146"/>
      <c r="P30" s="146">
        <v>2.8649295537E10</v>
      </c>
      <c r="Q30" s="146">
        <v>8123461.0</v>
      </c>
      <c r="R30" s="146"/>
      <c r="S30" s="147">
        <v>8123461.0</v>
      </c>
      <c r="T30" s="53">
        <v>2.8641172076E10</v>
      </c>
      <c r="U30" s="27"/>
      <c r="V30" s="28"/>
      <c r="W30" s="27"/>
      <c r="X30" s="62">
        <v>2.8641172076E10</v>
      </c>
      <c r="Y30" s="27"/>
      <c r="AB30" s="27"/>
      <c r="AC30" s="27"/>
      <c r="AD30" s="28">
        <v>1.5146534221E10</v>
      </c>
      <c r="AE30" s="28">
        <v>9.5360939306E10</v>
      </c>
      <c r="AF30" s="28"/>
      <c r="AG30" s="28">
        <v>-3.01516003E8</v>
      </c>
      <c r="AH30" s="28">
        <v>4.937637296E9</v>
      </c>
      <c r="AI30" s="28">
        <v>1.02352653702E11</v>
      </c>
      <c r="AJ30" s="27"/>
      <c r="AK30" s="27"/>
      <c r="AL30" s="28">
        <v>2.7357562602E10</v>
      </c>
      <c r="AM30" s="28">
        <v>1.6372616426E10</v>
      </c>
      <c r="AN30" s="62">
        <v>2.6122642755E11</v>
      </c>
      <c r="AO30" s="27"/>
      <c r="AP30" s="27" t="s">
        <v>295</v>
      </c>
      <c r="AQ30" s="28">
        <v>1.33732209029E11</v>
      </c>
      <c r="AR30" s="28">
        <v>7.000349831E9</v>
      </c>
      <c r="AS30" s="27"/>
      <c r="AT30" s="27"/>
      <c r="AU30" s="28">
        <v>3.097471E9</v>
      </c>
      <c r="AV30" s="63">
        <v>1.4383002986E11</v>
      </c>
      <c r="AW30" s="62">
        <v>4.0505645741E11</v>
      </c>
      <c r="AX30" s="27"/>
      <c r="AY30" s="27"/>
      <c r="AZ30" s="27"/>
      <c r="BA30" s="28">
        <v>2.6707978354E10</v>
      </c>
      <c r="BB30" s="27"/>
      <c r="BC30" s="27" t="s">
        <v>295</v>
      </c>
      <c r="BD30" s="27" t="s">
        <v>295</v>
      </c>
      <c r="BE30" s="28">
        <v>1.1154914765E10</v>
      </c>
      <c r="BF30" s="28">
        <v>1.486038598E9</v>
      </c>
      <c r="BG30" s="27"/>
      <c r="BH30" s="27"/>
      <c r="BI30" s="28">
        <v>2.15511729E8</v>
      </c>
      <c r="BJ30" s="27" t="s">
        <v>295</v>
      </c>
      <c r="BK30" s="61">
        <v>1.91571541624E11</v>
      </c>
      <c r="BL30" s="62">
        <v>2.31135985071E11</v>
      </c>
      <c r="BM30" s="27"/>
      <c r="BN30" s="28">
        <v>1.5403011497E10</v>
      </c>
      <c r="BO30" s="27"/>
      <c r="BP30" s="27"/>
      <c r="BQ30" s="28">
        <v>1.0217658058E10</v>
      </c>
      <c r="BR30" s="27"/>
      <c r="BS30" s="63">
        <v>2.5620669555E10</v>
      </c>
      <c r="BT30" s="62">
        <v>2.56756654625E11</v>
      </c>
      <c r="BU30" s="27"/>
      <c r="BV30" s="28">
        <v>6.8245E10</v>
      </c>
      <c r="BW30" s="27"/>
      <c r="BX30" s="28">
        <v>2.8641172076E10</v>
      </c>
      <c r="BY30" s="28">
        <v>5.0176612716E10</v>
      </c>
      <c r="BZ30" s="28">
        <v>-3.110625307E9</v>
      </c>
      <c r="CA30" s="27" t="s">
        <v>295</v>
      </c>
      <c r="CB30" s="28">
        <v>4.3476433E9</v>
      </c>
      <c r="CC30" s="63">
        <v>1.48299802784E11</v>
      </c>
      <c r="CD30" s="63">
        <v>4.0505645741E11</v>
      </c>
      <c r="CF30" s="49" t="s">
        <v>318</v>
      </c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P30" s="64"/>
      <c r="DQ30" s="49" t="s">
        <v>318</v>
      </c>
      <c r="DR30" s="28">
        <v>3.28297980204E11</v>
      </c>
      <c r="DS30" s="27"/>
      <c r="DT30" s="28">
        <v>-1.93801257E8</v>
      </c>
      <c r="DU30" s="28">
        <v>-5.12209653E8</v>
      </c>
      <c r="DV30" s="62">
        <v>3.27591969294E11</v>
      </c>
      <c r="DW30" s="27"/>
      <c r="DX30" s="27"/>
      <c r="DY30" s="28"/>
      <c r="DZ30" s="28">
        <v>2.04338074371E11</v>
      </c>
      <c r="EA30" s="28">
        <v>3.176391E9</v>
      </c>
      <c r="EB30" s="27"/>
      <c r="EC30" s="27"/>
      <c r="ED30" s="27"/>
      <c r="EE30" s="28">
        <v>1.905445511E9</v>
      </c>
      <c r="EF30" s="28">
        <v>5.0727412E7</v>
      </c>
      <c r="EG30" s="28">
        <v>9.0245622E7</v>
      </c>
      <c r="EH30" s="28">
        <v>5.8565448E7</v>
      </c>
      <c r="EI30" s="28">
        <v>7.5650924E7</v>
      </c>
      <c r="EJ30" s="28">
        <v>1.51227934E8</v>
      </c>
      <c r="EK30" s="28">
        <v>2.2015978E7</v>
      </c>
      <c r="EL30" s="28">
        <v>1.57218972E8</v>
      </c>
      <c r="EM30" s="28">
        <v>2.98343346E8</v>
      </c>
      <c r="EN30" s="27"/>
      <c r="EO30" s="28">
        <v>4.3095E8</v>
      </c>
      <c r="EP30" s="28">
        <v>-2.3519148E7</v>
      </c>
      <c r="EQ30" s="28">
        <v>4.08865568E8</v>
      </c>
      <c r="ER30" s="28">
        <v>2.725585556E9</v>
      </c>
      <c r="ES30" s="28">
        <v>2.569932924E9</v>
      </c>
      <c r="ET30" s="28">
        <v>2.0902832994E10</v>
      </c>
      <c r="EU30" s="28"/>
      <c r="EV30" s="28">
        <v>1.27136047E8</v>
      </c>
      <c r="EW30" s="28"/>
      <c r="EX30" s="28">
        <v>1.382944613E9</v>
      </c>
      <c r="EY30" s="28">
        <v>6.14669238E8</v>
      </c>
      <c r="EZ30" s="28">
        <v>1.377838695E9</v>
      </c>
      <c r="FA30" s="28">
        <v>1.97410776E8</v>
      </c>
      <c r="FB30" s="27"/>
      <c r="FC30" s="28">
        <v>8.95259808E8</v>
      </c>
      <c r="FD30" s="28">
        <v>1.81962763E8</v>
      </c>
      <c r="FE30" s="27"/>
      <c r="FF30" s="28">
        <v>2.64355873E8</v>
      </c>
      <c r="FG30" s="28">
        <v>2631125.0</v>
      </c>
      <c r="FH30" s="27"/>
      <c r="FI30" s="28">
        <v>1.48707E8</v>
      </c>
      <c r="FJ30" s="28">
        <v>2.29171663E8</v>
      </c>
      <c r="FK30" s="27"/>
      <c r="FL30" s="27"/>
      <c r="FM30" s="27"/>
      <c r="FN30" s="28">
        <v>660000.0</v>
      </c>
      <c r="FO30" s="28">
        <v>1.53709462E8</v>
      </c>
      <c r="FP30" s="27"/>
      <c r="FQ30" s="28">
        <v>7.18487575E8</v>
      </c>
      <c r="FR30" s="28">
        <v>1.394006119E9</v>
      </c>
      <c r="FS30" s="27"/>
      <c r="FT30" s="27"/>
      <c r="FU30" s="27"/>
      <c r="FV30" s="28">
        <v>2.2284482E8</v>
      </c>
      <c r="FW30" s="28">
        <v>4.61815205E8</v>
      </c>
      <c r="FX30" s="28">
        <v>6500000.0</v>
      </c>
      <c r="FY30" s="27"/>
      <c r="FZ30" s="28">
        <v>1.77532845E8</v>
      </c>
      <c r="GA30" s="28">
        <v>7.20452385E8</v>
      </c>
      <c r="GB30" s="28">
        <v>7.8231218E7</v>
      </c>
      <c r="GC30" s="28">
        <v>4.7186297E7</v>
      </c>
      <c r="GD30" s="28">
        <v>2.6341201E7</v>
      </c>
      <c r="GE30" s="28">
        <v>5.16929704E8</v>
      </c>
      <c r="GF30" s="28">
        <v>1.3414749E7</v>
      </c>
      <c r="GG30" s="28">
        <v>3.4735E7</v>
      </c>
      <c r="GH30" s="28">
        <v>8.758283E7</v>
      </c>
      <c r="GI30" s="28">
        <v>5.005E8</v>
      </c>
      <c r="GJ30" s="28">
        <v>5627414.0</v>
      </c>
      <c r="GK30" s="28">
        <v>1.55839622E8</v>
      </c>
      <c r="GL30" s="28">
        <v>6.8295865E7</v>
      </c>
      <c r="GM30" s="62">
        <v>2.48151334323E11</v>
      </c>
      <c r="GN30" s="27"/>
      <c r="GO30" s="27"/>
      <c r="GP30" s="27"/>
      <c r="GQ30" s="28">
        <v>3.32257997E8</v>
      </c>
      <c r="GR30" s="28">
        <v>1.790769991E9</v>
      </c>
      <c r="GS30" s="28">
        <v>6686671.0</v>
      </c>
      <c r="GT30" s="28">
        <v>1.85085473E8</v>
      </c>
      <c r="GU30" s="28">
        <v>6.07732201E8</v>
      </c>
      <c r="GV30" s="28">
        <v>3.89920142E8</v>
      </c>
      <c r="GW30" s="28">
        <v>1.76948009E8</v>
      </c>
      <c r="GX30" s="28">
        <v>1.840428578E9</v>
      </c>
      <c r="GY30" s="28">
        <v>3.439528473E9</v>
      </c>
      <c r="GZ30" s="28">
        <v>3.788407453E9</v>
      </c>
      <c r="HA30" s="27"/>
      <c r="HB30" s="27"/>
      <c r="HC30" s="28">
        <v>2.72211059E8</v>
      </c>
      <c r="HD30" s="27"/>
      <c r="HE30" s="27"/>
      <c r="HF30" s="28">
        <v>1.126772498E9</v>
      </c>
      <c r="HG30" s="28">
        <v>2.56607778E8</v>
      </c>
      <c r="HH30" s="28">
        <v>4.95280243E8</v>
      </c>
      <c r="HI30" s="28">
        <v>3140000.0</v>
      </c>
      <c r="HJ30" s="28">
        <v>2.22448144E8</v>
      </c>
      <c r="HK30" s="28">
        <v>5.1327187E7</v>
      </c>
      <c r="HL30" s="27"/>
      <c r="HM30" s="27"/>
      <c r="HN30" s="28">
        <v>1.9001779E7</v>
      </c>
      <c r="HO30" s="28">
        <v>3.50645684E8</v>
      </c>
      <c r="HP30" s="28">
        <v>3.8170917E7</v>
      </c>
      <c r="HQ30" s="28">
        <v>2.314646421E9</v>
      </c>
      <c r="HR30" s="28">
        <v>9.0846198E7</v>
      </c>
      <c r="HS30" s="28">
        <v>3.3708877E7</v>
      </c>
      <c r="HT30" s="28">
        <v>7.88115527E8</v>
      </c>
      <c r="HU30" s="28">
        <v>6.78973136E8</v>
      </c>
      <c r="HV30" s="28">
        <v>4.994975E7</v>
      </c>
      <c r="HW30" s="28">
        <v>2.25E8</v>
      </c>
      <c r="HX30" s="28">
        <v>3.71301216E8</v>
      </c>
      <c r="HY30" s="28">
        <v>6.027814E7</v>
      </c>
      <c r="HZ30" s="28">
        <v>1.05394586E8</v>
      </c>
      <c r="IA30" s="28">
        <v>5.2867698E7</v>
      </c>
      <c r="IB30" s="28">
        <v>1.5697598E7</v>
      </c>
      <c r="IC30" s="28">
        <v>1.49587792E8</v>
      </c>
      <c r="ID30" s="28">
        <v>1.86012837E8</v>
      </c>
      <c r="IE30" s="28">
        <v>1.00348843E8</v>
      </c>
      <c r="IF30" s="28">
        <v>3.3400054E7</v>
      </c>
      <c r="IG30" s="28">
        <v>1.3726184E8</v>
      </c>
      <c r="IH30" s="28">
        <v>6.6879456E7</v>
      </c>
      <c r="II30" s="27"/>
      <c r="IJ30" s="27"/>
      <c r="IK30" s="28">
        <v>2.0765709E7</v>
      </c>
      <c r="IL30" s="28">
        <v>2.7959285E7</v>
      </c>
      <c r="IM30" s="28">
        <v>9.82782963E8</v>
      </c>
      <c r="IN30" s="28">
        <v>5.23980357E8</v>
      </c>
      <c r="IO30" s="28">
        <v>5.1294519E7</v>
      </c>
      <c r="IP30" s="28">
        <v>3.01581456E8</v>
      </c>
      <c r="IQ30" s="28">
        <v>3290000.0</v>
      </c>
      <c r="IR30" s="27"/>
      <c r="IS30" s="28">
        <v>2.3576614E7</v>
      </c>
      <c r="IT30" s="28">
        <v>1.31558559E8</v>
      </c>
      <c r="IU30" s="28">
        <v>1.2025641E8</v>
      </c>
      <c r="IV30" s="28">
        <v>4250000.0</v>
      </c>
      <c r="IW30" s="27"/>
      <c r="IX30" s="28">
        <v>2.6375E7</v>
      </c>
      <c r="IY30" s="27"/>
      <c r="IZ30" s="27"/>
      <c r="JA30" s="28"/>
      <c r="JB30" s="28">
        <v>2.32258037E8</v>
      </c>
      <c r="JC30" s="27"/>
      <c r="JD30" s="27"/>
      <c r="JE30" s="28">
        <v>1.9750266E7</v>
      </c>
      <c r="JF30" s="27"/>
      <c r="JG30" s="27"/>
      <c r="JH30" s="28">
        <v>5.8713153E7</v>
      </c>
      <c r="JI30" s="28">
        <v>1.5054354E7</v>
      </c>
      <c r="JJ30" s="27"/>
      <c r="JK30" s="28">
        <v>3.4775E7</v>
      </c>
      <c r="JL30" s="27"/>
      <c r="JM30" s="28">
        <v>3.955037148E9</v>
      </c>
      <c r="JN30" s="28">
        <v>1.13957469E8</v>
      </c>
      <c r="JO30" s="28">
        <v>6.3450826E7</v>
      </c>
      <c r="JP30" s="28">
        <v>3.45421731E8</v>
      </c>
      <c r="JQ30" s="28">
        <v>1.90903876E8</v>
      </c>
      <c r="JR30" s="28">
        <v>3.6E7</v>
      </c>
      <c r="JS30" s="28">
        <v>2.3632048E8</v>
      </c>
      <c r="JT30" s="62">
        <v>2.8372953456E10</v>
      </c>
      <c r="JU30" s="27"/>
      <c r="JV30" s="27"/>
      <c r="JW30" s="28">
        <v>4.709337138E9</v>
      </c>
      <c r="JX30" s="28">
        <v>4.38295E8</v>
      </c>
      <c r="JY30" s="28">
        <v>5.22742762E8</v>
      </c>
      <c r="JZ30" s="62">
        <v>5.6703749E9</v>
      </c>
      <c r="KA30" s="27"/>
      <c r="KB30" s="27"/>
      <c r="KC30" s="28">
        <v>4.16729428E8</v>
      </c>
      <c r="KD30" s="62">
        <v>4.16729428E8</v>
      </c>
      <c r="KE30" s="27"/>
      <c r="KF30" s="27"/>
      <c r="KG30" s="28">
        <v>1.23493489E8</v>
      </c>
      <c r="KH30" s="28">
        <v>5.9946917E7</v>
      </c>
      <c r="KI30" s="28">
        <v>1.948713265E9</v>
      </c>
      <c r="KJ30" s="28">
        <v>4.96765E7</v>
      </c>
      <c r="KK30" s="28">
        <v>41486.0</v>
      </c>
      <c r="KL30" s="28">
        <v>5.25966156E8</v>
      </c>
      <c r="KM30" s="28"/>
      <c r="KN30" s="62">
        <v>2.707837813E9</v>
      </c>
      <c r="KO30" s="27"/>
      <c r="KP30" s="27"/>
      <c r="KQ30" s="28">
        <v>7.9593399E7</v>
      </c>
      <c r="KR30" s="28">
        <v>1.3841578924E10</v>
      </c>
      <c r="KS30" s="27"/>
      <c r="KT30" s="28">
        <v>9.25357436E8</v>
      </c>
      <c r="KU30" s="27"/>
      <c r="KV30" s="28">
        <v>1.081802774E9</v>
      </c>
      <c r="KW30" s="28">
        <v>142463.0</v>
      </c>
      <c r="KX30" s="28">
        <v>2.9455908E7</v>
      </c>
      <c r="KY30" s="27"/>
      <c r="KZ30" s="28">
        <v>2.896885678E9</v>
      </c>
      <c r="LA30" s="27"/>
      <c r="LB30" s="28">
        <v>1.7466925E8</v>
      </c>
      <c r="LC30" s="28">
        <v>9633631.0</v>
      </c>
      <c r="LD30" s="27"/>
      <c r="LE30" s="62">
        <v>2.1746957277E10</v>
      </c>
      <c r="LF30" s="27"/>
      <c r="LG30" s="27"/>
      <c r="LH30" s="28">
        <v>8123461.0</v>
      </c>
      <c r="LI30" s="28">
        <v>8123461.0</v>
      </c>
      <c r="LJ30" s="62">
        <f t="shared" si="2"/>
        <v>56207015061</v>
      </c>
      <c r="LK30" s="110"/>
    </row>
    <row r="31">
      <c r="A31" s="49" t="s">
        <v>3</v>
      </c>
      <c r="B31" s="146">
        <v>4.00929809822E11</v>
      </c>
      <c r="C31" s="146">
        <v>3.12813499415E11</v>
      </c>
      <c r="D31" s="147">
        <v>8.8116310407E10</v>
      </c>
      <c r="E31" s="146"/>
      <c r="F31" s="146">
        <v>3.197098933E10</v>
      </c>
      <c r="G31" s="146">
        <v>6.442913853E9</v>
      </c>
      <c r="H31" s="146">
        <v>5.21883037E8</v>
      </c>
      <c r="I31" s="147">
        <v>3.8935786221E10</v>
      </c>
      <c r="J31" s="147">
        <v>4.9180524186E10</v>
      </c>
      <c r="K31" s="146"/>
      <c r="L31" s="146">
        <v>2.955733046E9</v>
      </c>
      <c r="M31" s="146">
        <v>2.1120427118E10</v>
      </c>
      <c r="N31" s="147">
        <v>-1.8164694072E10</v>
      </c>
      <c r="O31" s="146"/>
      <c r="P31" s="146">
        <v>3.1015830114E10</v>
      </c>
      <c r="Q31" s="146">
        <v>8123461.0</v>
      </c>
      <c r="R31" s="146"/>
      <c r="S31" s="146">
        <v>8123461.0</v>
      </c>
      <c r="T31" s="53">
        <v>3.1007706653E10</v>
      </c>
      <c r="U31" s="27"/>
      <c r="V31" s="28"/>
      <c r="W31" s="27"/>
      <c r="X31" s="62">
        <v>3.1007706653E10</v>
      </c>
      <c r="Y31" s="27"/>
      <c r="AB31" s="27"/>
      <c r="AC31" s="27"/>
      <c r="AD31" s="28">
        <v>2.6449313884E10</v>
      </c>
      <c r="AE31" s="28">
        <v>1.14222708267E11</v>
      </c>
      <c r="AF31" s="28">
        <v>2.493348844E9</v>
      </c>
      <c r="AG31" s="110">
        <v>-1.35609003E8</v>
      </c>
      <c r="AH31" s="28">
        <v>3.770977936E9</v>
      </c>
      <c r="AI31" s="28">
        <v>8.6952512893E10</v>
      </c>
      <c r="AJ31" s="27"/>
      <c r="AK31" s="27"/>
      <c r="AL31" s="28">
        <v>1.4449173958E10</v>
      </c>
      <c r="AM31" s="28">
        <v>1.7263915379E10</v>
      </c>
      <c r="AN31" s="62">
        <v>2.65466342159E11</v>
      </c>
      <c r="AO31" s="27"/>
      <c r="AP31" s="27"/>
      <c r="AQ31" s="28">
        <v>1.35246210726E11</v>
      </c>
      <c r="AR31" s="28">
        <v>7.089517186E9</v>
      </c>
      <c r="AS31" s="27"/>
      <c r="AT31" s="27"/>
      <c r="AU31" s="28">
        <v>3.097471E9</v>
      </c>
      <c r="AV31" s="63">
        <v>1.45433198911E11</v>
      </c>
      <c r="AW31" s="62">
        <v>4.10899541071E11</v>
      </c>
      <c r="AX31" s="27"/>
      <c r="AY31" s="27"/>
      <c r="AZ31" s="27"/>
      <c r="BA31" s="28">
        <v>2.2607963166E10</v>
      </c>
      <c r="BB31" s="27"/>
      <c r="BC31" s="27"/>
      <c r="BD31" s="27"/>
      <c r="BE31" s="28">
        <v>1.2112195121E10</v>
      </c>
      <c r="BF31" s="28">
        <v>7.74032498E8</v>
      </c>
      <c r="BG31" s="27"/>
      <c r="BH31" s="27"/>
      <c r="BI31" s="28">
        <v>1.96895005E8</v>
      </c>
      <c r="BJ31" s="27"/>
      <c r="BK31" s="61">
        <v>1.96058597022E11</v>
      </c>
      <c r="BL31" s="62">
        <v>2.31749682812E11</v>
      </c>
      <c r="BM31" s="27"/>
      <c r="BN31" s="28">
        <v>1.8272650705E10</v>
      </c>
      <c r="BO31" s="27"/>
      <c r="BP31" s="27"/>
      <c r="BQ31" s="28">
        <v>1.0210870193E10</v>
      </c>
      <c r="BR31" s="27"/>
      <c r="BS31" s="63">
        <v>2.8483520898E10</v>
      </c>
      <c r="BT31" s="62">
        <v>2.60233203709E11</v>
      </c>
      <c r="BU31" s="27"/>
      <c r="BV31" s="28">
        <v>6.8245E10</v>
      </c>
      <c r="BW31" s="27"/>
      <c r="BX31" s="28">
        <v>3.1007706653E10</v>
      </c>
      <c r="BY31" s="28">
        <v>5.0176612716E10</v>
      </c>
      <c r="BZ31" s="28">
        <v>-3.110625307E9</v>
      </c>
      <c r="CA31" s="27"/>
      <c r="CB31" s="28">
        <v>4.3476433E9</v>
      </c>
      <c r="CC31" s="63">
        <v>1.50666337362E11</v>
      </c>
      <c r="CD31" s="63">
        <v>4.10899541071E11</v>
      </c>
      <c r="CF31" s="49" t="s">
        <v>3</v>
      </c>
      <c r="CG31" s="28">
        <v>3.1007706653E10</v>
      </c>
      <c r="CH31" s="27"/>
      <c r="CI31" s="27"/>
      <c r="CJ31" s="28">
        <v>5.762210682E9</v>
      </c>
      <c r="CK31" s="28">
        <v>-1.366988488E9</v>
      </c>
      <c r="CL31" s="27"/>
      <c r="CM31" s="27"/>
      <c r="CN31" s="28">
        <v>-6.1727828177E10</v>
      </c>
      <c r="CO31" s="28">
        <v>-2.493348844E9</v>
      </c>
      <c r="CP31" s="28">
        <v>6.12122779E9</v>
      </c>
      <c r="CQ31" s="28">
        <v>1.4546755886E10</v>
      </c>
      <c r="CR31" s="28">
        <v>-1.7241979967E10</v>
      </c>
      <c r="CS31" s="28">
        <v>-1.7574582318E10</v>
      </c>
      <c r="CT31" s="27"/>
      <c r="CU31" s="28">
        <v>3.28139359E8</v>
      </c>
      <c r="CV31" s="27"/>
      <c r="CW31" s="28">
        <v>1.3144105386E10</v>
      </c>
      <c r="CX31" s="28">
        <v>-5.3627575E9</v>
      </c>
      <c r="CY31" s="28">
        <v>-2.2419081E7</v>
      </c>
      <c r="CZ31" s="27"/>
      <c r="DA31" s="62">
        <v>-3.4879758619E10</v>
      </c>
      <c r="DB31" s="27"/>
      <c r="DC31" s="28">
        <v>-1.4015383214E10</v>
      </c>
      <c r="DD31" s="27"/>
      <c r="DE31" s="27"/>
      <c r="DF31" s="62">
        <v>-1.4015383214E10</v>
      </c>
      <c r="DG31" s="27"/>
      <c r="DH31" s="28">
        <v>2.51547814E10</v>
      </c>
      <c r="DI31" s="27"/>
      <c r="DJ31" s="62">
        <v>2.51547814E10</v>
      </c>
      <c r="DK31" s="62">
        <v>-2.3740360433E10</v>
      </c>
      <c r="DL31" s="28">
        <v>5.0189674314E10</v>
      </c>
      <c r="DM31" s="62">
        <v>2.6449313881E10</v>
      </c>
      <c r="DP31" s="64"/>
      <c r="DQ31" s="49" t="s">
        <v>3</v>
      </c>
      <c r="DR31" s="28">
        <v>4.01645650098E11</v>
      </c>
      <c r="DS31" s="27"/>
      <c r="DT31" s="28">
        <v>-2.03630624E8</v>
      </c>
      <c r="DU31" s="28">
        <v>-5.12209653E8</v>
      </c>
      <c r="DV31" s="62">
        <v>4.00929809822E11</v>
      </c>
      <c r="DW31" s="27"/>
      <c r="DX31" s="27"/>
      <c r="DY31" s="28"/>
      <c r="DZ31" s="28">
        <v>2.61015572948E11</v>
      </c>
      <c r="EA31" s="28">
        <v>4.213248E9</v>
      </c>
      <c r="EB31" s="27"/>
      <c r="EC31" s="27"/>
      <c r="ED31" s="27"/>
      <c r="EE31" s="28">
        <v>2.157149903E9</v>
      </c>
      <c r="EF31" s="28">
        <v>7.3878133E7</v>
      </c>
      <c r="EG31" s="28">
        <v>1.15673514E8</v>
      </c>
      <c r="EH31" s="28">
        <v>7.9824004E7</v>
      </c>
      <c r="EI31" s="28">
        <v>7.862293E7</v>
      </c>
      <c r="EJ31" s="28">
        <v>1.67615302E8</v>
      </c>
      <c r="EK31" s="28">
        <v>2.5481648E7</v>
      </c>
      <c r="EL31" s="28">
        <v>1.61141587E8</v>
      </c>
      <c r="EM31" s="28">
        <v>3.44278095E8</v>
      </c>
      <c r="EN31" s="27"/>
      <c r="EO31" s="28">
        <v>4.8225E8</v>
      </c>
      <c r="EP31" s="28">
        <v>-3.8298997E7</v>
      </c>
      <c r="EQ31" s="28">
        <v>2.54243226E8</v>
      </c>
      <c r="ER31" s="28">
        <v>3.12593047E9</v>
      </c>
      <c r="ES31" s="28">
        <v>2.734084777E9</v>
      </c>
      <c r="ET31" s="28">
        <v>1.7133642663E10</v>
      </c>
      <c r="EU31" s="28">
        <v>7.590489071E9</v>
      </c>
      <c r="EV31" s="28">
        <v>1.2938751E8</v>
      </c>
      <c r="EW31" s="28"/>
      <c r="EX31" s="28">
        <v>1.824630899E9</v>
      </c>
      <c r="EY31" s="28">
        <v>6.80787894E8</v>
      </c>
      <c r="EZ31" s="28">
        <v>1.571225293E9</v>
      </c>
      <c r="FA31" s="28">
        <v>2.23958878E8</v>
      </c>
      <c r="FB31" s="27"/>
      <c r="FC31" s="28">
        <v>1.05640276E9</v>
      </c>
      <c r="FD31" s="28">
        <v>1.99347895E8</v>
      </c>
      <c r="FE31" s="27"/>
      <c r="FF31" s="28">
        <v>2.77042101E8</v>
      </c>
      <c r="FG31" s="28">
        <v>2.2424875E7</v>
      </c>
      <c r="FH31" s="27"/>
      <c r="FI31" s="28">
        <v>1.74327E8</v>
      </c>
      <c r="FJ31" s="28">
        <v>2.52193263E8</v>
      </c>
      <c r="FK31" s="27"/>
      <c r="FL31" s="27"/>
      <c r="FM31" s="27"/>
      <c r="FN31" s="28">
        <v>660000.0</v>
      </c>
      <c r="FO31" s="28">
        <v>1.85547912E8</v>
      </c>
      <c r="FP31" s="27"/>
      <c r="FQ31" s="28">
        <v>7.4501704E8</v>
      </c>
      <c r="FR31" s="28">
        <v>1.721200642E9</v>
      </c>
      <c r="FS31" s="27"/>
      <c r="FT31" s="27"/>
      <c r="FU31" s="27"/>
      <c r="FV31" s="28">
        <v>3.5165102E8</v>
      </c>
      <c r="FW31" s="28">
        <v>6.57754754E8</v>
      </c>
      <c r="FX31" s="28">
        <v>2.2355186E7</v>
      </c>
      <c r="FY31" s="27"/>
      <c r="FZ31" s="28">
        <v>1.77532845E8</v>
      </c>
      <c r="GA31" s="28">
        <v>1.062355773E9</v>
      </c>
      <c r="GB31" s="28">
        <v>7.9354505E7</v>
      </c>
      <c r="GC31" s="28">
        <v>4.9038804E7</v>
      </c>
      <c r="GD31" s="28">
        <v>7.2209517E7</v>
      </c>
      <c r="GE31" s="28">
        <v>6.48378696E8</v>
      </c>
      <c r="GF31" s="28">
        <v>2.2666515E7</v>
      </c>
      <c r="GG31" s="28">
        <v>3.7735E7</v>
      </c>
      <c r="GH31" s="28">
        <v>1.03306308E8</v>
      </c>
      <c r="GI31" s="28">
        <v>5.005E8</v>
      </c>
      <c r="GJ31" s="28">
        <v>6411198.0</v>
      </c>
      <c r="GK31" s="28">
        <v>1.55839622E8</v>
      </c>
      <c r="GL31" s="28">
        <v>8.7428434E7</v>
      </c>
      <c r="GM31" s="62">
        <v>3.12813499415E11</v>
      </c>
      <c r="GN31" s="27"/>
      <c r="GO31" s="27"/>
      <c r="GP31" s="27"/>
      <c r="GQ31" s="28">
        <v>3.89565669E8</v>
      </c>
      <c r="GR31" s="28">
        <v>2.016273805E9</v>
      </c>
      <c r="GS31" s="28">
        <v>7198831.0</v>
      </c>
      <c r="GT31" s="28">
        <v>2.01242973E8</v>
      </c>
      <c r="GU31" s="28">
        <v>6.83945634E8</v>
      </c>
      <c r="GV31" s="28">
        <v>4.40785943E8</v>
      </c>
      <c r="GW31" s="28">
        <v>1.9906651E8</v>
      </c>
      <c r="GX31" s="28">
        <v>2.071727699E9</v>
      </c>
      <c r="GY31" s="28">
        <v>3.789081239E9</v>
      </c>
      <c r="GZ31" s="28">
        <v>4.263813316E9</v>
      </c>
      <c r="HA31" s="27"/>
      <c r="HB31" s="27"/>
      <c r="HC31" s="28">
        <v>2.99886047E8</v>
      </c>
      <c r="HD31" s="27"/>
      <c r="HE31" s="27"/>
      <c r="HF31" s="28">
        <v>1.309255568E9</v>
      </c>
      <c r="HG31" s="28">
        <v>2.89495498E8</v>
      </c>
      <c r="HH31" s="28">
        <v>5.59296921E8</v>
      </c>
      <c r="HI31" s="28">
        <v>3220000.0</v>
      </c>
      <c r="HJ31" s="28">
        <v>2.5497478E8</v>
      </c>
      <c r="HK31" s="28">
        <v>5.1327187E7</v>
      </c>
      <c r="HL31" s="28">
        <v>3750000.0</v>
      </c>
      <c r="HM31" s="27"/>
      <c r="HN31" s="28">
        <v>1.9001779E7</v>
      </c>
      <c r="HO31" s="28">
        <v>4.07378082E8</v>
      </c>
      <c r="HP31" s="28">
        <v>4.2595477E7</v>
      </c>
      <c r="HQ31" s="28">
        <v>2.537414313E9</v>
      </c>
      <c r="HR31" s="28">
        <v>9.9914463E7</v>
      </c>
      <c r="HS31" s="28">
        <v>7.3238369E7</v>
      </c>
      <c r="HT31" s="28">
        <v>8.7292306E8</v>
      </c>
      <c r="HU31" s="28">
        <v>6.91073136E8</v>
      </c>
      <c r="HV31" s="28">
        <v>4.994975E7</v>
      </c>
      <c r="HW31" s="28">
        <v>2.3E8</v>
      </c>
      <c r="HX31" s="28">
        <v>3.71301216E8</v>
      </c>
      <c r="HY31" s="28">
        <v>6.9455169E7</v>
      </c>
      <c r="HZ31" s="28">
        <v>1.2932114E8</v>
      </c>
      <c r="IA31" s="28">
        <v>5.3157448E7</v>
      </c>
      <c r="IB31" s="28">
        <v>1.6480098E7</v>
      </c>
      <c r="IC31" s="28">
        <v>1.69996744E8</v>
      </c>
      <c r="ID31" s="28">
        <v>1.99955718E8</v>
      </c>
      <c r="IE31" s="28">
        <v>1.11935377E8</v>
      </c>
      <c r="IF31" s="28">
        <v>3.6997454E7</v>
      </c>
      <c r="IG31" s="28">
        <v>1.7171714E8</v>
      </c>
      <c r="IH31" s="28">
        <v>6.6879456E7</v>
      </c>
      <c r="II31" s="27"/>
      <c r="IJ31" s="27"/>
      <c r="IK31" s="28">
        <v>2.0765709E7</v>
      </c>
      <c r="IL31" s="28">
        <v>3.005053E7</v>
      </c>
      <c r="IM31" s="28">
        <v>1.117899565E9</v>
      </c>
      <c r="IN31" s="28">
        <v>5.41101571E8</v>
      </c>
      <c r="IO31" s="28">
        <v>1.27794519E8</v>
      </c>
      <c r="IP31" s="28">
        <v>3.01581456E8</v>
      </c>
      <c r="IQ31" s="28">
        <v>3290000.0</v>
      </c>
      <c r="IR31" s="27"/>
      <c r="IS31" s="28">
        <v>2.3576614E7</v>
      </c>
      <c r="IT31" s="28">
        <v>1.54801803E8</v>
      </c>
      <c r="IU31" s="28">
        <v>1.2025641E8</v>
      </c>
      <c r="IV31" s="28">
        <v>4250000.0</v>
      </c>
      <c r="IW31" s="27"/>
      <c r="IX31" s="28">
        <v>2.8821E8</v>
      </c>
      <c r="IY31" s="27"/>
      <c r="IZ31" s="27"/>
      <c r="JA31" s="28"/>
      <c r="JB31" s="28">
        <v>2.47150253E8</v>
      </c>
      <c r="JC31" s="27"/>
      <c r="JD31" s="27"/>
      <c r="JE31" s="28">
        <v>1.9750266E7</v>
      </c>
      <c r="JF31" s="27"/>
      <c r="JG31" s="27"/>
      <c r="JH31" s="28">
        <v>6.6052297E7</v>
      </c>
      <c r="JI31" s="28">
        <v>1.5054354E7</v>
      </c>
      <c r="JJ31" s="27"/>
      <c r="JK31" s="28">
        <v>3.4775E7</v>
      </c>
      <c r="JL31" s="27"/>
      <c r="JM31" s="28">
        <v>4.503964299E9</v>
      </c>
      <c r="JN31" s="28">
        <v>1.13957469E8</v>
      </c>
      <c r="JO31" s="28">
        <v>8.6198671E7</v>
      </c>
      <c r="JP31" s="28">
        <v>3.93204181E8</v>
      </c>
      <c r="JQ31" s="28">
        <v>1.90903876E8</v>
      </c>
      <c r="JR31" s="28">
        <v>4.05E7</v>
      </c>
      <c r="JS31" s="28">
        <v>2.7130748E8</v>
      </c>
      <c r="JT31" s="62">
        <v>3.197098933E10</v>
      </c>
      <c r="JU31" s="27"/>
      <c r="JV31" s="27"/>
      <c r="JW31" s="28">
        <v>5.244581573E9</v>
      </c>
      <c r="JX31" s="28">
        <v>5.59795E8</v>
      </c>
      <c r="JY31" s="28">
        <v>6.3853728E8</v>
      </c>
      <c r="JZ31" s="62">
        <v>6.442913853E9</v>
      </c>
      <c r="KA31" s="27"/>
      <c r="KB31" s="27"/>
      <c r="KC31" s="28">
        <v>5.21883037E8</v>
      </c>
      <c r="KD31" s="62">
        <v>5.21883037E8</v>
      </c>
      <c r="KE31" s="27"/>
      <c r="KF31" s="27"/>
      <c r="KG31" s="28">
        <v>1.47168669E8</v>
      </c>
      <c r="KH31" s="28">
        <v>2.28508997E8</v>
      </c>
      <c r="KI31" s="28">
        <v>2.00301613E9</v>
      </c>
      <c r="KJ31" s="28">
        <v>5.02765E7</v>
      </c>
      <c r="KK31" s="28">
        <v>796595.0</v>
      </c>
      <c r="KL31" s="28">
        <v>5.25966156E8</v>
      </c>
      <c r="KM31" s="27"/>
      <c r="KN31" s="62">
        <v>2.955733046E9</v>
      </c>
      <c r="KO31" s="27"/>
      <c r="KP31" s="27"/>
      <c r="KQ31" s="28">
        <v>9.5948321E7</v>
      </c>
      <c r="KR31" s="28">
        <v>1.5738533942E10</v>
      </c>
      <c r="KS31" s="27"/>
      <c r="KT31" s="28">
        <v>1.019857436E9</v>
      </c>
      <c r="KU31" s="27"/>
      <c r="KV31" s="28">
        <v>1.081802774E9</v>
      </c>
      <c r="KW31" s="28">
        <v>144311.0</v>
      </c>
      <c r="KX31" s="28">
        <v>3.3593428E7</v>
      </c>
      <c r="KY31" s="27"/>
      <c r="KZ31" s="28">
        <v>2.946885678E9</v>
      </c>
      <c r="LA31" s="27"/>
      <c r="LB31" s="28">
        <v>1.7466925E8</v>
      </c>
      <c r="LC31" s="28">
        <v>2.8991979E7</v>
      </c>
      <c r="LD31" s="27"/>
      <c r="LE31" s="62">
        <v>2.1120427118E10</v>
      </c>
      <c r="LF31" s="27"/>
      <c r="LG31" s="27"/>
      <c r="LH31" s="28">
        <v>8123461.0</v>
      </c>
      <c r="LI31" s="28">
        <v>8123461.0</v>
      </c>
      <c r="LJ31" s="62">
        <f t="shared" si="2"/>
        <v>60056213338</v>
      </c>
      <c r="LK31" s="110"/>
    </row>
    <row r="32">
      <c r="A32" s="49" t="s">
        <v>322</v>
      </c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50"/>
      <c r="U32" s="27"/>
      <c r="V32" s="28"/>
      <c r="W32" s="27"/>
      <c r="X32" s="27"/>
      <c r="Y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F32" s="49" t="s">
        <v>322</v>
      </c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P32" s="64"/>
      <c r="DQ32" s="49" t="s">
        <v>322</v>
      </c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8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27"/>
      <c r="JD32" s="27"/>
      <c r="JE32" s="27"/>
      <c r="JF32" s="27"/>
      <c r="JG32" s="27"/>
      <c r="JH32" s="27"/>
      <c r="JI32" s="27"/>
      <c r="JJ32" s="27"/>
      <c r="JK32" s="27"/>
      <c r="JL32" s="27"/>
      <c r="JM32" s="27"/>
      <c r="JN32" s="27"/>
      <c r="JO32" s="27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27"/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27"/>
      <c r="KY32" s="27"/>
      <c r="KZ32" s="27"/>
      <c r="LA32" s="27"/>
      <c r="LB32" s="27"/>
      <c r="LC32" s="27"/>
      <c r="LD32" s="27"/>
      <c r="LE32" s="15"/>
      <c r="LF32" s="27"/>
      <c r="LG32" s="27"/>
      <c r="LH32" s="27"/>
      <c r="LI32" s="27"/>
      <c r="LJ32" s="62">
        <f t="shared" si="2"/>
        <v>0</v>
      </c>
      <c r="LK32" s="110"/>
    </row>
    <row r="33">
      <c r="A33" s="49" t="s">
        <v>323</v>
      </c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50"/>
      <c r="U33" s="27"/>
      <c r="V33" s="28"/>
      <c r="W33" s="27"/>
      <c r="X33" s="27"/>
      <c r="Y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F33" s="49" t="s">
        <v>323</v>
      </c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P33" s="64"/>
      <c r="DQ33" s="49" t="s">
        <v>323</v>
      </c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8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27"/>
      <c r="JD33" s="27"/>
      <c r="JE33" s="27"/>
      <c r="JF33" s="27"/>
      <c r="JG33" s="27"/>
      <c r="JH33" s="27"/>
      <c r="JI33" s="27"/>
      <c r="JJ33" s="27"/>
      <c r="JK33" s="27"/>
      <c r="JL33" s="27"/>
      <c r="JM33" s="27"/>
      <c r="JN33" s="27"/>
      <c r="JO33" s="27"/>
      <c r="JP33" s="27"/>
      <c r="JQ33" s="27"/>
      <c r="JR33" s="27"/>
      <c r="JS33" s="27"/>
      <c r="JT33" s="27"/>
      <c r="JU33" s="27"/>
      <c r="JV33" s="27"/>
      <c r="JW33" s="27"/>
      <c r="JX33" s="27"/>
      <c r="JY33" s="27"/>
      <c r="JZ33" s="27"/>
      <c r="KA33" s="27"/>
      <c r="KB33" s="27"/>
      <c r="KC33" s="27"/>
      <c r="KD33" s="27"/>
      <c r="KE33" s="27"/>
      <c r="KF33" s="27"/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S33" s="27"/>
      <c r="KT33" s="27"/>
      <c r="KU33" s="27"/>
      <c r="KV33" s="27"/>
      <c r="KW33" s="27"/>
      <c r="KX33" s="27"/>
      <c r="KY33" s="27"/>
      <c r="KZ33" s="27"/>
      <c r="LA33" s="27"/>
      <c r="LB33" s="27"/>
      <c r="LC33" s="27"/>
      <c r="LD33" s="27"/>
      <c r="LE33" s="15"/>
      <c r="LF33" s="27"/>
      <c r="LG33" s="27"/>
      <c r="LH33" s="27"/>
      <c r="LI33" s="27"/>
      <c r="LJ33" s="62">
        <f t="shared" si="2"/>
        <v>0</v>
      </c>
      <c r="LK33" s="110"/>
    </row>
    <row r="34">
      <c r="A34" s="49" t="s">
        <v>324</v>
      </c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50"/>
      <c r="U34" s="27"/>
      <c r="V34" s="28"/>
      <c r="W34" s="27"/>
      <c r="X34" s="27"/>
      <c r="Y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F34" s="49" t="s">
        <v>324</v>
      </c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P34" s="64"/>
      <c r="DQ34" s="49" t="s">
        <v>324</v>
      </c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8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  <c r="IX34" s="27"/>
      <c r="IY34" s="27"/>
      <c r="IZ34" s="27"/>
      <c r="JA34" s="27"/>
      <c r="JB34" s="27"/>
      <c r="JC34" s="27"/>
      <c r="JD34" s="27"/>
      <c r="JE34" s="27"/>
      <c r="JF34" s="27"/>
      <c r="JG34" s="27"/>
      <c r="JH34" s="27"/>
      <c r="JI34" s="27"/>
      <c r="JJ34" s="27"/>
      <c r="JK34" s="27"/>
      <c r="JL34" s="27"/>
      <c r="JM34" s="27"/>
      <c r="JN34" s="27"/>
      <c r="JO34" s="27"/>
      <c r="JP34" s="27"/>
      <c r="JQ34" s="27"/>
      <c r="JR34" s="27"/>
      <c r="JS34" s="27"/>
      <c r="JT34" s="27"/>
      <c r="JU34" s="27"/>
      <c r="JV34" s="27"/>
      <c r="JW34" s="27"/>
      <c r="JX34" s="27"/>
      <c r="JY34" s="27"/>
      <c r="JZ34" s="27"/>
      <c r="KA34" s="27"/>
      <c r="KB34" s="27"/>
      <c r="KC34" s="27"/>
      <c r="KD34" s="27"/>
      <c r="KE34" s="27"/>
      <c r="KF34" s="27"/>
      <c r="KG34" s="27"/>
      <c r="KH34" s="27"/>
      <c r="KI34" s="27"/>
      <c r="KJ34" s="27"/>
      <c r="KK34" s="27"/>
      <c r="KL34" s="27"/>
      <c r="KM34" s="27"/>
      <c r="KN34" s="27"/>
      <c r="KO34" s="27"/>
      <c r="KP34" s="27"/>
      <c r="KQ34" s="27"/>
      <c r="KR34" s="27"/>
      <c r="KS34" s="27"/>
      <c r="KT34" s="27"/>
      <c r="KU34" s="27"/>
      <c r="KV34" s="27"/>
      <c r="KW34" s="27"/>
      <c r="KX34" s="27"/>
      <c r="KY34" s="27"/>
      <c r="KZ34" s="27"/>
      <c r="LA34" s="27"/>
      <c r="LB34" s="27"/>
      <c r="LC34" s="27"/>
      <c r="LD34" s="27"/>
      <c r="LE34" s="15"/>
      <c r="LF34" s="27"/>
      <c r="LG34" s="27"/>
      <c r="LH34" s="27"/>
      <c r="LI34" s="27"/>
      <c r="LJ34" s="62">
        <f t="shared" si="2"/>
        <v>0</v>
      </c>
      <c r="LK34" s="110"/>
    </row>
    <row r="35">
      <c r="A35" s="116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6"/>
      <c r="V35" s="118"/>
      <c r="W35" s="116"/>
      <c r="X35" s="116"/>
      <c r="Y35" s="116"/>
      <c r="Z35" s="116"/>
      <c r="AA35" s="116"/>
      <c r="AB35" s="116"/>
      <c r="AC35" s="116"/>
      <c r="AD35" s="116"/>
      <c r="AE35" s="119"/>
      <c r="AF35" s="116"/>
      <c r="AG35" s="116"/>
      <c r="AH35" s="116"/>
      <c r="AI35" s="116"/>
      <c r="AJ35" s="116"/>
      <c r="AK35" s="116"/>
      <c r="AL35" s="116"/>
      <c r="AM35" s="120"/>
      <c r="AN35" s="121"/>
      <c r="AO35" s="116"/>
      <c r="AP35" s="116"/>
      <c r="AQ35" s="116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  <c r="BM35" s="116"/>
      <c r="BN35" s="116"/>
      <c r="BO35" s="116"/>
      <c r="BP35" s="116"/>
      <c r="BQ35" s="116"/>
      <c r="BR35" s="116"/>
      <c r="BS35" s="116"/>
      <c r="BT35" s="121"/>
      <c r="BU35" s="116"/>
      <c r="BV35" s="116"/>
      <c r="BW35" s="116"/>
      <c r="BX35" s="116"/>
      <c r="BY35" s="116"/>
      <c r="BZ35" s="116"/>
      <c r="CA35" s="116"/>
      <c r="CB35" s="116"/>
      <c r="CC35" s="122"/>
      <c r="CD35" s="122"/>
      <c r="CE35" s="116"/>
      <c r="CF35" s="116"/>
      <c r="CG35" s="116"/>
      <c r="CH35" s="116"/>
      <c r="CI35" s="116"/>
      <c r="CJ35" s="116"/>
      <c r="CK35" s="116"/>
      <c r="CL35" s="116"/>
      <c r="CM35" s="116"/>
      <c r="CN35" s="116"/>
      <c r="CO35" s="116"/>
      <c r="CP35" s="116"/>
      <c r="CQ35" s="116"/>
      <c r="CR35" s="116"/>
      <c r="CS35" s="116"/>
      <c r="CT35" s="116"/>
      <c r="CU35" s="116"/>
      <c r="CV35" s="116"/>
      <c r="CW35" s="116"/>
      <c r="CX35" s="116"/>
      <c r="CY35" s="116"/>
      <c r="CZ35" s="116"/>
      <c r="DA35" s="116"/>
      <c r="DB35" s="116"/>
      <c r="DC35" s="116"/>
      <c r="DD35" s="116"/>
      <c r="DE35" s="116"/>
      <c r="DF35" s="116"/>
      <c r="DG35" s="116"/>
      <c r="DH35" s="116"/>
      <c r="DI35" s="116"/>
      <c r="DJ35" s="116"/>
      <c r="DK35" s="116"/>
      <c r="DL35" s="116"/>
      <c r="DM35" s="116"/>
      <c r="DN35" s="116"/>
      <c r="DO35" s="116"/>
      <c r="DP35" s="116"/>
      <c r="DQ35" s="116"/>
      <c r="DR35" s="116"/>
      <c r="DS35" s="116"/>
      <c r="DT35" s="116"/>
      <c r="DU35" s="116"/>
      <c r="DV35" s="116"/>
      <c r="DW35" s="116"/>
      <c r="DX35" s="116"/>
      <c r="DY35" s="116"/>
      <c r="DZ35" s="116"/>
      <c r="EA35" s="116"/>
      <c r="EB35" s="116"/>
      <c r="EC35" s="116"/>
      <c r="ED35" s="116"/>
      <c r="EE35" s="116"/>
      <c r="EF35" s="116"/>
      <c r="EG35" s="116"/>
      <c r="EH35" s="116"/>
      <c r="EI35" s="116"/>
      <c r="EJ35" s="116"/>
      <c r="EK35" s="116"/>
      <c r="EL35" s="116"/>
      <c r="EM35" s="116"/>
      <c r="EN35" s="116"/>
      <c r="EO35" s="116"/>
      <c r="EP35" s="116"/>
      <c r="EQ35" s="116"/>
      <c r="ER35" s="116"/>
      <c r="ES35" s="116"/>
      <c r="ET35" s="116"/>
      <c r="EU35" s="116"/>
      <c r="EV35" s="116"/>
      <c r="EW35" s="116"/>
      <c r="EX35" s="116"/>
      <c r="EY35" s="116"/>
      <c r="EZ35" s="116"/>
      <c r="FA35" s="116"/>
      <c r="FB35" s="116"/>
      <c r="FC35" s="116"/>
      <c r="FD35" s="116"/>
      <c r="FE35" s="116"/>
      <c r="FF35" s="116"/>
      <c r="FG35" s="116"/>
      <c r="FH35" s="116"/>
      <c r="FI35" s="116"/>
      <c r="FJ35" s="116"/>
      <c r="FK35" s="116"/>
      <c r="FL35" s="116"/>
      <c r="FM35" s="116"/>
      <c r="FN35" s="116"/>
      <c r="FO35" s="116"/>
      <c r="FP35" s="116"/>
      <c r="FQ35" s="116"/>
      <c r="FR35" s="116"/>
      <c r="FS35" s="116"/>
      <c r="FT35" s="116"/>
      <c r="FU35" s="116"/>
      <c r="FV35" s="116"/>
      <c r="FW35" s="116"/>
      <c r="FX35" s="116"/>
      <c r="FY35" s="116"/>
      <c r="FZ35" s="116"/>
      <c r="GA35" s="116"/>
      <c r="GB35" s="116"/>
      <c r="GC35" s="116"/>
      <c r="GD35" s="116"/>
      <c r="GE35" s="116"/>
      <c r="GF35" s="116"/>
      <c r="GG35" s="116"/>
      <c r="GH35" s="116"/>
      <c r="GI35" s="116"/>
      <c r="GJ35" s="116"/>
      <c r="GK35" s="116"/>
      <c r="GL35" s="116"/>
      <c r="GM35" s="118"/>
      <c r="GN35" s="116"/>
      <c r="GO35" s="116"/>
      <c r="GP35" s="116"/>
      <c r="GQ35" s="116"/>
      <c r="GR35" s="116"/>
      <c r="GS35" s="116"/>
      <c r="GT35" s="116"/>
      <c r="GU35" s="116"/>
      <c r="GV35" s="116"/>
      <c r="GW35" s="116"/>
      <c r="GX35" s="116"/>
      <c r="GY35" s="116"/>
      <c r="GZ35" s="116"/>
      <c r="HA35" s="116"/>
      <c r="HB35" s="116"/>
      <c r="HC35" s="116"/>
      <c r="HD35" s="116"/>
      <c r="HE35" s="116"/>
      <c r="HF35" s="116"/>
      <c r="HG35" s="116"/>
      <c r="HH35" s="116"/>
      <c r="HI35" s="116"/>
      <c r="HJ35" s="116"/>
      <c r="HK35" s="116"/>
      <c r="HL35" s="116"/>
      <c r="HM35" s="116"/>
      <c r="HN35" s="116"/>
      <c r="HO35" s="116"/>
      <c r="HP35" s="116"/>
      <c r="HQ35" s="116"/>
      <c r="HR35" s="116"/>
      <c r="HS35" s="116"/>
      <c r="HT35" s="116"/>
      <c r="HU35" s="116"/>
      <c r="HV35" s="116"/>
      <c r="HW35" s="116"/>
      <c r="HX35" s="116"/>
      <c r="HY35" s="116"/>
      <c r="HZ35" s="116"/>
      <c r="IA35" s="116"/>
      <c r="IB35" s="116"/>
      <c r="IC35" s="116"/>
      <c r="ID35" s="116"/>
      <c r="IE35" s="116"/>
      <c r="IF35" s="116"/>
      <c r="IG35" s="116"/>
      <c r="IH35" s="116"/>
      <c r="II35" s="116"/>
      <c r="IJ35" s="116"/>
      <c r="IK35" s="116"/>
      <c r="IL35" s="116"/>
      <c r="IM35" s="116"/>
      <c r="IN35" s="116"/>
      <c r="IO35" s="116"/>
      <c r="IP35" s="116"/>
      <c r="IQ35" s="116"/>
      <c r="IR35" s="116"/>
      <c r="IS35" s="116"/>
      <c r="IT35" s="116"/>
      <c r="IU35" s="116"/>
      <c r="IV35" s="116"/>
      <c r="IW35" s="116"/>
      <c r="IX35" s="116"/>
      <c r="IY35" s="116"/>
      <c r="IZ35" s="116"/>
      <c r="JA35" s="116"/>
      <c r="JB35" s="116"/>
      <c r="JC35" s="116"/>
      <c r="JD35" s="116"/>
      <c r="JE35" s="116"/>
      <c r="JF35" s="116"/>
      <c r="JG35" s="116"/>
      <c r="JH35" s="116"/>
      <c r="JI35" s="116"/>
      <c r="JJ35" s="116"/>
      <c r="JK35" s="116"/>
      <c r="JL35" s="116"/>
      <c r="JM35" s="116"/>
      <c r="JN35" s="116"/>
      <c r="JO35" s="116"/>
      <c r="JP35" s="116"/>
      <c r="JQ35" s="116"/>
      <c r="JR35" s="116"/>
      <c r="JS35" s="116"/>
      <c r="JT35" s="123"/>
      <c r="JU35" s="116"/>
      <c r="JV35" s="116"/>
      <c r="JW35" s="116"/>
      <c r="JX35" s="116"/>
      <c r="JY35" s="116"/>
      <c r="JZ35" s="116"/>
      <c r="KA35" s="116"/>
      <c r="KB35" s="116"/>
      <c r="KC35" s="116"/>
      <c r="KD35" s="116"/>
      <c r="KE35" s="116"/>
      <c r="KF35" s="116"/>
      <c r="KG35" s="116"/>
      <c r="KH35" s="116"/>
      <c r="KI35" s="116"/>
      <c r="KJ35" s="116"/>
      <c r="KK35" s="116"/>
      <c r="KL35" s="116"/>
      <c r="KM35" s="116"/>
      <c r="KN35" s="116"/>
      <c r="KO35" s="116"/>
      <c r="KP35" s="116"/>
      <c r="KQ35" s="116"/>
      <c r="KR35" s="116"/>
      <c r="KS35" s="116"/>
      <c r="KT35" s="116"/>
      <c r="KU35" s="116"/>
      <c r="KV35" s="116"/>
      <c r="KW35" s="116"/>
      <c r="KX35" s="116"/>
      <c r="KY35" s="116"/>
      <c r="KZ35" s="116"/>
      <c r="LA35" s="116"/>
      <c r="LB35" s="116"/>
      <c r="LC35" s="116"/>
      <c r="LD35" s="116"/>
      <c r="LE35" s="116"/>
      <c r="LF35" s="116"/>
      <c r="LG35" s="116"/>
      <c r="LH35" s="116"/>
      <c r="LI35" s="116"/>
      <c r="LJ35" s="116"/>
      <c r="LK35" s="116"/>
    </row>
    <row r="36">
      <c r="A36" s="116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6"/>
      <c r="V36" s="118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20"/>
      <c r="AN36" s="121"/>
      <c r="AO36" s="116"/>
      <c r="AP36" s="116"/>
      <c r="AQ36" s="116"/>
      <c r="AR36" s="116"/>
      <c r="AS36" s="116"/>
      <c r="AT36" s="116"/>
      <c r="AU36" s="116"/>
      <c r="AV36" s="116"/>
      <c r="AW36" s="116"/>
      <c r="AX36" s="116"/>
      <c r="AY36" s="116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  <c r="BT36" s="121"/>
      <c r="BU36" s="116"/>
      <c r="BV36" s="116"/>
      <c r="BW36" s="116"/>
      <c r="BX36" s="116"/>
      <c r="BY36" s="116"/>
      <c r="BZ36" s="116"/>
      <c r="CA36" s="116"/>
      <c r="CB36" s="116"/>
      <c r="CC36" s="122"/>
      <c r="CD36" s="122"/>
      <c r="CE36" s="116"/>
      <c r="CF36" s="116"/>
      <c r="CG36" s="116"/>
      <c r="CH36" s="116"/>
      <c r="CI36" s="116"/>
      <c r="CJ36" s="116"/>
      <c r="CK36" s="116"/>
      <c r="CL36" s="116"/>
      <c r="CM36" s="116"/>
      <c r="CN36" s="116"/>
      <c r="CO36" s="116"/>
      <c r="CP36" s="116"/>
      <c r="CQ36" s="116"/>
      <c r="CR36" s="116"/>
      <c r="CS36" s="116"/>
      <c r="CT36" s="116"/>
      <c r="CU36" s="116"/>
      <c r="CV36" s="116"/>
      <c r="CW36" s="116"/>
      <c r="CX36" s="116"/>
      <c r="CY36" s="116"/>
      <c r="CZ36" s="116"/>
      <c r="DA36" s="116"/>
      <c r="DB36" s="116"/>
      <c r="DC36" s="116"/>
      <c r="DD36" s="116"/>
      <c r="DE36" s="116"/>
      <c r="DF36" s="116"/>
      <c r="DG36" s="116"/>
      <c r="DH36" s="116"/>
      <c r="DI36" s="116"/>
      <c r="DJ36" s="116"/>
      <c r="DK36" s="116"/>
      <c r="DL36" s="116"/>
      <c r="DM36" s="116"/>
      <c r="DN36" s="116"/>
      <c r="DO36" s="116"/>
      <c r="DP36" s="116"/>
      <c r="DQ36" s="116"/>
      <c r="DR36" s="116"/>
      <c r="DS36" s="116"/>
      <c r="DT36" s="116"/>
      <c r="DU36" s="116"/>
      <c r="DV36" s="116"/>
      <c r="DW36" s="116"/>
      <c r="DX36" s="116"/>
      <c r="DY36" s="116"/>
      <c r="DZ36" s="116"/>
      <c r="EA36" s="116"/>
      <c r="EB36" s="116"/>
      <c r="EC36" s="116"/>
      <c r="ED36" s="116"/>
      <c r="EE36" s="116"/>
      <c r="EF36" s="116"/>
      <c r="EG36" s="116"/>
      <c r="EH36" s="116"/>
      <c r="EI36" s="116"/>
      <c r="EJ36" s="116"/>
      <c r="EK36" s="116"/>
      <c r="EL36" s="116"/>
      <c r="EM36" s="116"/>
      <c r="EN36" s="116"/>
      <c r="EO36" s="116"/>
      <c r="EP36" s="116"/>
      <c r="EQ36" s="116"/>
      <c r="ER36" s="116"/>
      <c r="ES36" s="116"/>
      <c r="ET36" s="116"/>
      <c r="EU36" s="116"/>
      <c r="EV36" s="116"/>
      <c r="EW36" s="116"/>
      <c r="EX36" s="116"/>
      <c r="EY36" s="116"/>
      <c r="EZ36" s="116"/>
      <c r="FA36" s="116"/>
      <c r="FB36" s="116"/>
      <c r="FC36" s="116"/>
      <c r="FD36" s="116"/>
      <c r="FE36" s="116"/>
      <c r="FF36" s="116"/>
      <c r="FG36" s="116"/>
      <c r="FH36" s="116"/>
      <c r="FI36" s="116"/>
      <c r="FJ36" s="116"/>
      <c r="FK36" s="116"/>
      <c r="FL36" s="116"/>
      <c r="FM36" s="116"/>
      <c r="FN36" s="116"/>
      <c r="FO36" s="116"/>
      <c r="FP36" s="116"/>
      <c r="FQ36" s="116"/>
      <c r="FR36" s="116"/>
      <c r="FS36" s="116"/>
      <c r="FT36" s="116"/>
      <c r="FU36" s="116"/>
      <c r="FV36" s="116"/>
      <c r="FW36" s="116"/>
      <c r="FX36" s="116"/>
      <c r="FY36" s="116"/>
      <c r="FZ36" s="116"/>
      <c r="GA36" s="116"/>
      <c r="GB36" s="116"/>
      <c r="GC36" s="116"/>
      <c r="GD36" s="116"/>
      <c r="GE36" s="116"/>
      <c r="GF36" s="116"/>
      <c r="GG36" s="116"/>
      <c r="GH36" s="116"/>
      <c r="GI36" s="116"/>
      <c r="GJ36" s="116"/>
      <c r="GK36" s="116"/>
      <c r="GL36" s="116"/>
      <c r="GM36" s="118"/>
      <c r="GN36" s="116"/>
      <c r="GO36" s="116"/>
      <c r="GP36" s="116"/>
      <c r="GQ36" s="116"/>
      <c r="GR36" s="116"/>
      <c r="GS36" s="116"/>
      <c r="GT36" s="116"/>
      <c r="GU36" s="116"/>
      <c r="GV36" s="116"/>
      <c r="GW36" s="116"/>
      <c r="GX36" s="116"/>
      <c r="GY36" s="116"/>
      <c r="GZ36" s="116"/>
      <c r="HA36" s="116"/>
      <c r="HB36" s="116"/>
      <c r="HC36" s="116"/>
      <c r="HD36" s="116"/>
      <c r="HE36" s="116"/>
      <c r="HF36" s="116"/>
      <c r="HG36" s="116"/>
      <c r="HH36" s="116"/>
      <c r="HI36" s="116"/>
      <c r="HJ36" s="116"/>
      <c r="HK36" s="116"/>
      <c r="HL36" s="116"/>
      <c r="HM36" s="116"/>
      <c r="HN36" s="116"/>
      <c r="HO36" s="116"/>
      <c r="HP36" s="116"/>
      <c r="HQ36" s="116"/>
      <c r="HR36" s="116"/>
      <c r="HS36" s="116"/>
      <c r="HT36" s="116"/>
      <c r="HU36" s="116"/>
      <c r="HV36" s="116"/>
      <c r="HW36" s="116"/>
      <c r="HX36" s="116"/>
      <c r="HY36" s="116"/>
      <c r="HZ36" s="116"/>
      <c r="IA36" s="116"/>
      <c r="IB36" s="116"/>
      <c r="IC36" s="116"/>
      <c r="ID36" s="116"/>
      <c r="IE36" s="116"/>
      <c r="IF36" s="116"/>
      <c r="IG36" s="116"/>
      <c r="IH36" s="116"/>
      <c r="II36" s="116"/>
      <c r="IJ36" s="116"/>
      <c r="IK36" s="116"/>
      <c r="IL36" s="116"/>
      <c r="IM36" s="116"/>
      <c r="IN36" s="116"/>
      <c r="IO36" s="116"/>
      <c r="IP36" s="116"/>
      <c r="IQ36" s="116"/>
      <c r="IR36" s="116"/>
      <c r="IS36" s="116"/>
      <c r="IT36" s="116"/>
      <c r="IU36" s="116"/>
      <c r="IV36" s="116"/>
      <c r="IW36" s="116"/>
      <c r="IX36" s="116"/>
      <c r="IY36" s="116"/>
      <c r="IZ36" s="116"/>
      <c r="JA36" s="116"/>
      <c r="JB36" s="116"/>
      <c r="JC36" s="116"/>
      <c r="JD36" s="116"/>
      <c r="JE36" s="116"/>
      <c r="JF36" s="116"/>
      <c r="JG36" s="116"/>
      <c r="JH36" s="116"/>
      <c r="JI36" s="116"/>
      <c r="JJ36" s="116"/>
      <c r="JK36" s="116"/>
      <c r="JL36" s="116"/>
      <c r="JM36" s="116"/>
      <c r="JN36" s="116"/>
      <c r="JO36" s="116"/>
      <c r="JP36" s="116"/>
      <c r="JQ36" s="116"/>
      <c r="JR36" s="116"/>
      <c r="JS36" s="116"/>
      <c r="JT36" s="123"/>
      <c r="JU36" s="116"/>
      <c r="JV36" s="116"/>
      <c r="JW36" s="116"/>
      <c r="JX36" s="116"/>
      <c r="JY36" s="116"/>
      <c r="JZ36" s="116"/>
      <c r="KA36" s="116"/>
      <c r="KB36" s="116"/>
      <c r="KC36" s="116"/>
      <c r="KD36" s="116"/>
      <c r="KE36" s="116"/>
      <c r="KF36" s="116"/>
      <c r="KG36" s="116"/>
      <c r="KH36" s="116"/>
      <c r="KI36" s="116"/>
      <c r="KJ36" s="116"/>
      <c r="KK36" s="116"/>
      <c r="KL36" s="116"/>
      <c r="KM36" s="116"/>
      <c r="KN36" s="116"/>
      <c r="KO36" s="116"/>
      <c r="KP36" s="116"/>
      <c r="KQ36" s="116"/>
      <c r="KR36" s="116"/>
      <c r="KS36" s="116"/>
      <c r="KT36" s="116"/>
      <c r="KU36" s="116"/>
      <c r="KV36" s="116"/>
      <c r="KW36" s="116"/>
      <c r="KX36" s="116"/>
      <c r="KY36" s="116"/>
      <c r="KZ36" s="116"/>
      <c r="LA36" s="116"/>
      <c r="LB36" s="116"/>
      <c r="LC36" s="116"/>
      <c r="LD36" s="116"/>
      <c r="LE36" s="116"/>
      <c r="LF36" s="116"/>
      <c r="LG36" s="116"/>
      <c r="LH36" s="116"/>
      <c r="LI36" s="116"/>
      <c r="LJ36" s="116"/>
      <c r="LK36" s="116"/>
    </row>
    <row r="37">
      <c r="A37" s="32" t="s">
        <v>347</v>
      </c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33"/>
      <c r="V37" s="126"/>
      <c r="W37" s="33"/>
      <c r="X37" s="33"/>
      <c r="Y37" s="33"/>
      <c r="Z37" s="33"/>
      <c r="AA37" s="33"/>
      <c r="AB37" s="32" t="s">
        <v>348</v>
      </c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2" t="s">
        <v>349</v>
      </c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2" t="s">
        <v>350</v>
      </c>
      <c r="DR37" s="32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</row>
    <row r="38" ht="55.5" customHeight="1">
      <c r="A38" s="132"/>
      <c r="B38" s="134" t="s">
        <v>19</v>
      </c>
      <c r="C38" s="134" t="s">
        <v>20</v>
      </c>
      <c r="D38" s="134" t="s">
        <v>21</v>
      </c>
      <c r="E38" s="134" t="s">
        <v>22</v>
      </c>
      <c r="F38" s="134" t="s">
        <v>23</v>
      </c>
      <c r="G38" s="134" t="s">
        <v>24</v>
      </c>
      <c r="H38" s="134" t="s">
        <v>25</v>
      </c>
      <c r="I38" s="134" t="s">
        <v>26</v>
      </c>
      <c r="J38" s="134" t="s">
        <v>27</v>
      </c>
      <c r="K38" s="134" t="s">
        <v>28</v>
      </c>
      <c r="L38" s="134" t="s">
        <v>29</v>
      </c>
      <c r="M38" s="134" t="s">
        <v>30</v>
      </c>
      <c r="N38" s="134" t="s">
        <v>31</v>
      </c>
      <c r="O38" s="134"/>
      <c r="P38" s="134" t="s">
        <v>32</v>
      </c>
      <c r="Q38" s="134" t="s">
        <v>351</v>
      </c>
      <c r="R38" s="134" t="s">
        <v>34</v>
      </c>
      <c r="S38" s="134" t="s">
        <v>35</v>
      </c>
      <c r="T38" s="134" t="s">
        <v>36</v>
      </c>
      <c r="U38" s="135" t="s">
        <v>37</v>
      </c>
      <c r="V38" s="134" t="s">
        <v>38</v>
      </c>
      <c r="W38" s="135" t="s">
        <v>39</v>
      </c>
      <c r="X38" s="135" t="s">
        <v>40</v>
      </c>
      <c r="Y38" s="136"/>
      <c r="AB38" s="38" t="s">
        <v>41</v>
      </c>
      <c r="AC38" s="38" t="s">
        <v>42</v>
      </c>
      <c r="AD38" s="38" t="s">
        <v>43</v>
      </c>
      <c r="AE38" s="38" t="s">
        <v>44</v>
      </c>
      <c r="AF38" s="38" t="s">
        <v>45</v>
      </c>
      <c r="AG38" s="38" t="s">
        <v>46</v>
      </c>
      <c r="AH38" s="38" t="s">
        <v>47</v>
      </c>
      <c r="AI38" s="38" t="s">
        <v>48</v>
      </c>
      <c r="AJ38" s="38" t="s">
        <v>49</v>
      </c>
      <c r="AK38" s="38" t="s">
        <v>50</v>
      </c>
      <c r="AL38" s="38" t="s">
        <v>51</v>
      </c>
      <c r="AM38" s="38" t="s">
        <v>52</v>
      </c>
      <c r="AN38" s="38" t="s">
        <v>53</v>
      </c>
      <c r="AO38" s="38" t="s">
        <v>54</v>
      </c>
      <c r="AP38" s="38" t="s">
        <v>55</v>
      </c>
      <c r="AQ38" s="38" t="s">
        <v>56</v>
      </c>
      <c r="AR38" s="38" t="s">
        <v>57</v>
      </c>
      <c r="AS38" s="38" t="s">
        <v>352</v>
      </c>
      <c r="AT38" s="38" t="s">
        <v>353</v>
      </c>
      <c r="AU38" s="38" t="s">
        <v>58</v>
      </c>
      <c r="AV38" s="38" t="s">
        <v>59</v>
      </c>
      <c r="AW38" s="38" t="s">
        <v>60</v>
      </c>
      <c r="AX38" s="38"/>
      <c r="AY38" s="38" t="s">
        <v>61</v>
      </c>
      <c r="AZ38" s="38" t="s">
        <v>62</v>
      </c>
      <c r="BA38" s="38" t="s">
        <v>63</v>
      </c>
      <c r="BB38" s="38"/>
      <c r="BC38" s="38" t="s">
        <v>64</v>
      </c>
      <c r="BD38" s="40" t="s">
        <v>65</v>
      </c>
      <c r="BE38" s="38" t="s">
        <v>66</v>
      </c>
      <c r="BF38" s="38" t="s">
        <v>67</v>
      </c>
      <c r="BG38" s="38" t="s">
        <v>354</v>
      </c>
      <c r="BH38" s="38" t="s">
        <v>355</v>
      </c>
      <c r="BI38" s="38" t="s">
        <v>68</v>
      </c>
      <c r="BJ38" s="38" t="s">
        <v>69</v>
      </c>
      <c r="BK38" s="38" t="s">
        <v>70</v>
      </c>
      <c r="BL38" s="38" t="s">
        <v>71</v>
      </c>
      <c r="BM38" s="38" t="s">
        <v>72</v>
      </c>
      <c r="BN38" s="38" t="s">
        <v>73</v>
      </c>
      <c r="BO38" s="38" t="s">
        <v>74</v>
      </c>
      <c r="BP38" s="38" t="s">
        <v>75</v>
      </c>
      <c r="BQ38" s="38" t="s">
        <v>76</v>
      </c>
      <c r="BR38" s="38" t="s">
        <v>77</v>
      </c>
      <c r="BS38" s="38" t="s">
        <v>78</v>
      </c>
      <c r="BT38" s="38" t="s">
        <v>79</v>
      </c>
      <c r="BU38" s="38" t="s">
        <v>80</v>
      </c>
      <c r="BV38" s="38" t="s">
        <v>81</v>
      </c>
      <c r="BW38" s="38" t="s">
        <v>82</v>
      </c>
      <c r="BX38" s="38" t="s">
        <v>83</v>
      </c>
      <c r="BY38" s="38" t="s">
        <v>84</v>
      </c>
      <c r="BZ38" s="38" t="s">
        <v>85</v>
      </c>
      <c r="CA38" s="38" t="s">
        <v>86</v>
      </c>
      <c r="CB38" s="38" t="s">
        <v>87</v>
      </c>
      <c r="CC38" s="38" t="s">
        <v>88</v>
      </c>
      <c r="CD38" s="38" t="s">
        <v>89</v>
      </c>
      <c r="CF38" s="41"/>
      <c r="CG38" s="41" t="s">
        <v>90</v>
      </c>
      <c r="CH38" s="41" t="s">
        <v>91</v>
      </c>
      <c r="CI38" s="41" t="s">
        <v>92</v>
      </c>
      <c r="CJ38" s="41" t="s">
        <v>93</v>
      </c>
      <c r="CK38" s="41" t="s">
        <v>94</v>
      </c>
      <c r="CL38" s="41"/>
      <c r="CM38" s="41" t="s">
        <v>95</v>
      </c>
      <c r="CN38" s="41" t="s">
        <v>96</v>
      </c>
      <c r="CO38" s="41" t="s">
        <v>45</v>
      </c>
      <c r="CP38" s="41" t="s">
        <v>97</v>
      </c>
      <c r="CQ38" s="41" t="s">
        <v>98</v>
      </c>
      <c r="CR38" s="41" t="s">
        <v>99</v>
      </c>
      <c r="CS38" s="41" t="s">
        <v>48</v>
      </c>
      <c r="CT38" s="41" t="s">
        <v>100</v>
      </c>
      <c r="CU38" s="41" t="s">
        <v>101</v>
      </c>
      <c r="CV38" s="41" t="s">
        <v>102</v>
      </c>
      <c r="CW38" s="41" t="s">
        <v>103</v>
      </c>
      <c r="CX38" s="41" t="s">
        <v>67</v>
      </c>
      <c r="CY38" s="41" t="s">
        <v>104</v>
      </c>
      <c r="CZ38" s="41" t="s">
        <v>105</v>
      </c>
      <c r="DA38" s="41" t="s">
        <v>107</v>
      </c>
      <c r="DB38" s="41" t="s">
        <v>108</v>
      </c>
      <c r="DC38" s="41" t="s">
        <v>109</v>
      </c>
      <c r="DD38" s="41" t="s">
        <v>110</v>
      </c>
      <c r="DE38" s="41" t="s">
        <v>111</v>
      </c>
      <c r="DF38" s="41" t="s">
        <v>112</v>
      </c>
      <c r="DG38" s="41" t="s">
        <v>113</v>
      </c>
      <c r="DH38" s="41" t="s">
        <v>114</v>
      </c>
      <c r="DI38" s="41" t="s">
        <v>115</v>
      </c>
      <c r="DJ38" s="41" t="s">
        <v>116</v>
      </c>
      <c r="DK38" s="41" t="s">
        <v>117</v>
      </c>
      <c r="DL38" s="41" t="s">
        <v>118</v>
      </c>
      <c r="DM38" s="41" t="s">
        <v>119</v>
      </c>
      <c r="DQ38" s="43"/>
      <c r="DR38" s="43" t="s">
        <v>356</v>
      </c>
      <c r="DS38" s="44" t="s">
        <v>357</v>
      </c>
      <c r="DT38" s="43" t="s">
        <v>120</v>
      </c>
      <c r="DU38" s="43" t="s">
        <v>121</v>
      </c>
      <c r="DV38" s="43" t="s">
        <v>122</v>
      </c>
      <c r="DW38" s="43"/>
      <c r="DX38" s="43" t="s">
        <v>123</v>
      </c>
      <c r="DY38" s="43" t="s">
        <v>124</v>
      </c>
      <c r="DZ38" s="44" t="s">
        <v>125</v>
      </c>
      <c r="EA38" s="43" t="s">
        <v>126</v>
      </c>
      <c r="EB38" s="44" t="s">
        <v>358</v>
      </c>
      <c r="EC38" s="43" t="s">
        <v>359</v>
      </c>
      <c r="ED38" s="44" t="s">
        <v>360</v>
      </c>
      <c r="EE38" s="43" t="s">
        <v>127</v>
      </c>
      <c r="EF38" s="43" t="s">
        <v>128</v>
      </c>
      <c r="EG38" s="43" t="s">
        <v>129</v>
      </c>
      <c r="EH38" s="43" t="s">
        <v>130</v>
      </c>
      <c r="EI38" s="43" t="s">
        <v>131</v>
      </c>
      <c r="EJ38" s="43" t="s">
        <v>132</v>
      </c>
      <c r="EK38" s="43" t="s">
        <v>133</v>
      </c>
      <c r="EL38" s="43" t="s">
        <v>134</v>
      </c>
      <c r="EM38" s="43" t="s">
        <v>135</v>
      </c>
      <c r="EN38" s="44" t="s">
        <v>361</v>
      </c>
      <c r="EO38" s="43" t="s">
        <v>136</v>
      </c>
      <c r="EP38" s="43" t="s">
        <v>137</v>
      </c>
      <c r="EQ38" s="43" t="s">
        <v>138</v>
      </c>
      <c r="ER38" s="43" t="s">
        <v>139</v>
      </c>
      <c r="ES38" s="43" t="s">
        <v>140</v>
      </c>
      <c r="ET38" s="43" t="s">
        <v>141</v>
      </c>
      <c r="EU38" s="43"/>
      <c r="EV38" s="43" t="s">
        <v>143</v>
      </c>
      <c r="EW38" s="43" t="s">
        <v>144</v>
      </c>
      <c r="EX38" s="44" t="s">
        <v>145</v>
      </c>
      <c r="EY38" s="43" t="s">
        <v>146</v>
      </c>
      <c r="EZ38" s="43" t="s">
        <v>147</v>
      </c>
      <c r="FA38" s="43" t="s">
        <v>148</v>
      </c>
      <c r="FB38" s="44" t="s">
        <v>362</v>
      </c>
      <c r="FC38" s="43" t="s">
        <v>149</v>
      </c>
      <c r="FD38" s="43" t="s">
        <v>151</v>
      </c>
      <c r="FE38" s="44" t="s">
        <v>363</v>
      </c>
      <c r="FF38" s="43" t="s">
        <v>152</v>
      </c>
      <c r="FG38" s="43" t="s">
        <v>153</v>
      </c>
      <c r="FH38" s="43" t="s">
        <v>364</v>
      </c>
      <c r="FI38" s="43" t="s">
        <v>154</v>
      </c>
      <c r="FJ38" s="43" t="s">
        <v>155</v>
      </c>
      <c r="FK38" s="44" t="s">
        <v>156</v>
      </c>
      <c r="FL38" s="44" t="s">
        <v>157</v>
      </c>
      <c r="FM38" s="44" t="s">
        <v>158</v>
      </c>
      <c r="FN38" s="43" t="s">
        <v>159</v>
      </c>
      <c r="FO38" s="43" t="s">
        <v>160</v>
      </c>
      <c r="FP38" s="44" t="s">
        <v>365</v>
      </c>
      <c r="FQ38" s="43" t="s">
        <v>161</v>
      </c>
      <c r="FR38" s="43" t="s">
        <v>162</v>
      </c>
      <c r="FS38" s="44" t="s">
        <v>366</v>
      </c>
      <c r="FT38" s="44" t="s">
        <v>367</v>
      </c>
      <c r="FU38" s="43" t="s">
        <v>368</v>
      </c>
      <c r="FV38" s="43" t="s">
        <v>163</v>
      </c>
      <c r="FW38" s="43" t="s">
        <v>164</v>
      </c>
      <c r="FX38" s="46" t="s">
        <v>165</v>
      </c>
      <c r="FY38" s="43" t="s">
        <v>369</v>
      </c>
      <c r="FZ38" s="43" t="s">
        <v>167</v>
      </c>
      <c r="GA38" s="43" t="s">
        <v>168</v>
      </c>
      <c r="GB38" s="43" t="s">
        <v>169</v>
      </c>
      <c r="GC38" s="43" t="s">
        <v>170</v>
      </c>
      <c r="GD38" s="43" t="s">
        <v>171</v>
      </c>
      <c r="GE38" s="43" t="s">
        <v>172</v>
      </c>
      <c r="GF38" s="43" t="s">
        <v>173</v>
      </c>
      <c r="GG38" s="43" t="s">
        <v>174</v>
      </c>
      <c r="GH38" s="43" t="s">
        <v>175</v>
      </c>
      <c r="GI38" s="43" t="s">
        <v>176</v>
      </c>
      <c r="GJ38" s="47" t="s">
        <v>177</v>
      </c>
      <c r="GK38" s="43" t="s">
        <v>178</v>
      </c>
      <c r="GL38" s="43" t="s">
        <v>179</v>
      </c>
      <c r="GM38" s="43" t="s">
        <v>180</v>
      </c>
      <c r="GN38" s="43"/>
      <c r="GO38" s="43" t="s">
        <v>181</v>
      </c>
      <c r="GP38" s="44" t="s">
        <v>370</v>
      </c>
      <c r="GQ38" s="43" t="s">
        <v>182</v>
      </c>
      <c r="GR38" s="43" t="s">
        <v>183</v>
      </c>
      <c r="GS38" s="43" t="s">
        <v>184</v>
      </c>
      <c r="GT38" s="43" t="s">
        <v>185</v>
      </c>
      <c r="GU38" s="43" t="s">
        <v>186</v>
      </c>
      <c r="GV38" s="43" t="s">
        <v>187</v>
      </c>
      <c r="GW38" s="43" t="s">
        <v>188</v>
      </c>
      <c r="GX38" s="43" t="s">
        <v>189</v>
      </c>
      <c r="GY38" s="43" t="s">
        <v>190</v>
      </c>
      <c r="GZ38" s="43" t="s">
        <v>191</v>
      </c>
      <c r="HA38" s="44" t="s">
        <v>371</v>
      </c>
      <c r="HB38" s="44" t="s">
        <v>372</v>
      </c>
      <c r="HC38" s="43" t="s">
        <v>192</v>
      </c>
      <c r="HD38" s="44" t="s">
        <v>373</v>
      </c>
      <c r="HE38" s="44" t="s">
        <v>374</v>
      </c>
      <c r="HF38" s="47" t="s">
        <v>194</v>
      </c>
      <c r="HG38" s="43" t="s">
        <v>195</v>
      </c>
      <c r="HH38" s="43" t="s">
        <v>196</v>
      </c>
      <c r="HI38" s="43" t="s">
        <v>197</v>
      </c>
      <c r="HJ38" s="43" t="s">
        <v>198</v>
      </c>
      <c r="HK38" s="43" t="s">
        <v>199</v>
      </c>
      <c r="HL38" s="43" t="s">
        <v>200</v>
      </c>
      <c r="HM38" s="44" t="s">
        <v>201</v>
      </c>
      <c r="HN38" s="43" t="s">
        <v>202</v>
      </c>
      <c r="HO38" s="43" t="s">
        <v>203</v>
      </c>
      <c r="HP38" s="43" t="s">
        <v>204</v>
      </c>
      <c r="HQ38" s="43" t="s">
        <v>205</v>
      </c>
      <c r="HR38" s="43" t="s">
        <v>206</v>
      </c>
      <c r="HS38" s="43" t="s">
        <v>207</v>
      </c>
      <c r="HT38" s="43" t="s">
        <v>208</v>
      </c>
      <c r="HU38" s="43" t="s">
        <v>209</v>
      </c>
      <c r="HV38" s="43" t="s">
        <v>210</v>
      </c>
      <c r="HW38" s="43" t="s">
        <v>211</v>
      </c>
      <c r="HX38" s="43" t="s">
        <v>212</v>
      </c>
      <c r="HY38" s="43" t="s">
        <v>213</v>
      </c>
      <c r="HZ38" s="43" t="s">
        <v>214</v>
      </c>
      <c r="IA38" s="43" t="s">
        <v>215</v>
      </c>
      <c r="IB38" s="43" t="s">
        <v>216</v>
      </c>
      <c r="IC38" s="43" t="s">
        <v>217</v>
      </c>
      <c r="ID38" s="43" t="s">
        <v>218</v>
      </c>
      <c r="IE38" s="43" t="s">
        <v>219</v>
      </c>
      <c r="IF38" s="43" t="s">
        <v>220</v>
      </c>
      <c r="IG38" s="43" t="s">
        <v>221</v>
      </c>
      <c r="IH38" s="43" t="s">
        <v>222</v>
      </c>
      <c r="II38" s="44" t="s">
        <v>375</v>
      </c>
      <c r="IJ38" s="44" t="s">
        <v>376</v>
      </c>
      <c r="IK38" s="43" t="s">
        <v>223</v>
      </c>
      <c r="IL38" s="43" t="s">
        <v>224</v>
      </c>
      <c r="IM38" s="43" t="s">
        <v>225</v>
      </c>
      <c r="IN38" s="43" t="s">
        <v>226</v>
      </c>
      <c r="IO38" s="43" t="s">
        <v>228</v>
      </c>
      <c r="IP38" s="43" t="s">
        <v>229</v>
      </c>
      <c r="IQ38" s="43" t="s">
        <v>230</v>
      </c>
      <c r="IR38" s="44" t="s">
        <v>231</v>
      </c>
      <c r="IS38" s="43" t="s">
        <v>232</v>
      </c>
      <c r="IT38" s="43" t="s">
        <v>233</v>
      </c>
      <c r="IU38" s="43" t="s">
        <v>234</v>
      </c>
      <c r="IV38" s="43" t="s">
        <v>235</v>
      </c>
      <c r="IW38" s="43" t="s">
        <v>236</v>
      </c>
      <c r="IX38" s="43" t="s">
        <v>237</v>
      </c>
      <c r="IY38" s="44" t="s">
        <v>238</v>
      </c>
      <c r="IZ38" s="44" t="s">
        <v>239</v>
      </c>
      <c r="JA38" s="43" t="s">
        <v>240</v>
      </c>
      <c r="JB38" s="43" t="s">
        <v>241</v>
      </c>
      <c r="JC38" s="44" t="s">
        <v>242</v>
      </c>
      <c r="JD38" s="44" t="s">
        <v>243</v>
      </c>
      <c r="JE38" s="43" t="s">
        <v>244</v>
      </c>
      <c r="JF38" s="44" t="s">
        <v>377</v>
      </c>
      <c r="JG38" s="43" t="s">
        <v>378</v>
      </c>
      <c r="JH38" s="43" t="s">
        <v>245</v>
      </c>
      <c r="JI38" s="43" t="s">
        <v>246</v>
      </c>
      <c r="JJ38" s="44" t="s">
        <v>247</v>
      </c>
      <c r="JK38" s="43" t="s">
        <v>248</v>
      </c>
      <c r="JL38" s="43" t="s">
        <v>249</v>
      </c>
      <c r="JM38" s="43" t="s">
        <v>250</v>
      </c>
      <c r="JN38" s="43" t="s">
        <v>251</v>
      </c>
      <c r="JO38" s="43" t="s">
        <v>252</v>
      </c>
      <c r="JP38" s="43" t="s">
        <v>253</v>
      </c>
      <c r="JQ38" s="43" t="s">
        <v>254</v>
      </c>
      <c r="JR38" s="43" t="s">
        <v>255</v>
      </c>
      <c r="JS38" s="43" t="s">
        <v>256</v>
      </c>
      <c r="JT38" s="43" t="s">
        <v>257</v>
      </c>
      <c r="JU38" s="43"/>
      <c r="JV38" s="43" t="s">
        <v>258</v>
      </c>
      <c r="JW38" s="43" t="s">
        <v>259</v>
      </c>
      <c r="JX38" s="43" t="s">
        <v>260</v>
      </c>
      <c r="JY38" s="43" t="s">
        <v>261</v>
      </c>
      <c r="JZ38" s="43" t="s">
        <v>262</v>
      </c>
      <c r="KA38" s="43"/>
      <c r="KB38" s="43" t="s">
        <v>263</v>
      </c>
      <c r="KC38" s="43" t="s">
        <v>25</v>
      </c>
      <c r="KD38" s="43" t="s">
        <v>265</v>
      </c>
      <c r="KE38" s="43"/>
      <c r="KF38" s="43" t="s">
        <v>266</v>
      </c>
      <c r="KG38" s="43" t="s">
        <v>267</v>
      </c>
      <c r="KH38" s="43" t="s">
        <v>268</v>
      </c>
      <c r="KI38" s="43" t="s">
        <v>269</v>
      </c>
      <c r="KJ38" s="43" t="s">
        <v>270</v>
      </c>
      <c r="KK38" s="43" t="s">
        <v>271</v>
      </c>
      <c r="KL38" s="43" t="s">
        <v>272</v>
      </c>
      <c r="KM38" s="43" t="s">
        <v>273</v>
      </c>
      <c r="KN38" s="43" t="s">
        <v>274</v>
      </c>
      <c r="KO38" s="43"/>
      <c r="KP38" s="43" t="s">
        <v>275</v>
      </c>
      <c r="KQ38" s="43" t="s">
        <v>276</v>
      </c>
      <c r="KR38" s="43" t="s">
        <v>277</v>
      </c>
      <c r="KS38" s="43"/>
      <c r="KT38" s="43" t="s">
        <v>278</v>
      </c>
      <c r="KU38" s="44" t="s">
        <v>379</v>
      </c>
      <c r="KV38" s="43" t="s">
        <v>279</v>
      </c>
      <c r="KW38" s="43" t="s">
        <v>280</v>
      </c>
      <c r="KX38" s="43" t="s">
        <v>281</v>
      </c>
      <c r="KY38" s="43" t="s">
        <v>282</v>
      </c>
      <c r="KZ38" s="43" t="s">
        <v>283</v>
      </c>
      <c r="LA38" s="44" t="s">
        <v>380</v>
      </c>
      <c r="LB38" s="43" t="s">
        <v>284</v>
      </c>
      <c r="LC38" s="43" t="s">
        <v>285</v>
      </c>
      <c r="LD38" s="44" t="s">
        <v>381</v>
      </c>
      <c r="LE38" s="43" t="s">
        <v>286</v>
      </c>
      <c r="LF38" s="43"/>
      <c r="LG38" s="43" t="s">
        <v>287</v>
      </c>
      <c r="LH38" s="43" t="s">
        <v>33</v>
      </c>
      <c r="LI38" s="43" t="s">
        <v>288</v>
      </c>
      <c r="LJ38" s="43" t="s">
        <v>289</v>
      </c>
      <c r="LK38" s="139"/>
    </row>
    <row r="39">
      <c r="A39" s="49" t="s">
        <v>291</v>
      </c>
      <c r="B39" s="173">
        <v>1.62822473506945E10</v>
      </c>
      <c r="C39" s="174">
        <v>1.09742155780712E10</v>
      </c>
      <c r="D39" s="53">
        <f t="shared" ref="D39:D44" si="4">B39-C39</f>
        <v>5308031773</v>
      </c>
      <c r="E39" s="146"/>
      <c r="F39" s="146">
        <v>2.47100734704366E9</v>
      </c>
      <c r="G39" s="146">
        <v>3.26990352E8</v>
      </c>
      <c r="H39" s="146">
        <v>1.0409485E8</v>
      </c>
      <c r="I39" s="53">
        <f t="shared" ref="I39:I44" si="5">SUM(F39:H39)</f>
        <v>2902092549</v>
      </c>
      <c r="J39" s="53">
        <f t="shared" ref="J39:J44" si="6">D39-I39</f>
        <v>2405939224</v>
      </c>
      <c r="K39" s="146"/>
      <c r="L39" s="146">
        <v>4.3551311517806E8</v>
      </c>
      <c r="M39" s="146">
        <v>9.6965154E8</v>
      </c>
      <c r="N39" s="52">
        <f t="shared" ref="N39:N44" si="7">L39-M39</f>
        <v>-534138424.8</v>
      </c>
      <c r="O39" s="146"/>
      <c r="P39" s="53">
        <f t="shared" ref="P39:P44" si="8">J39+N39</f>
        <v>1871800799</v>
      </c>
      <c r="Q39" s="146"/>
      <c r="R39" s="146"/>
      <c r="S39" s="146"/>
      <c r="T39" s="53">
        <f t="shared" ref="T39:T42" si="9">P39-S39</f>
        <v>1871800799</v>
      </c>
      <c r="U39" s="27"/>
      <c r="V39" s="28"/>
      <c r="W39" s="27"/>
      <c r="X39" s="53">
        <f t="shared" ref="X39:X44" si="10">T39+W39</f>
        <v>1871800799</v>
      </c>
      <c r="Y39" s="27"/>
      <c r="AB39" s="27"/>
      <c r="AC39" s="27"/>
      <c r="AD39" s="28">
        <v>6.934687663E9</v>
      </c>
      <c r="AE39" s="28">
        <v>2.4209033718E10</v>
      </c>
      <c r="AF39" s="28"/>
      <c r="AG39" s="28">
        <v>-3.25897486E8</v>
      </c>
      <c r="AH39" s="28">
        <v>1.2907665333E10</v>
      </c>
      <c r="AI39" s="28">
        <v>6.4943539712E10</v>
      </c>
      <c r="AJ39" s="27" t="s">
        <v>295</v>
      </c>
      <c r="AK39" s="28"/>
      <c r="AL39" s="28">
        <v>1.504419972E10</v>
      </c>
      <c r="AM39" s="28">
        <v>8.45226242E9</v>
      </c>
      <c r="AN39" s="62">
        <v>1.32165491081E11</v>
      </c>
      <c r="AO39" s="27"/>
      <c r="AP39" s="27" t="s">
        <v>295</v>
      </c>
      <c r="AQ39" s="28">
        <v>1.18879140171E11</v>
      </c>
      <c r="AR39" s="28">
        <v>5.795752389E9</v>
      </c>
      <c r="AS39" s="28"/>
      <c r="AT39" s="28"/>
      <c r="AU39" s="28">
        <v>1.712002768E9</v>
      </c>
      <c r="AV39" s="62">
        <v>1.26386895329E11</v>
      </c>
      <c r="AW39" s="62">
        <v>2.58552386409E11</v>
      </c>
      <c r="AX39" s="27"/>
      <c r="AY39" s="27"/>
      <c r="AZ39" s="27"/>
      <c r="BA39" s="28">
        <v>9.703929204E9</v>
      </c>
      <c r="BB39" s="175"/>
      <c r="BC39" s="175" t="s">
        <v>295</v>
      </c>
      <c r="BD39" s="175" t="s">
        <v>295</v>
      </c>
      <c r="BE39" s="28">
        <v>3.864906863E9</v>
      </c>
      <c r="BF39" s="28">
        <v>2.54960082E8</v>
      </c>
      <c r="BG39" s="28"/>
      <c r="BH39" s="28"/>
      <c r="BI39" s="28">
        <v>1.40564848E8</v>
      </c>
      <c r="BJ39" s="27" t="s">
        <v>295</v>
      </c>
      <c r="BK39" s="28">
        <v>1.16342758486E11</v>
      </c>
      <c r="BL39" s="28">
        <v>1.30307119483E11</v>
      </c>
      <c r="BM39" s="27"/>
      <c r="BN39" s="28">
        <v>7.176083875E9</v>
      </c>
      <c r="BO39" s="28">
        <v>9929000.0</v>
      </c>
      <c r="BP39" s="27"/>
      <c r="BQ39" s="28">
        <v>7.16731881E9</v>
      </c>
      <c r="BR39" s="27" t="s">
        <v>295</v>
      </c>
      <c r="BS39" s="28">
        <v>1.4353331685E10</v>
      </c>
      <c r="BT39" s="28">
        <v>1.44660451168E11</v>
      </c>
      <c r="BU39" s="27"/>
      <c r="BV39" s="28">
        <v>6.8245E10</v>
      </c>
      <c r="BW39" s="27" t="s">
        <v>295</v>
      </c>
      <c r="BX39" s="28">
        <v>1.871800799E9</v>
      </c>
      <c r="BY39" s="28">
        <v>4.1337870802E10</v>
      </c>
      <c r="BZ39" s="28">
        <v>-5.4180596E8</v>
      </c>
      <c r="CA39" s="27" t="s">
        <v>295</v>
      </c>
      <c r="CB39" s="28">
        <v>2.9790696E9</v>
      </c>
      <c r="CC39" s="28">
        <v>1.13891935241E11</v>
      </c>
      <c r="CD39" s="28">
        <v>2.58552386409E11</v>
      </c>
      <c r="CF39" s="49" t="s">
        <v>291</v>
      </c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P39" s="64"/>
      <c r="DQ39" s="49" t="s">
        <v>291</v>
      </c>
      <c r="DR39" s="28">
        <v>1.5971412502E10</v>
      </c>
      <c r="DS39" s="28">
        <v>1.6282305719E10</v>
      </c>
      <c r="DT39" s="27"/>
      <c r="DU39" s="27"/>
      <c r="DV39" s="62">
        <v>3.2253718221E10</v>
      </c>
      <c r="DW39" s="28"/>
      <c r="DX39" s="27"/>
      <c r="DY39" s="28"/>
      <c r="DZ39" s="28">
        <v>2.2664413951E10</v>
      </c>
      <c r="EA39" s="28">
        <v>1.64975E8</v>
      </c>
      <c r="EB39" s="28">
        <v>5763600.0</v>
      </c>
      <c r="EC39" s="28"/>
      <c r="ED39" s="28"/>
      <c r="EE39" s="28">
        <v>1.8965212E8</v>
      </c>
      <c r="EF39" s="28">
        <v>2.9560887E7</v>
      </c>
      <c r="EG39" s="28">
        <v>6717372.0</v>
      </c>
      <c r="EH39" s="28">
        <v>6097054.0</v>
      </c>
      <c r="EI39" s="28">
        <v>940880.0</v>
      </c>
      <c r="EJ39" s="27"/>
      <c r="EK39" s="28">
        <v>1011534.0</v>
      </c>
      <c r="EL39" s="28">
        <v>5.5613299E7</v>
      </c>
      <c r="EM39" s="28">
        <v>3.7058114E7</v>
      </c>
      <c r="EN39" s="28"/>
      <c r="EO39" s="28">
        <v>2.4E7</v>
      </c>
      <c r="EP39" s="28">
        <v>-30.0</v>
      </c>
      <c r="EQ39" s="28"/>
      <c r="ER39" s="28">
        <v>2.97725303E8</v>
      </c>
      <c r="ES39" s="28">
        <v>4.7315E7</v>
      </c>
      <c r="ET39" s="28">
        <v>9.69196548E8</v>
      </c>
      <c r="EU39" s="28"/>
      <c r="EV39" s="28">
        <v>5422385.0</v>
      </c>
      <c r="EW39" s="28">
        <v>1500000.0</v>
      </c>
      <c r="EX39" s="28">
        <v>1.0530208E7</v>
      </c>
      <c r="EY39" s="28">
        <v>6.1856522E7</v>
      </c>
      <c r="EZ39" s="28">
        <v>1.43794547E8</v>
      </c>
      <c r="FA39" s="28">
        <v>2.2565985E7</v>
      </c>
      <c r="FB39" s="28"/>
      <c r="FC39" s="28">
        <v>1.46749818E8</v>
      </c>
      <c r="FD39" s="28">
        <v>1.1746599E7</v>
      </c>
      <c r="FE39" s="28"/>
      <c r="FF39" s="28">
        <v>1595018.0</v>
      </c>
      <c r="FG39" s="28">
        <v>2.8884764E7</v>
      </c>
      <c r="FH39" s="28"/>
      <c r="FI39" s="28">
        <v>5730000.0</v>
      </c>
      <c r="FJ39" s="28">
        <v>2.2642205E7</v>
      </c>
      <c r="FK39" s="28"/>
      <c r="FL39" s="28">
        <v>1.5911592E7</v>
      </c>
      <c r="FM39" s="28">
        <v>1.3465864E7</v>
      </c>
      <c r="FN39" s="27"/>
      <c r="FO39" s="28">
        <v>1.075224E7</v>
      </c>
      <c r="FP39" s="28"/>
      <c r="FQ39" s="28">
        <v>1.5552523E7</v>
      </c>
      <c r="FR39" s="28">
        <v>1.268E7</v>
      </c>
      <c r="FS39" s="28"/>
      <c r="FT39" s="28"/>
      <c r="FU39" s="28"/>
      <c r="FV39" s="28">
        <v>9629500.0</v>
      </c>
      <c r="FW39" s="28">
        <v>1.5865007E7</v>
      </c>
      <c r="FX39" s="27"/>
      <c r="FY39" s="28"/>
      <c r="FZ39" s="28">
        <v>1.99970591E8</v>
      </c>
      <c r="GA39" s="28">
        <v>3.7135374E7</v>
      </c>
      <c r="GB39" s="28">
        <v>1351165.0</v>
      </c>
      <c r="GC39" s="28">
        <v>7539453.0</v>
      </c>
      <c r="GD39" s="27"/>
      <c r="GE39" s="28"/>
      <c r="GF39" s="27"/>
      <c r="GG39" s="27"/>
      <c r="GH39" s="27"/>
      <c r="GI39" s="27"/>
      <c r="GJ39" s="27"/>
      <c r="GK39" s="27"/>
      <c r="GL39" s="62"/>
      <c r="GM39" s="62">
        <v>2.5302911992E10</v>
      </c>
      <c r="GN39" s="27"/>
      <c r="GO39" s="27"/>
      <c r="GP39" s="28"/>
      <c r="GQ39" s="28">
        <v>3.7481629E7</v>
      </c>
      <c r="GR39" s="28">
        <v>6.120113E7</v>
      </c>
      <c r="GS39" s="28">
        <v>5724889.0</v>
      </c>
      <c r="GT39" s="28">
        <v>2.2827286E7</v>
      </c>
      <c r="GU39" s="28">
        <v>8.32961E7</v>
      </c>
      <c r="GV39" s="28">
        <v>3.7660387E7</v>
      </c>
      <c r="GW39" s="28">
        <v>1.2183609E7</v>
      </c>
      <c r="GX39" s="28">
        <v>2.06127195E8</v>
      </c>
      <c r="GY39" s="28">
        <v>3.1080165E8</v>
      </c>
      <c r="GZ39" s="28">
        <v>3.62956973E8</v>
      </c>
      <c r="HA39" s="28"/>
      <c r="HB39" s="28"/>
      <c r="HC39" s="28">
        <v>3.6768081E7</v>
      </c>
      <c r="HD39" s="27"/>
      <c r="HE39" s="27"/>
      <c r="HF39" s="27"/>
      <c r="HG39" s="28">
        <v>3.584411E7</v>
      </c>
      <c r="HH39" s="28">
        <v>4.9550351E7</v>
      </c>
      <c r="HI39" s="27"/>
      <c r="HJ39" s="28">
        <v>7.2851923E7</v>
      </c>
      <c r="HK39" s="28">
        <v>2959000.0</v>
      </c>
      <c r="HL39" s="28"/>
      <c r="HM39" s="28"/>
      <c r="HN39" s="28">
        <v>4145328.0</v>
      </c>
      <c r="HO39" s="28">
        <v>3.3283513E7</v>
      </c>
      <c r="HP39" s="28">
        <v>3958110.0</v>
      </c>
      <c r="HQ39" s="28">
        <v>5.7741363E7</v>
      </c>
      <c r="HR39" s="28">
        <v>5783000.0</v>
      </c>
      <c r="HS39" s="28">
        <v>600000.0</v>
      </c>
      <c r="HT39" s="28">
        <v>9.0389191E7</v>
      </c>
      <c r="HU39" s="28">
        <v>7069000.0</v>
      </c>
      <c r="HV39" s="27"/>
      <c r="HW39" s="27"/>
      <c r="HX39" s="28">
        <v>1.83357E7</v>
      </c>
      <c r="HY39" s="28">
        <v>6532245.0</v>
      </c>
      <c r="HZ39" s="28">
        <v>4005474.0</v>
      </c>
      <c r="IA39" s="28">
        <v>8733300.0</v>
      </c>
      <c r="IB39" s="28">
        <v>3306696.0</v>
      </c>
      <c r="IC39" s="28">
        <v>1.2944177E7</v>
      </c>
      <c r="ID39" s="28">
        <v>1.6875512E7</v>
      </c>
      <c r="IE39" s="28">
        <v>1.2348714E7</v>
      </c>
      <c r="IF39" s="28">
        <v>5102461.0</v>
      </c>
      <c r="IG39" s="28">
        <v>1.5850399E7</v>
      </c>
      <c r="IH39" s="28">
        <v>2000000.0</v>
      </c>
      <c r="II39" s="28"/>
      <c r="IJ39" s="28"/>
      <c r="IK39" s="28">
        <v>7048400.0</v>
      </c>
      <c r="IL39" s="28">
        <v>208000.0</v>
      </c>
      <c r="IM39" s="28">
        <v>4194409.0</v>
      </c>
      <c r="IN39" s="27"/>
      <c r="IO39" s="27"/>
      <c r="IP39" s="27"/>
      <c r="IQ39" s="27"/>
      <c r="IR39" s="28"/>
      <c r="IS39" s="28">
        <v>1.7601288E7</v>
      </c>
      <c r="IT39" s="27"/>
      <c r="IU39" s="28">
        <v>3.9767608E7</v>
      </c>
      <c r="IV39" s="27"/>
      <c r="IW39" s="27"/>
      <c r="IX39" s="27"/>
      <c r="IY39" s="28"/>
      <c r="IZ39" s="28"/>
      <c r="JA39" s="28"/>
      <c r="JB39" s="28">
        <v>1.135591E8</v>
      </c>
      <c r="JC39" s="28"/>
      <c r="JD39" s="28">
        <v>599250.0</v>
      </c>
      <c r="JE39" s="28">
        <v>5.1989503E7</v>
      </c>
      <c r="JF39" s="28"/>
      <c r="JG39" s="28"/>
      <c r="JH39" s="28">
        <v>8435833.0</v>
      </c>
      <c r="JI39" s="28">
        <v>1.1454629E7</v>
      </c>
      <c r="JJ39" s="28"/>
      <c r="JK39" s="28">
        <v>3.225E7</v>
      </c>
      <c r="JL39" s="28"/>
      <c r="JM39" s="28">
        <v>5.54834189E8</v>
      </c>
      <c r="JN39" s="28">
        <v>3.432761E7</v>
      </c>
      <c r="JO39" s="28">
        <v>245268.0</v>
      </c>
      <c r="JP39" s="27"/>
      <c r="JQ39" s="27"/>
      <c r="JR39" s="27"/>
      <c r="JS39" s="27"/>
      <c r="JT39" s="62">
        <v>2.523753583E9</v>
      </c>
      <c r="JU39" s="28"/>
      <c r="JV39" s="28"/>
      <c r="JW39" s="28">
        <v>3.04990352E8</v>
      </c>
      <c r="JX39" s="28">
        <v>2.2E7</v>
      </c>
      <c r="JY39" s="27"/>
      <c r="JZ39" s="62">
        <v>3.26990352E8</v>
      </c>
      <c r="KA39" s="28"/>
      <c r="KB39" s="28"/>
      <c r="KC39" s="28">
        <v>1.0409485E8</v>
      </c>
      <c r="KD39" s="62">
        <v>1.0409485E8</v>
      </c>
      <c r="KE39" s="28"/>
      <c r="KF39" s="28"/>
      <c r="KG39" s="28">
        <v>8189215.0</v>
      </c>
      <c r="KH39" s="28">
        <v>3.46167688E8</v>
      </c>
      <c r="KI39" s="28">
        <v>1.38211239E8</v>
      </c>
      <c r="KJ39" s="28">
        <v>1070500.0</v>
      </c>
      <c r="KK39" s="28">
        <v>720.0</v>
      </c>
      <c r="KL39" s="27"/>
      <c r="KM39" s="27"/>
      <c r="KN39" s="62">
        <v>4.93639362E8</v>
      </c>
      <c r="KO39" s="28"/>
      <c r="KP39" s="28"/>
      <c r="KQ39" s="39">
        <v>4.982001E12</v>
      </c>
      <c r="KR39" s="28">
        <v>9.24627033E8</v>
      </c>
      <c r="KS39" s="28"/>
      <c r="KT39" s="28">
        <v>4.0041667E7</v>
      </c>
      <c r="KU39" s="28"/>
      <c r="KV39" s="28">
        <v>5.8126246E7</v>
      </c>
      <c r="KW39" s="28">
        <v>839.0</v>
      </c>
      <c r="KX39" s="27"/>
      <c r="KY39" s="27"/>
      <c r="KZ39" s="27"/>
      <c r="LA39" s="27"/>
      <c r="LB39" s="27"/>
      <c r="LC39" s="27"/>
      <c r="LD39" s="39"/>
      <c r="LE39" s="69">
        <v>1.027777786E15</v>
      </c>
      <c r="LF39" s="28"/>
      <c r="LG39" s="27"/>
      <c r="LH39" s="27"/>
      <c r="LI39" s="62"/>
      <c r="LJ39" s="62">
        <f t="shared" ref="LJ39:LJ50" si="11">LE39+KD39+JZ39+JT39</f>
        <v>1.02778E+15</v>
      </c>
      <c r="LK39" s="110"/>
    </row>
    <row r="40">
      <c r="A40" s="49" t="s">
        <v>296</v>
      </c>
      <c r="B40" s="146">
        <v>4.5860254531216E10</v>
      </c>
      <c r="C40" s="174">
        <v>3.36623305645944E10</v>
      </c>
      <c r="D40" s="53">
        <f t="shared" si="4"/>
        <v>12197923967</v>
      </c>
      <c r="E40" s="146"/>
      <c r="F40" s="146">
        <v>5.48451356038366E9</v>
      </c>
      <c r="G40" s="146">
        <v>8.6142236099E8</v>
      </c>
      <c r="H40" s="146">
        <v>2.0965518499994E8</v>
      </c>
      <c r="I40" s="53">
        <f t="shared" si="5"/>
        <v>6555591106</v>
      </c>
      <c r="J40" s="53">
        <f t="shared" si="6"/>
        <v>5642332860</v>
      </c>
      <c r="K40" s="146"/>
      <c r="L40" s="146">
        <v>5.8466290332806E8</v>
      </c>
      <c r="M40" s="146">
        <v>2.28412214112E9</v>
      </c>
      <c r="N40" s="52">
        <f t="shared" si="7"/>
        <v>-1699459238</v>
      </c>
      <c r="O40" s="146"/>
      <c r="P40" s="53">
        <f t="shared" si="8"/>
        <v>3942873622</v>
      </c>
      <c r="Q40" s="146"/>
      <c r="R40" s="146"/>
      <c r="S40" s="146"/>
      <c r="T40" s="53">
        <f t="shared" si="9"/>
        <v>3942873622</v>
      </c>
      <c r="U40" s="27"/>
      <c r="V40" s="28"/>
      <c r="W40" s="27"/>
      <c r="X40" s="53">
        <f t="shared" si="10"/>
        <v>3942873622</v>
      </c>
      <c r="Y40" s="27"/>
      <c r="AB40" s="27"/>
      <c r="AC40" s="27"/>
      <c r="AD40" s="28">
        <v>9.785549424E9</v>
      </c>
      <c r="AE40" s="28">
        <v>3.9558334589E10</v>
      </c>
      <c r="AF40" s="28"/>
      <c r="AG40" s="28">
        <v>-3.25897486E8</v>
      </c>
      <c r="AH40" s="28">
        <v>1.2292281333E10</v>
      </c>
      <c r="AI40" s="28">
        <v>6.8804860251E10</v>
      </c>
      <c r="AJ40" s="27" t="s">
        <v>295</v>
      </c>
      <c r="AK40" s="28"/>
      <c r="AL40" s="28">
        <v>1.2784452818E10</v>
      </c>
      <c r="AM40" s="28">
        <v>1.007196468E10</v>
      </c>
      <c r="AN40" s="62">
        <v>1.52971545608E11</v>
      </c>
      <c r="AO40" s="27"/>
      <c r="AP40" s="27" t="s">
        <v>295</v>
      </c>
      <c r="AQ40" s="28">
        <v>1.19227963801E11</v>
      </c>
      <c r="AR40" s="28">
        <v>5.790026052E9</v>
      </c>
      <c r="AS40" s="28"/>
      <c r="AT40" s="28"/>
      <c r="AU40" s="28">
        <v>1.712002768E9</v>
      </c>
      <c r="AV40" s="62">
        <v>1.26729992622E11</v>
      </c>
      <c r="AW40" s="62">
        <v>2.7970153823E11</v>
      </c>
      <c r="AX40" s="27"/>
      <c r="AY40" s="27"/>
      <c r="AZ40" s="27"/>
      <c r="BA40" s="28">
        <v>1.56365279E10</v>
      </c>
      <c r="BB40" s="175"/>
      <c r="BC40" s="175" t="s">
        <v>295</v>
      </c>
      <c r="BD40" s="175" t="s">
        <v>295</v>
      </c>
      <c r="BE40" s="28">
        <v>4.753827521E9</v>
      </c>
      <c r="BF40" s="28">
        <v>3.86816837E8</v>
      </c>
      <c r="BG40" s="28"/>
      <c r="BH40" s="28"/>
      <c r="BI40" s="28">
        <v>2.04103852E8</v>
      </c>
      <c r="BJ40" s="27" t="s">
        <v>295</v>
      </c>
      <c r="BK40" s="28">
        <v>1.28408920871E11</v>
      </c>
      <c r="BL40" s="28">
        <v>1.4939019698E11</v>
      </c>
      <c r="BM40" s="72"/>
      <c r="BN40" s="71">
        <v>7.176083875E9</v>
      </c>
      <c r="BO40" s="71">
        <v>4930500.0</v>
      </c>
      <c r="BP40" s="71"/>
      <c r="BQ40" s="28">
        <v>7.16731881E9</v>
      </c>
      <c r="BR40" s="27" t="s">
        <v>295</v>
      </c>
      <c r="BS40" s="28">
        <v>1.4348333185E10</v>
      </c>
      <c r="BT40" s="28">
        <v>1.63738530165E11</v>
      </c>
      <c r="BU40" s="27"/>
      <c r="BV40" s="28">
        <v>6.8245E10</v>
      </c>
      <c r="BW40" s="27" t="s">
        <v>295</v>
      </c>
      <c r="BX40" s="28">
        <v>3.942873622E9</v>
      </c>
      <c r="BY40" s="28">
        <v>4.1337870802E10</v>
      </c>
      <c r="BZ40" s="28">
        <v>-5.4180596E8</v>
      </c>
      <c r="CA40" s="27" t="s">
        <v>295</v>
      </c>
      <c r="CB40" s="28">
        <v>2.9790696E9</v>
      </c>
      <c r="CC40" s="28">
        <v>1.15963008065E11</v>
      </c>
      <c r="CD40" s="28">
        <v>2.7970153823E11</v>
      </c>
      <c r="CF40" s="49" t="s">
        <v>296</v>
      </c>
      <c r="CG40" s="27"/>
      <c r="CH40" s="28"/>
      <c r="CI40" s="27"/>
      <c r="CJ40" s="28"/>
      <c r="CK40" s="27"/>
      <c r="CL40" s="27"/>
      <c r="CM40" s="27"/>
      <c r="CN40" s="28"/>
      <c r="CO40" s="28"/>
      <c r="CP40" s="28"/>
      <c r="CQ40" s="28"/>
      <c r="CR40" s="28"/>
      <c r="CS40" s="28"/>
      <c r="CT40" s="27"/>
      <c r="CU40" s="28"/>
      <c r="CV40" s="28"/>
      <c r="CW40" s="28"/>
      <c r="CX40" s="27"/>
      <c r="CY40" s="27"/>
      <c r="CZ40" s="28"/>
      <c r="DA40" s="28"/>
      <c r="DB40" s="27"/>
      <c r="DC40" s="28"/>
      <c r="DD40" s="27"/>
      <c r="DE40" s="28"/>
      <c r="DF40" s="28"/>
      <c r="DG40" s="27"/>
      <c r="DH40" s="28"/>
      <c r="DI40" s="27"/>
      <c r="DJ40" s="28"/>
      <c r="DK40" s="28"/>
      <c r="DL40" s="28"/>
      <c r="DM40" s="28"/>
      <c r="DP40" s="64"/>
      <c r="DQ40" s="49" t="s">
        <v>296</v>
      </c>
      <c r="DR40" s="67">
        <v>3.442714095E9</v>
      </c>
      <c r="DS40" s="67">
        <v>2.9434220598E10</v>
      </c>
      <c r="DT40" s="67">
        <v>-418018.0</v>
      </c>
      <c r="DU40" s="27"/>
      <c r="DV40" s="78">
        <v>6.5130234896E10</v>
      </c>
      <c r="DW40" s="67"/>
      <c r="DX40" s="27"/>
      <c r="DY40" s="28"/>
      <c r="DZ40" s="28">
        <v>4.4017225952E10</v>
      </c>
      <c r="EA40" s="67">
        <v>3.30702E8</v>
      </c>
      <c r="EB40" s="67">
        <v>5763600.0</v>
      </c>
      <c r="EC40" s="67">
        <v>-100000.0</v>
      </c>
      <c r="ED40" s="67"/>
      <c r="EE40" s="67">
        <v>3.80705282E8</v>
      </c>
      <c r="EF40" s="67">
        <v>4.132133E7</v>
      </c>
      <c r="EG40" s="67">
        <v>1.1079209E7</v>
      </c>
      <c r="EH40" s="67">
        <v>1.0793737E7</v>
      </c>
      <c r="EI40" s="67">
        <v>1509270.0</v>
      </c>
      <c r="EJ40" s="67">
        <v>4833885.0</v>
      </c>
      <c r="EK40" s="67">
        <v>3434616.0</v>
      </c>
      <c r="EL40" s="67">
        <v>9.1160049E7</v>
      </c>
      <c r="EM40" s="67">
        <v>7.4104769E7</v>
      </c>
      <c r="EN40" s="67"/>
      <c r="EO40" s="67">
        <v>3.0448E7</v>
      </c>
      <c r="EP40" s="67">
        <v>-1.4669659E7</v>
      </c>
      <c r="EQ40" s="67"/>
      <c r="ER40" s="67">
        <v>5.2313404E8</v>
      </c>
      <c r="ES40" s="67">
        <v>1.17985E8</v>
      </c>
      <c r="ET40" s="67">
        <v>1.640223686E9</v>
      </c>
      <c r="EU40" s="67"/>
      <c r="EV40" s="67">
        <v>5804243.0</v>
      </c>
      <c r="EW40" s="67">
        <v>3480005.0</v>
      </c>
      <c r="EX40" s="67">
        <v>1.6472712E7</v>
      </c>
      <c r="EY40" s="67">
        <v>1.2957572E8</v>
      </c>
      <c r="EZ40" s="67">
        <v>4.48907623E8</v>
      </c>
      <c r="FA40" s="67">
        <v>2.2805985E7</v>
      </c>
      <c r="FB40" s="67"/>
      <c r="FC40" s="67">
        <v>3.13446594E8</v>
      </c>
      <c r="FD40" s="67">
        <v>2.5050001E7</v>
      </c>
      <c r="FE40" s="67"/>
      <c r="FF40" s="67">
        <v>4849339.0</v>
      </c>
      <c r="FG40" s="67">
        <v>5.5302766E7</v>
      </c>
      <c r="FH40" s="67"/>
      <c r="FI40" s="67">
        <v>2.4502E7</v>
      </c>
      <c r="FJ40" s="67">
        <v>3.8667305E7</v>
      </c>
      <c r="FK40" s="67"/>
      <c r="FL40" s="67">
        <v>1.5911592E7</v>
      </c>
      <c r="FM40" s="67">
        <v>1.3465864E7</v>
      </c>
      <c r="FN40" s="27"/>
      <c r="FO40" s="67">
        <v>2.938129E7</v>
      </c>
      <c r="FP40" s="67"/>
      <c r="FQ40" s="67">
        <v>2.3540163E7</v>
      </c>
      <c r="FR40" s="67">
        <v>8.7778E7</v>
      </c>
      <c r="FS40" s="67"/>
      <c r="FT40" s="67"/>
      <c r="FU40" s="67"/>
      <c r="FV40" s="67">
        <v>3.526525E7</v>
      </c>
      <c r="FW40" s="67">
        <v>1.28662683E8</v>
      </c>
      <c r="FX40" s="27"/>
      <c r="FY40" s="67"/>
      <c r="FZ40" s="67">
        <v>2.00693778E8</v>
      </c>
      <c r="GA40" s="67">
        <v>4.3745346E7</v>
      </c>
      <c r="GB40" s="67">
        <v>1.4084123E7</v>
      </c>
      <c r="GC40" s="67">
        <v>1.0180508E7</v>
      </c>
      <c r="GD40" s="67">
        <v>1131714.0</v>
      </c>
      <c r="GE40" s="27"/>
      <c r="GF40" s="67"/>
      <c r="GG40" s="27"/>
      <c r="GH40" s="27"/>
      <c r="GI40" s="27"/>
      <c r="GJ40" s="27"/>
      <c r="GK40" s="27"/>
      <c r="GL40" s="78"/>
      <c r="GM40" s="78">
        <v>4.8962359372E10</v>
      </c>
      <c r="GN40" s="27"/>
      <c r="GO40" s="67"/>
      <c r="GP40" s="67"/>
      <c r="GQ40" s="67">
        <v>1.58275E7</v>
      </c>
      <c r="GR40" s="28">
        <v>1.2240226E8</v>
      </c>
      <c r="GS40" s="28">
        <v>1.4727775E7</v>
      </c>
      <c r="GT40" s="67">
        <v>4.4896235E7</v>
      </c>
      <c r="GU40" s="67">
        <v>1.66653658E8</v>
      </c>
      <c r="GV40" s="67">
        <v>7.841917E7</v>
      </c>
      <c r="GW40" s="28">
        <v>2.4367219E7</v>
      </c>
      <c r="GX40" s="28">
        <v>4.1225439E8</v>
      </c>
      <c r="GY40" s="67">
        <v>6.24144697E8</v>
      </c>
      <c r="GZ40" s="67">
        <v>7.78016714E8</v>
      </c>
      <c r="HA40" s="67"/>
      <c r="HB40" s="67"/>
      <c r="HC40" s="67">
        <v>9.1142945E7</v>
      </c>
      <c r="HD40" s="27"/>
      <c r="HE40" s="27"/>
      <c r="HF40" s="27"/>
      <c r="HG40" s="67">
        <v>7.1858306E7</v>
      </c>
      <c r="HH40" s="67">
        <v>9.7512259E7</v>
      </c>
      <c r="HI40" s="67">
        <v>709000.0</v>
      </c>
      <c r="HJ40" s="67">
        <v>1.72972972E8</v>
      </c>
      <c r="HK40" s="67">
        <v>3866789.0</v>
      </c>
      <c r="HL40" s="67"/>
      <c r="HM40" s="67"/>
      <c r="HN40" s="67">
        <v>8290656.0</v>
      </c>
      <c r="HO40" s="67">
        <v>5.2252513E7</v>
      </c>
      <c r="HP40" s="67">
        <v>2.5589797E7</v>
      </c>
      <c r="HQ40" s="67">
        <v>3.44399172E8</v>
      </c>
      <c r="HR40" s="67">
        <v>5783000.0</v>
      </c>
      <c r="HS40" s="67">
        <v>5.314105E7</v>
      </c>
      <c r="HT40" s="67">
        <v>1.61450049E8</v>
      </c>
      <c r="HU40" s="67">
        <v>1.8569E7</v>
      </c>
      <c r="HV40" s="67">
        <v>4.0661254E7</v>
      </c>
      <c r="HW40" s="67">
        <v>9.25E7</v>
      </c>
      <c r="HX40" s="67">
        <v>1.83357E7</v>
      </c>
      <c r="HY40" s="67">
        <v>1.5814351E7</v>
      </c>
      <c r="HZ40" s="67">
        <v>5653091.0</v>
      </c>
      <c r="IA40" s="67">
        <v>1.45631E7</v>
      </c>
      <c r="IB40" s="67">
        <v>4504496.0</v>
      </c>
      <c r="IC40" s="67">
        <v>1.5431677E7</v>
      </c>
      <c r="ID40" s="67">
        <v>2.5357012E7</v>
      </c>
      <c r="IE40" s="67">
        <v>2.2920051E7</v>
      </c>
      <c r="IF40" s="67">
        <v>9625377.0</v>
      </c>
      <c r="IG40" s="67">
        <v>3.2112243E7</v>
      </c>
      <c r="IH40" s="67">
        <v>2000000.0</v>
      </c>
      <c r="II40" s="67"/>
      <c r="IJ40" s="67"/>
      <c r="IK40" s="67">
        <v>2.8179734E7</v>
      </c>
      <c r="IL40" s="67">
        <v>393460.0</v>
      </c>
      <c r="IM40" s="67">
        <v>1.32201512E8</v>
      </c>
      <c r="IN40" s="27"/>
      <c r="IO40" s="67">
        <v>1553360.0</v>
      </c>
      <c r="IP40" s="27"/>
      <c r="IQ40" s="27"/>
      <c r="IR40" s="67"/>
      <c r="IS40" s="67">
        <v>1.7601288E7</v>
      </c>
      <c r="IT40" s="27"/>
      <c r="IU40" s="67">
        <v>7.9535216E7</v>
      </c>
      <c r="IV40" s="27"/>
      <c r="IW40" s="27"/>
      <c r="IX40" s="27"/>
      <c r="IY40" s="67"/>
      <c r="IZ40" s="67"/>
      <c r="JA40" s="67"/>
      <c r="JB40" s="67">
        <v>1.573591E8</v>
      </c>
      <c r="JC40" s="67"/>
      <c r="JD40" s="67">
        <v>1467455.0</v>
      </c>
      <c r="JE40" s="67">
        <v>5.2520803E7</v>
      </c>
      <c r="JF40" s="67"/>
      <c r="JG40" s="67"/>
      <c r="JH40" s="67">
        <v>1.7337477E7</v>
      </c>
      <c r="JI40" s="67">
        <v>1.1454629E7</v>
      </c>
      <c r="JJ40" s="67"/>
      <c r="JK40" s="67">
        <v>3.225E7</v>
      </c>
      <c r="JL40" s="28">
        <v>3.810276E7</v>
      </c>
      <c r="JM40" s="28">
        <v>1.131295856E9</v>
      </c>
      <c r="JN40" s="28">
        <v>5.5073594E7</v>
      </c>
      <c r="JO40" s="67">
        <v>8.6888598E7</v>
      </c>
      <c r="JP40" s="67">
        <v>8459325.0</v>
      </c>
      <c r="JQ40" s="67">
        <v>2640250.0</v>
      </c>
      <c r="JR40" s="27"/>
      <c r="JS40" s="27"/>
      <c r="JT40" s="78">
        <v>5.543039895E9</v>
      </c>
      <c r="JU40" s="67"/>
      <c r="JV40" s="67"/>
      <c r="JW40" s="67">
        <v>7.03322361E8</v>
      </c>
      <c r="JX40" s="28">
        <v>3.9E7</v>
      </c>
      <c r="JY40" s="28">
        <v>1.041E8</v>
      </c>
      <c r="JZ40" s="62">
        <v>8.46422361E8</v>
      </c>
      <c r="KA40" s="67"/>
      <c r="KB40" s="67"/>
      <c r="KC40" s="28">
        <v>2.09655185E8</v>
      </c>
      <c r="KD40" s="176">
        <v>2.09655185E14</v>
      </c>
      <c r="KE40" s="67"/>
      <c r="KF40" s="67"/>
      <c r="KG40" s="67">
        <v>1.0709247E7</v>
      </c>
      <c r="KH40" s="28">
        <v>3.5832721E8</v>
      </c>
      <c r="KI40" s="80">
        <v>5.00581036E14</v>
      </c>
      <c r="KJ40" s="67">
        <v>1070500.0</v>
      </c>
      <c r="KK40" s="67">
        <v>2798.0</v>
      </c>
      <c r="KL40" s="27"/>
      <c r="KM40" s="27"/>
      <c r="KN40" s="78">
        <v>8.70690791E8</v>
      </c>
      <c r="KO40" s="67"/>
      <c r="KP40" s="67"/>
      <c r="KQ40" s="67">
        <v>1.1202854E7</v>
      </c>
      <c r="KR40" s="28">
        <v>1.93978884742E9</v>
      </c>
      <c r="KS40" s="28"/>
      <c r="KT40" s="28">
        <v>8.0083334E7</v>
      </c>
      <c r="KU40" s="80"/>
      <c r="KV40" s="80">
        <v>2.86027888E14</v>
      </c>
      <c r="KW40" s="67">
        <v>3047106.0</v>
      </c>
      <c r="KX40" s="27"/>
      <c r="KY40" s="27"/>
      <c r="KZ40" s="67">
        <v>2.5E8</v>
      </c>
      <c r="LA40" s="27"/>
      <c r="LB40" s="27"/>
      <c r="LC40" s="28"/>
      <c r="LD40" s="28"/>
      <c r="LE40" s="62">
        <v>2.570150029E9</v>
      </c>
      <c r="LF40" s="27"/>
      <c r="LG40" s="28"/>
      <c r="LH40" s="28" t="s">
        <v>295</v>
      </c>
      <c r="LI40" s="62" t="s">
        <v>295</v>
      </c>
      <c r="LJ40" s="62">
        <f t="shared" si="11"/>
        <v>209664144612285</v>
      </c>
      <c r="LK40" s="110"/>
    </row>
    <row r="41">
      <c r="A41" s="49" t="s">
        <v>299</v>
      </c>
      <c r="B41" s="50">
        <v>8.35748408992621E10</v>
      </c>
      <c r="C41" s="52">
        <v>6.373112582052455E10</v>
      </c>
      <c r="D41" s="53">
        <f t="shared" si="4"/>
        <v>19843715079</v>
      </c>
      <c r="E41" s="50"/>
      <c r="F41" s="50">
        <v>9.77104835703366E9</v>
      </c>
      <c r="G41" s="52">
        <v>1.41797680499E9</v>
      </c>
      <c r="H41" s="50">
        <v>2.1373568499994E8</v>
      </c>
      <c r="I41" s="53">
        <f t="shared" si="5"/>
        <v>11402760847</v>
      </c>
      <c r="J41" s="53">
        <f t="shared" si="6"/>
        <v>8440954232</v>
      </c>
      <c r="K41" s="177"/>
      <c r="L41" s="50">
        <v>6.983601363043001E8</v>
      </c>
      <c r="M41" s="52">
        <v>4.5260981757535095E9</v>
      </c>
      <c r="N41" s="52">
        <f t="shared" si="7"/>
        <v>-3827738039</v>
      </c>
      <c r="O41" s="53"/>
      <c r="P41" s="53">
        <f t="shared" si="8"/>
        <v>4613216192</v>
      </c>
      <c r="Q41" s="146"/>
      <c r="R41" s="146"/>
      <c r="S41" s="146"/>
      <c r="T41" s="53">
        <f t="shared" si="9"/>
        <v>4613216192</v>
      </c>
      <c r="U41" s="104"/>
      <c r="V41" s="28"/>
      <c r="W41" s="27"/>
      <c r="X41" s="53">
        <f t="shared" si="10"/>
        <v>4613216192</v>
      </c>
      <c r="Y41" s="27"/>
      <c r="AB41" s="70"/>
      <c r="AC41" s="70"/>
      <c r="AD41" s="71">
        <v>1.0221166633E10</v>
      </c>
      <c r="AE41" s="71">
        <v>5.8777932663E10</v>
      </c>
      <c r="AF41" s="71"/>
      <c r="AG41" s="71">
        <v>-3.25897486E8</v>
      </c>
      <c r="AH41" s="71">
        <v>1.2280196933E10</v>
      </c>
      <c r="AI41" s="71">
        <v>7.1302330279E10</v>
      </c>
      <c r="AJ41" s="72" t="s">
        <v>295</v>
      </c>
      <c r="AK41" s="71"/>
      <c r="AL41" s="71">
        <v>9.258511443E9</v>
      </c>
      <c r="AM41" s="71">
        <v>1.0896944511E10</v>
      </c>
      <c r="AN41" s="74">
        <v>1.72411184975E11</v>
      </c>
      <c r="AO41" s="72"/>
      <c r="AP41" s="72" t="s">
        <v>295</v>
      </c>
      <c r="AQ41" s="71">
        <v>1.19191066037E11</v>
      </c>
      <c r="AR41" s="71">
        <v>5.761940798E9</v>
      </c>
      <c r="AS41" s="71"/>
      <c r="AT41" s="71"/>
      <c r="AU41" s="71">
        <v>1.712002768E9</v>
      </c>
      <c r="AV41" s="74">
        <v>1.26665009603E11</v>
      </c>
      <c r="AW41" s="74">
        <v>2.99076194578E11</v>
      </c>
      <c r="AX41" s="72"/>
      <c r="AY41" s="72"/>
      <c r="AZ41" s="72"/>
      <c r="BA41" s="71">
        <v>1.7980333258E10</v>
      </c>
      <c r="BB41" s="178"/>
      <c r="BC41" s="178" t="s">
        <v>295</v>
      </c>
      <c r="BD41" s="178" t="s">
        <v>295</v>
      </c>
      <c r="BE41" s="71">
        <v>5.079821953E9</v>
      </c>
      <c r="BF41" s="71">
        <v>2.378666837E9</v>
      </c>
      <c r="BG41" s="71"/>
      <c r="BH41" s="71"/>
      <c r="BI41" s="71">
        <v>1.99464411E8</v>
      </c>
      <c r="BJ41" s="72" t="s">
        <v>295</v>
      </c>
      <c r="BK41" s="71">
        <v>1.42461154801E11</v>
      </c>
      <c r="BL41" s="71">
        <v>1.68099441259E11</v>
      </c>
      <c r="BM41" s="72"/>
      <c r="BN41" s="71">
        <v>7.176083875E9</v>
      </c>
      <c r="BO41" s="72" t="s">
        <v>295</v>
      </c>
      <c r="BP41" s="72" t="s">
        <v>295</v>
      </c>
      <c r="BQ41" s="71">
        <v>7.16731881E9</v>
      </c>
      <c r="BR41" s="72" t="s">
        <v>295</v>
      </c>
      <c r="BS41" s="71">
        <v>1.4343402685E10</v>
      </c>
      <c r="BT41" s="71">
        <v>1.82442843944E11</v>
      </c>
      <c r="BU41" s="72"/>
      <c r="BV41" s="71">
        <v>6.8245E10</v>
      </c>
      <c r="BW41" s="72" t="s">
        <v>295</v>
      </c>
      <c r="BX41" s="71">
        <v>4.613216192E9</v>
      </c>
      <c r="BY41" s="71">
        <v>4.1337870802E10</v>
      </c>
      <c r="BZ41" s="71">
        <v>-5.4180596E8</v>
      </c>
      <c r="CA41" s="72" t="s">
        <v>295</v>
      </c>
      <c r="CB41" s="71">
        <v>2.9790696E9</v>
      </c>
      <c r="CC41" s="179">
        <v>1.16633350635E11</v>
      </c>
      <c r="CD41" s="179">
        <v>2.99076194579E11</v>
      </c>
      <c r="CF41" s="49" t="s">
        <v>299</v>
      </c>
      <c r="CG41" s="27"/>
      <c r="CH41" s="28"/>
      <c r="CI41" s="27"/>
      <c r="CJ41" s="28"/>
      <c r="CK41" s="27"/>
      <c r="CL41" s="27"/>
      <c r="CM41" s="27"/>
      <c r="CN41" s="28"/>
      <c r="CO41" s="28"/>
      <c r="CP41" s="28"/>
      <c r="CQ41" s="28"/>
      <c r="CR41" s="28"/>
      <c r="CS41" s="28"/>
      <c r="CT41" s="27"/>
      <c r="CU41" s="28"/>
      <c r="CV41" s="28"/>
      <c r="CW41" s="28"/>
      <c r="CX41" s="27"/>
      <c r="CY41" s="27"/>
      <c r="CZ41" s="28"/>
      <c r="DA41" s="28"/>
      <c r="DB41" s="27"/>
      <c r="DC41" s="28"/>
      <c r="DD41" s="27"/>
      <c r="DE41" s="28"/>
      <c r="DF41" s="28"/>
      <c r="DG41" s="27"/>
      <c r="DH41" s="28"/>
      <c r="DI41" s="27"/>
      <c r="DJ41" s="28"/>
      <c r="DK41" s="28"/>
      <c r="DL41" s="28"/>
      <c r="DM41" s="28"/>
      <c r="DP41" s="64"/>
      <c r="DQ41" s="49" t="s">
        <v>299</v>
      </c>
      <c r="DR41" s="28">
        <v>-7.44921559E8</v>
      </c>
      <c r="DS41" s="28">
        <v>3.7719863154E10</v>
      </c>
      <c r="DT41" s="28">
        <v>-4405405.0</v>
      </c>
      <c r="DU41" s="28">
        <v>-875000.0</v>
      </c>
      <c r="DV41" s="62">
        <v>1.02099896086E11</v>
      </c>
      <c r="DW41" s="27"/>
      <c r="DX41" s="27"/>
      <c r="DY41" s="28"/>
      <c r="DZ41" s="28">
        <v>7.0336643267E10</v>
      </c>
      <c r="EA41" s="28">
        <v>7.40961E8</v>
      </c>
      <c r="EB41" s="28">
        <v>6.737E7</v>
      </c>
      <c r="EC41" s="28">
        <v>-100000.0</v>
      </c>
      <c r="ED41" s="28"/>
      <c r="EE41" s="28">
        <v>5.70486803E8</v>
      </c>
      <c r="EF41" s="28">
        <v>4.6819736E7</v>
      </c>
      <c r="EG41" s="28">
        <v>1.1938781E7</v>
      </c>
      <c r="EH41" s="28">
        <v>1.7423244E7</v>
      </c>
      <c r="EI41" s="28">
        <v>1667770.0</v>
      </c>
      <c r="EJ41" s="28">
        <v>4975077.0</v>
      </c>
      <c r="EK41" s="28">
        <v>4432045.0</v>
      </c>
      <c r="EL41" s="28">
        <v>1.35711726E8</v>
      </c>
      <c r="EM41" s="28">
        <v>1.10044997E8</v>
      </c>
      <c r="EN41" s="28"/>
      <c r="EO41" s="28">
        <v>8.1658E7</v>
      </c>
      <c r="EP41" s="28">
        <v>-7.3594924E7</v>
      </c>
      <c r="EQ41" s="28"/>
      <c r="ER41" s="28">
        <v>8.69831731E8</v>
      </c>
      <c r="ES41" s="28">
        <v>3.9270825E8</v>
      </c>
      <c r="ET41" s="28">
        <v>2.863036816E9</v>
      </c>
      <c r="EU41" s="28"/>
      <c r="EV41" s="28">
        <v>8502685.0</v>
      </c>
      <c r="EW41" s="28">
        <v>1500000.0</v>
      </c>
      <c r="EX41" s="28">
        <v>2.6552116E7</v>
      </c>
      <c r="EY41" s="28">
        <v>1.99660602E8</v>
      </c>
      <c r="EZ41" s="28">
        <v>6.01231797E8</v>
      </c>
      <c r="FA41" s="28">
        <v>2.3415117E7</v>
      </c>
      <c r="FB41" s="28"/>
      <c r="FC41" s="28">
        <v>4.64716871E8</v>
      </c>
      <c r="FD41" s="28">
        <v>3.8970619E7</v>
      </c>
      <c r="FE41" s="28"/>
      <c r="FF41" s="28">
        <v>1.3633783E7</v>
      </c>
      <c r="FG41" s="28">
        <v>6.6562322E7</v>
      </c>
      <c r="FH41" s="28"/>
      <c r="FI41" s="28">
        <v>4.3362E7</v>
      </c>
      <c r="FJ41" s="28">
        <v>8.251896E7</v>
      </c>
      <c r="FK41" s="28"/>
      <c r="FL41" s="28">
        <v>1.1931972E8</v>
      </c>
      <c r="FM41" s="28">
        <v>7.8274951E7</v>
      </c>
      <c r="FN41" s="27"/>
      <c r="FO41" s="28">
        <v>4.283949E7</v>
      </c>
      <c r="FP41" s="28"/>
      <c r="FQ41" s="28">
        <v>1.7046366E7</v>
      </c>
      <c r="FR41" s="28">
        <v>1.43201202E8</v>
      </c>
      <c r="FS41" s="28"/>
      <c r="FT41" s="28"/>
      <c r="FU41" s="28"/>
      <c r="FV41" s="28">
        <v>5.9943325E7</v>
      </c>
      <c r="FW41" s="28">
        <v>1.77512047E8</v>
      </c>
      <c r="FX41" s="27"/>
      <c r="FY41" s="28"/>
      <c r="FZ41" s="28">
        <v>2.19484248E8</v>
      </c>
      <c r="GA41" s="28">
        <v>1.24453916E8</v>
      </c>
      <c r="GB41" s="28">
        <v>2.4168754E7</v>
      </c>
      <c r="GC41" s="28">
        <v>1.1849567E7</v>
      </c>
      <c r="GD41" s="28">
        <v>1131714.0</v>
      </c>
      <c r="GE41" s="28">
        <v>1644286.0</v>
      </c>
      <c r="GF41" s="27"/>
      <c r="GG41" s="27"/>
      <c r="GH41" s="27"/>
      <c r="GI41" s="27"/>
      <c r="GJ41" s="27"/>
      <c r="GK41" s="27"/>
      <c r="GL41" s="62"/>
      <c r="GM41" s="62">
        <v>7.8773510777E10</v>
      </c>
      <c r="GN41" s="28"/>
      <c r="GO41" s="28"/>
      <c r="GP41" s="28"/>
      <c r="GQ41" s="28">
        <v>1.91573E7</v>
      </c>
      <c r="GR41" s="28">
        <v>1.8360339E8</v>
      </c>
      <c r="GS41" s="28">
        <v>2.8334109E7</v>
      </c>
      <c r="GT41" s="28">
        <v>6.3848531E7</v>
      </c>
      <c r="GU41" s="28">
        <v>2.52599757E8</v>
      </c>
      <c r="GV41" s="28">
        <v>1.20197153E8</v>
      </c>
      <c r="GW41" s="28">
        <v>3.6550828E7</v>
      </c>
      <c r="GX41" s="28">
        <v>6.18794085E8</v>
      </c>
      <c r="GY41" s="28">
        <v>9.36217044E8</v>
      </c>
      <c r="GZ41" s="28">
        <v>1.222426068E9</v>
      </c>
      <c r="HA41" s="28"/>
      <c r="HB41" s="28"/>
      <c r="HC41" s="28">
        <v>1.22992794E8</v>
      </c>
      <c r="HD41" s="28"/>
      <c r="HE41" s="28"/>
      <c r="HF41" s="28">
        <v>1.610924588E9</v>
      </c>
      <c r="HG41" s="28">
        <v>9.9515911E7</v>
      </c>
      <c r="HH41" s="28">
        <v>1.42019606E8</v>
      </c>
      <c r="HI41" s="28">
        <v>759000.0</v>
      </c>
      <c r="HJ41" s="28">
        <v>2.56844265E8</v>
      </c>
      <c r="HK41" s="28">
        <v>4651364.0</v>
      </c>
      <c r="HL41" s="28">
        <v>775000.0</v>
      </c>
      <c r="HM41" s="28"/>
      <c r="HN41" s="28">
        <v>1.2435984E7</v>
      </c>
      <c r="HO41" s="28">
        <v>8.1093411E7</v>
      </c>
      <c r="HP41" s="28">
        <v>3.3608591E7</v>
      </c>
      <c r="HQ41" s="28">
        <v>4.70476695E8</v>
      </c>
      <c r="HR41" s="28">
        <v>2.5965964E7</v>
      </c>
      <c r="HS41" s="28">
        <v>5.534805E7</v>
      </c>
      <c r="HT41" s="28">
        <v>2.59678607E8</v>
      </c>
      <c r="HU41" s="28">
        <v>1.519475E7</v>
      </c>
      <c r="HV41" s="28">
        <v>4.0661254E7</v>
      </c>
      <c r="HW41" s="28">
        <v>9.25E7</v>
      </c>
      <c r="HX41" s="28">
        <v>2.35205E7</v>
      </c>
      <c r="HY41" s="28">
        <v>2.5418916E7</v>
      </c>
      <c r="HZ41" s="28">
        <v>9422077.0</v>
      </c>
      <c r="IA41" s="28">
        <v>2.45202E7</v>
      </c>
      <c r="IB41" s="28">
        <v>7808593.0</v>
      </c>
      <c r="IC41" s="28">
        <v>4.9962102E7</v>
      </c>
      <c r="ID41" s="28">
        <v>3.4758487E7</v>
      </c>
      <c r="IE41" s="28">
        <v>5.875591E7</v>
      </c>
      <c r="IF41" s="28">
        <v>1.3492149E7</v>
      </c>
      <c r="IG41" s="28">
        <v>6.8117111E7</v>
      </c>
      <c r="IH41" s="28">
        <v>2553222.0</v>
      </c>
      <c r="II41" s="28"/>
      <c r="IJ41" s="28"/>
      <c r="IK41" s="28">
        <v>2.8621401E7</v>
      </c>
      <c r="IL41" s="28">
        <v>1267119.0</v>
      </c>
      <c r="IM41" s="28">
        <v>2.72999845E8</v>
      </c>
      <c r="IN41" s="27"/>
      <c r="IO41" s="28">
        <v>1553360.0</v>
      </c>
      <c r="IP41" s="27"/>
      <c r="IQ41" s="27"/>
      <c r="IR41" s="28"/>
      <c r="IS41" s="28">
        <v>1.7601288E7</v>
      </c>
      <c r="IT41" s="27"/>
      <c r="IU41" s="28">
        <v>1.19302824E8</v>
      </c>
      <c r="IV41" s="27"/>
      <c r="IW41" s="27"/>
      <c r="IX41" s="27"/>
      <c r="IY41" s="28"/>
      <c r="IZ41" s="28"/>
      <c r="JA41" s="28"/>
      <c r="JB41" s="28">
        <v>2.26967104E8</v>
      </c>
      <c r="JC41" s="28"/>
      <c r="JD41" s="28">
        <v>2392309.0</v>
      </c>
      <c r="JE41" s="28">
        <v>5.2520803E7</v>
      </c>
      <c r="JF41" s="28"/>
      <c r="JG41" s="28"/>
      <c r="JH41" s="28">
        <v>2.6239121E7</v>
      </c>
      <c r="JI41" s="28">
        <v>1.1454629E7</v>
      </c>
      <c r="JJ41" s="28"/>
      <c r="JK41" s="28">
        <v>3.225E7</v>
      </c>
      <c r="JL41" s="28">
        <v>4.0989133E7</v>
      </c>
      <c r="JM41" s="39">
        <v>1.667101837E15</v>
      </c>
      <c r="JN41" s="28">
        <v>9.4770717E7</v>
      </c>
      <c r="JO41" s="28">
        <v>8.7093852E7</v>
      </c>
      <c r="JP41" s="28">
        <v>2.0145705E7</v>
      </c>
      <c r="JQ41" s="28">
        <v>2694250.0</v>
      </c>
      <c r="JR41" s="27"/>
      <c r="JS41" s="27"/>
      <c r="JT41" s="62">
        <v>9.831468664E9</v>
      </c>
      <c r="JU41" s="28"/>
      <c r="JV41" s="28"/>
      <c r="JW41" s="28">
        <v>1.239538405E9</v>
      </c>
      <c r="JX41" s="28">
        <v>5.6E7</v>
      </c>
      <c r="JY41" s="28">
        <v>1.074384E8</v>
      </c>
      <c r="JZ41" s="62">
        <v>1.402976805E9</v>
      </c>
      <c r="KA41" s="28"/>
      <c r="KB41" s="27"/>
      <c r="KC41" s="39">
        <v>2.13735685E14</v>
      </c>
      <c r="KD41" s="62">
        <v>2.13735685E8</v>
      </c>
      <c r="KE41" s="28"/>
      <c r="KF41" s="28"/>
      <c r="KG41" s="28">
        <v>1.6114203E7</v>
      </c>
      <c r="KH41" s="28">
        <v>4.18473282E8</v>
      </c>
      <c r="KI41" s="28">
        <v>1.043435424E9</v>
      </c>
      <c r="KJ41" s="28">
        <v>1070500.0</v>
      </c>
      <c r="KK41" s="28">
        <v>10955.0</v>
      </c>
      <c r="KL41" s="27"/>
      <c r="KM41" s="27"/>
      <c r="KN41" s="69">
        <v>1.479104364E15</v>
      </c>
      <c r="KO41" s="28"/>
      <c r="KP41" s="28"/>
      <c r="KQ41" s="28">
        <v>2.1279003E7</v>
      </c>
      <c r="KR41" s="28">
        <v>3.13162251108E9</v>
      </c>
      <c r="KS41" s="28"/>
      <c r="KT41" s="28">
        <v>1.20125001E8</v>
      </c>
      <c r="KU41" s="28"/>
      <c r="KV41" s="28">
        <v>7.80744228E8</v>
      </c>
      <c r="KW41" s="28">
        <v>3071661.0</v>
      </c>
      <c r="KX41" s="27"/>
      <c r="KY41" s="27"/>
      <c r="KZ41" s="28">
        <v>1.25E9</v>
      </c>
      <c r="LA41" s="27"/>
      <c r="LB41" s="27"/>
      <c r="LC41" s="27"/>
      <c r="LD41" s="28"/>
      <c r="LE41" s="62">
        <v>5.306842403E9</v>
      </c>
      <c r="LF41" s="28"/>
      <c r="LG41" s="28"/>
      <c r="LH41" s="28" t="s">
        <v>295</v>
      </c>
      <c r="LI41" s="62" t="s">
        <v>295</v>
      </c>
      <c r="LJ41" s="62">
        <f t="shared" si="11"/>
        <v>16755023557</v>
      </c>
      <c r="LK41" s="110"/>
    </row>
    <row r="42">
      <c r="A42" s="49" t="s">
        <v>302</v>
      </c>
      <c r="B42" s="50">
        <v>1.2587769164847763E11</v>
      </c>
      <c r="C42" s="52">
        <v>9.68328574369866E10</v>
      </c>
      <c r="D42" s="53">
        <f t="shared" si="4"/>
        <v>29044834211</v>
      </c>
      <c r="E42" s="50"/>
      <c r="F42" s="50">
        <v>1.3010119756093658E10</v>
      </c>
      <c r="G42" s="50">
        <v>2.89542798599E9</v>
      </c>
      <c r="H42" s="52">
        <v>1.6436498499993998E8</v>
      </c>
      <c r="I42" s="53">
        <f t="shared" si="5"/>
        <v>16069912727</v>
      </c>
      <c r="J42" s="53">
        <f t="shared" si="6"/>
        <v>12974921484</v>
      </c>
      <c r="K42" s="50"/>
      <c r="L42" s="50">
        <v>9.183348200443E8</v>
      </c>
      <c r="M42" s="52">
        <v>6.81662094985152E9</v>
      </c>
      <c r="N42" s="52">
        <f t="shared" si="7"/>
        <v>-5898286130</v>
      </c>
      <c r="O42" s="50"/>
      <c r="P42" s="53">
        <f t="shared" si="8"/>
        <v>7076635355</v>
      </c>
      <c r="Q42" s="146"/>
      <c r="R42" s="146"/>
      <c r="S42" s="146"/>
      <c r="T42" s="53">
        <f t="shared" si="9"/>
        <v>7076635355</v>
      </c>
      <c r="U42" s="104"/>
      <c r="V42" s="28"/>
      <c r="W42" s="27"/>
      <c r="X42" s="53">
        <f t="shared" si="10"/>
        <v>7076635355</v>
      </c>
      <c r="Y42" s="27"/>
      <c r="AB42" s="70"/>
      <c r="AC42" s="70"/>
      <c r="AD42" s="71">
        <v>1.9477375518E10</v>
      </c>
      <c r="AE42" s="71">
        <v>6.0727478059E10</v>
      </c>
      <c r="AF42" s="71"/>
      <c r="AG42" s="71">
        <v>-3.25897486E8</v>
      </c>
      <c r="AH42" s="71">
        <v>1.1521446933E10</v>
      </c>
      <c r="AI42" s="71">
        <v>6.3917210875E10</v>
      </c>
      <c r="AJ42" s="72" t="s">
        <v>295</v>
      </c>
      <c r="AK42" s="71"/>
      <c r="AL42" s="71">
        <v>7.770366313E9</v>
      </c>
      <c r="AM42" s="71">
        <v>1.1564054446E10</v>
      </c>
      <c r="AN42" s="74">
        <v>1.74652034659E11</v>
      </c>
      <c r="AO42" s="72"/>
      <c r="AP42" s="72" t="s">
        <v>295</v>
      </c>
      <c r="AQ42" s="71">
        <v>1.19498475695E11</v>
      </c>
      <c r="AR42" s="71">
        <v>6.104040045E9</v>
      </c>
      <c r="AS42" s="71"/>
      <c r="AT42" s="71"/>
      <c r="AU42" s="71">
        <v>1.712002768E9</v>
      </c>
      <c r="AV42" s="74">
        <v>1.27314518508E11</v>
      </c>
      <c r="AW42" s="74">
        <v>3.01966553166E11</v>
      </c>
      <c r="AX42" s="72"/>
      <c r="AY42" s="72"/>
      <c r="AZ42" s="72"/>
      <c r="BA42" s="71">
        <v>1.486824105E10</v>
      </c>
      <c r="BB42" s="178"/>
      <c r="BC42" s="178" t="s">
        <v>295</v>
      </c>
      <c r="BD42" s="178" t="s">
        <v>295</v>
      </c>
      <c r="BE42" s="71">
        <v>6.123642432E9</v>
      </c>
      <c r="BF42" s="71">
        <v>1.073124107E9</v>
      </c>
      <c r="BG42" s="71"/>
      <c r="BH42" s="71"/>
      <c r="BI42" s="71">
        <v>1.58720135E8</v>
      </c>
      <c r="BJ42" s="72" t="s">
        <v>295</v>
      </c>
      <c r="BK42" s="71">
        <v>1.46302652962E11</v>
      </c>
      <c r="BL42" s="71">
        <v>1.68526380686E11</v>
      </c>
      <c r="BM42" s="72"/>
      <c r="BN42" s="71">
        <v>7.176083875E9</v>
      </c>
      <c r="BO42" s="72" t="s">
        <v>295</v>
      </c>
      <c r="BP42" s="72" t="s">
        <v>295</v>
      </c>
      <c r="BQ42" s="71">
        <v>7.16731881E9</v>
      </c>
      <c r="BR42" s="72" t="s">
        <v>295</v>
      </c>
      <c r="BS42" s="71">
        <v>1.4343402685E10</v>
      </c>
      <c r="BT42" s="71">
        <v>1.82869783371E11</v>
      </c>
      <c r="BU42" s="72"/>
      <c r="BV42" s="71">
        <v>6.8245E10</v>
      </c>
      <c r="BW42" s="72" t="s">
        <v>295</v>
      </c>
      <c r="BX42" s="71">
        <v>7.076635355E9</v>
      </c>
      <c r="BY42" s="71">
        <v>4.1337870802E10</v>
      </c>
      <c r="BZ42" s="71">
        <v>-5.4180596E8</v>
      </c>
      <c r="CA42" s="72" t="s">
        <v>295</v>
      </c>
      <c r="CB42" s="71">
        <v>2.9790696E9</v>
      </c>
      <c r="CC42" s="179">
        <v>1.19096769797E11</v>
      </c>
      <c r="CD42" s="179">
        <v>3.01966553168E11</v>
      </c>
      <c r="CF42" s="49" t="s">
        <v>302</v>
      </c>
      <c r="CG42" s="27"/>
      <c r="CH42" s="28"/>
      <c r="CI42" s="27"/>
      <c r="CJ42" s="28"/>
      <c r="CK42" s="27"/>
      <c r="CL42" s="27"/>
      <c r="CM42" s="27"/>
      <c r="CN42" s="28"/>
      <c r="CO42" s="28"/>
      <c r="CP42" s="28"/>
      <c r="CQ42" s="28"/>
      <c r="CR42" s="28"/>
      <c r="CS42" s="28"/>
      <c r="CT42" s="27"/>
      <c r="CU42" s="28"/>
      <c r="CV42" s="28"/>
      <c r="CW42" s="28"/>
      <c r="CX42" s="27"/>
      <c r="CY42" s="27"/>
      <c r="CZ42" s="28"/>
      <c r="DA42" s="28"/>
      <c r="DB42" s="27"/>
      <c r="DC42" s="28"/>
      <c r="DD42" s="27"/>
      <c r="DE42" s="28"/>
      <c r="DF42" s="28"/>
      <c r="DG42" s="27"/>
      <c r="DH42" s="28"/>
      <c r="DI42" s="27"/>
      <c r="DJ42" s="28"/>
      <c r="DK42" s="28"/>
      <c r="DL42" s="28"/>
      <c r="DM42" s="28"/>
      <c r="DP42" s="64"/>
      <c r="DQ42" s="49" t="s">
        <v>302</v>
      </c>
      <c r="DR42" s="28">
        <v>1.5638749052E10</v>
      </c>
      <c r="DS42" s="28">
        <v>1.25756812283E11</v>
      </c>
      <c r="DT42" s="28">
        <v>-5.3016135E7</v>
      </c>
      <c r="DU42" s="28">
        <v>-875000.0</v>
      </c>
      <c r="DV42" s="62">
        <v>1.413416702E11</v>
      </c>
      <c r="DW42" s="27"/>
      <c r="DX42" s="27"/>
      <c r="DY42" s="28"/>
      <c r="DZ42" s="28">
        <v>1.00524082026E11</v>
      </c>
      <c r="EA42" s="28">
        <v>9.17094E8</v>
      </c>
      <c r="EB42" s="28">
        <v>1.103856E8</v>
      </c>
      <c r="EC42" s="28">
        <v>-100000.0</v>
      </c>
      <c r="ED42" s="28" t="s">
        <v>295</v>
      </c>
      <c r="EE42" s="28">
        <v>7.63685569E8</v>
      </c>
      <c r="EF42" s="28">
        <v>4.9748371E7</v>
      </c>
      <c r="EG42" s="28">
        <v>1.2826946E7</v>
      </c>
      <c r="EH42" s="28">
        <v>2.2193112E7</v>
      </c>
      <c r="EI42" s="28">
        <v>2340739.0</v>
      </c>
      <c r="EJ42" s="28">
        <v>5151347.0</v>
      </c>
      <c r="EK42" s="28">
        <v>6390092.0</v>
      </c>
      <c r="EL42" s="28">
        <v>2.09852014E8</v>
      </c>
      <c r="EM42" s="28">
        <v>1.44895509E8</v>
      </c>
      <c r="EN42" s="28" t="s">
        <v>295</v>
      </c>
      <c r="EO42" s="28">
        <v>2.01658E8</v>
      </c>
      <c r="EP42" s="28">
        <v>-6.789283E7</v>
      </c>
      <c r="EQ42" s="28"/>
      <c r="ER42" s="28">
        <v>1.263104741E9</v>
      </c>
      <c r="ES42" s="28">
        <v>4.0435825E8</v>
      </c>
      <c r="ET42" s="28">
        <v>4.861857032E9</v>
      </c>
      <c r="EU42" s="28"/>
      <c r="EV42" s="28">
        <v>1.4763E7</v>
      </c>
      <c r="EW42" s="28">
        <v>1500000.0</v>
      </c>
      <c r="EX42" s="28">
        <v>3.2477086E7</v>
      </c>
      <c r="EY42" s="28">
        <v>2.68854406E8</v>
      </c>
      <c r="EZ42" s="28">
        <v>5.9805095E8</v>
      </c>
      <c r="FA42" s="28">
        <v>2.3981711E7</v>
      </c>
      <c r="FB42" s="28" t="s">
        <v>295</v>
      </c>
      <c r="FC42" s="28">
        <v>5.98474015E8</v>
      </c>
      <c r="FD42" s="28">
        <v>5.5008189E7</v>
      </c>
      <c r="FE42" s="28" t="s">
        <v>295</v>
      </c>
      <c r="FF42" s="28">
        <v>1.4554112E7</v>
      </c>
      <c r="FG42" s="28">
        <v>7.4009753E7</v>
      </c>
      <c r="FH42" s="27" t="s">
        <v>295</v>
      </c>
      <c r="FI42" s="28">
        <v>5.2662E7</v>
      </c>
      <c r="FJ42" s="28">
        <v>9.8890445E7</v>
      </c>
      <c r="FK42" s="28" t="s">
        <v>295</v>
      </c>
      <c r="FL42" s="28">
        <v>1.36420466E8</v>
      </c>
      <c r="FM42" s="28">
        <v>9.3289611E7</v>
      </c>
      <c r="FN42" s="27" t="s">
        <v>295</v>
      </c>
      <c r="FO42" s="28">
        <v>6.367369E7</v>
      </c>
      <c r="FP42" s="28" t="s">
        <v>295</v>
      </c>
      <c r="FQ42" s="28">
        <v>7023543.0</v>
      </c>
      <c r="FR42" s="28">
        <v>2.91065439E8</v>
      </c>
      <c r="FS42" s="28" t="s">
        <v>295</v>
      </c>
      <c r="FT42" s="28" t="s">
        <v>295</v>
      </c>
      <c r="FU42" s="28" t="s">
        <v>295</v>
      </c>
      <c r="FV42" s="28">
        <v>8.5975575E7</v>
      </c>
      <c r="FW42" s="28">
        <v>1.87287661E8</v>
      </c>
      <c r="FX42" s="27"/>
      <c r="FY42" s="28" t="s">
        <v>295</v>
      </c>
      <c r="FZ42" s="28">
        <v>2.54037688E8</v>
      </c>
      <c r="GA42" s="28">
        <v>1.55382667E8</v>
      </c>
      <c r="GB42" s="28">
        <v>3.8794083E7</v>
      </c>
      <c r="GC42" s="28">
        <v>1.1939546E7</v>
      </c>
      <c r="GD42" s="28">
        <v>1131714.0</v>
      </c>
      <c r="GE42" s="28">
        <v>2.5936063E7</v>
      </c>
      <c r="GF42" s="27"/>
      <c r="GG42" s="27"/>
      <c r="GH42" s="28">
        <v>1.316128E7</v>
      </c>
      <c r="GI42" s="27"/>
      <c r="GJ42" s="27"/>
      <c r="GK42" s="27"/>
      <c r="GL42" s="62"/>
      <c r="GM42" s="62">
        <v>1.09864522615E11</v>
      </c>
      <c r="GN42" s="28"/>
      <c r="GO42" s="28"/>
      <c r="GP42" s="28" t="s">
        <v>295</v>
      </c>
      <c r="GQ42" s="28">
        <v>2.09573E7</v>
      </c>
      <c r="GR42" s="28">
        <v>2.4480452E8</v>
      </c>
      <c r="GS42" s="28">
        <v>3.0118238E7</v>
      </c>
      <c r="GT42" s="28">
        <v>8.0971431E7</v>
      </c>
      <c r="GU42" s="28">
        <v>3.38545857E8</v>
      </c>
      <c r="GV42" s="28">
        <v>1.60020702E8</v>
      </c>
      <c r="GW42" s="28">
        <v>7.6734438E7</v>
      </c>
      <c r="GX42" s="28">
        <v>8.2533378E8</v>
      </c>
      <c r="GY42" s="28">
        <v>1.248289391E9</v>
      </c>
      <c r="GZ42" s="28">
        <v>1.60589927E9</v>
      </c>
      <c r="HA42" s="28" t="s">
        <v>295</v>
      </c>
      <c r="HB42" s="28" t="s">
        <v>295</v>
      </c>
      <c r="HC42" s="28">
        <v>1.53889177E8</v>
      </c>
      <c r="HD42" s="28" t="s">
        <v>295</v>
      </c>
      <c r="HE42" s="28" t="s">
        <v>295</v>
      </c>
      <c r="HF42" s="28">
        <v>1.610924588E9</v>
      </c>
      <c r="HG42" s="28">
        <v>1.28230818E8</v>
      </c>
      <c r="HH42" s="28">
        <v>1.57223846E8</v>
      </c>
      <c r="HI42" s="28">
        <v>969000.0</v>
      </c>
      <c r="HJ42" s="28">
        <v>3.23661768E8</v>
      </c>
      <c r="HK42" s="28">
        <v>4.1961792E7</v>
      </c>
      <c r="HL42" s="28">
        <v>775000.0</v>
      </c>
      <c r="HM42" s="28" t="s">
        <v>295</v>
      </c>
      <c r="HN42" s="28">
        <v>1.6581312E7</v>
      </c>
      <c r="HO42" s="28">
        <v>9.2325411E7</v>
      </c>
      <c r="HP42" s="28">
        <v>2.2702341E7</v>
      </c>
      <c r="HQ42" s="28">
        <v>5.22134718E8</v>
      </c>
      <c r="HR42" s="28">
        <v>2.5965964E7</v>
      </c>
      <c r="HS42" s="28">
        <v>5.534805E7</v>
      </c>
      <c r="HT42" s="28">
        <v>2.61459557E8</v>
      </c>
      <c r="HU42" s="28">
        <v>1.879475E7</v>
      </c>
      <c r="HV42" s="28">
        <v>4.4161254E7</v>
      </c>
      <c r="HW42" s="28">
        <v>9.25E7</v>
      </c>
      <c r="HX42" s="28">
        <v>3.8744625E7</v>
      </c>
      <c r="HY42" s="28">
        <v>3.3301421E7</v>
      </c>
      <c r="HZ42" s="28">
        <v>1.1558839E7</v>
      </c>
      <c r="IA42" s="28">
        <v>2.6263E7</v>
      </c>
      <c r="IB42" s="39">
        <v>7.831093E12</v>
      </c>
      <c r="IC42" s="28">
        <v>5.0111102E7</v>
      </c>
      <c r="ID42" s="28">
        <v>4.4890693E7</v>
      </c>
      <c r="IE42" s="28">
        <v>6.7928928E7</v>
      </c>
      <c r="IF42" s="28">
        <v>2.0754308E7</v>
      </c>
      <c r="IG42" s="28">
        <v>7.8001411E7</v>
      </c>
      <c r="IH42" s="28">
        <v>2553222.0</v>
      </c>
      <c r="II42" s="28" t="s">
        <v>295</v>
      </c>
      <c r="IJ42" s="28" t="s">
        <v>295</v>
      </c>
      <c r="IK42" s="28">
        <v>2.9063068E7</v>
      </c>
      <c r="IL42" s="39">
        <v>2.071459E12</v>
      </c>
      <c r="IM42" s="28">
        <v>5.37497661E8</v>
      </c>
      <c r="IN42" s="27"/>
      <c r="IO42" s="28">
        <v>1553360.0</v>
      </c>
      <c r="IP42" s="28" t="s">
        <v>295</v>
      </c>
      <c r="IQ42" s="28" t="s">
        <v>295</v>
      </c>
      <c r="IR42" s="27" t="s">
        <v>295</v>
      </c>
      <c r="IS42" s="39">
        <v>1.7601288E13</v>
      </c>
      <c r="IT42" s="28" t="s">
        <v>295</v>
      </c>
      <c r="IU42" s="28">
        <v>1.59070432E8</v>
      </c>
      <c r="IV42" s="28">
        <v>7.3637E8</v>
      </c>
      <c r="IW42" s="28" t="s">
        <v>295</v>
      </c>
      <c r="IX42" s="28" t="s">
        <v>295</v>
      </c>
      <c r="IY42" s="27" t="s">
        <v>295</v>
      </c>
      <c r="IZ42" s="27" t="s">
        <v>295</v>
      </c>
      <c r="JA42" s="28"/>
      <c r="JB42" s="28">
        <v>2.55167104E8</v>
      </c>
      <c r="JC42" s="39" t="s">
        <v>295</v>
      </c>
      <c r="JD42" s="28">
        <v>2392309.0</v>
      </c>
      <c r="JE42" s="28">
        <v>5.2520803E7</v>
      </c>
      <c r="JF42" s="27" t="s">
        <v>295</v>
      </c>
      <c r="JG42" s="27" t="s">
        <v>295</v>
      </c>
      <c r="JH42" s="28">
        <v>3.5140766E7</v>
      </c>
      <c r="JI42" s="28">
        <v>1.1454629E7</v>
      </c>
      <c r="JJ42" s="27" t="s">
        <v>295</v>
      </c>
      <c r="JK42" s="28">
        <v>3.225E7</v>
      </c>
      <c r="JL42" s="28">
        <v>4.0989133E7</v>
      </c>
      <c r="JM42" s="28">
        <v>2.245881257E9</v>
      </c>
      <c r="JN42" s="28">
        <v>1.52824955E8</v>
      </c>
      <c r="JO42" s="28">
        <v>8.7093852E7</v>
      </c>
      <c r="JP42" s="28">
        <v>4.8776705E7</v>
      </c>
      <c r="JQ42" s="28">
        <v>2694250.0</v>
      </c>
      <c r="JR42" s="27"/>
      <c r="JS42" s="27"/>
      <c r="JT42" s="62">
        <v>1.3033635946E10</v>
      </c>
      <c r="JU42" s="27"/>
      <c r="JV42" s="27"/>
      <c r="JW42" s="28">
        <v>2.69606252E9</v>
      </c>
      <c r="JX42" s="28">
        <v>8.05E7</v>
      </c>
      <c r="JY42" s="28">
        <v>1.18865466E8</v>
      </c>
      <c r="JZ42" s="62">
        <v>2.895427986E9</v>
      </c>
      <c r="KA42" s="28"/>
      <c r="KB42" s="27"/>
      <c r="KC42" s="28">
        <v>1.64364985E8</v>
      </c>
      <c r="KD42" s="62">
        <v>1.64364985E8</v>
      </c>
      <c r="KE42" s="28"/>
      <c r="KF42" s="27"/>
      <c r="KG42" s="28">
        <v>2.1368625E7</v>
      </c>
      <c r="KH42" s="28">
        <v>4.74516782E8</v>
      </c>
      <c r="KI42" s="28">
        <v>4.21367207E8</v>
      </c>
      <c r="KJ42" s="28">
        <v>1070500.0</v>
      </c>
      <c r="KK42" s="28">
        <v>11705.0</v>
      </c>
      <c r="KL42" s="28"/>
      <c r="KM42" s="28" t="s">
        <v>295</v>
      </c>
      <c r="KN42" s="62">
        <v>9.1833482E8</v>
      </c>
      <c r="KO42" s="28"/>
      <c r="KP42" s="28"/>
      <c r="KQ42" s="28">
        <v>2.8057573E7</v>
      </c>
      <c r="KR42" s="28">
        <v>4.25240531993E9</v>
      </c>
      <c r="KS42" s="28"/>
      <c r="KT42" s="28">
        <v>9.18080249E8</v>
      </c>
      <c r="KU42" s="28">
        <v>3.65E8</v>
      </c>
      <c r="KV42" s="28">
        <v>1.0</v>
      </c>
      <c r="KW42" s="28">
        <v>3077807.0</v>
      </c>
      <c r="KX42" s="27"/>
      <c r="KY42" s="28" t="s">
        <v>295</v>
      </c>
      <c r="KZ42" s="28">
        <v>1.25E9</v>
      </c>
      <c r="LA42" s="28" t="s">
        <v>295</v>
      </c>
      <c r="LB42" s="28" t="s">
        <v>295</v>
      </c>
      <c r="LC42" s="27"/>
      <c r="LD42" s="28" t="s">
        <v>295</v>
      </c>
      <c r="LE42" s="62">
        <v>6.81662095E9</v>
      </c>
      <c r="LF42" s="28"/>
      <c r="LG42" s="28"/>
      <c r="LH42" s="28" t="s">
        <v>295</v>
      </c>
      <c r="LI42" s="62" t="s">
        <v>295</v>
      </c>
      <c r="LJ42" s="62">
        <f t="shared" si="11"/>
        <v>22910049867</v>
      </c>
      <c r="LK42" s="110"/>
    </row>
    <row r="43">
      <c r="A43" s="49" t="s">
        <v>304</v>
      </c>
      <c r="B43" s="149">
        <v>1.48180899711E11</v>
      </c>
      <c r="C43" s="87">
        <v>1.1258911682E11</v>
      </c>
      <c r="D43" s="53">
        <f t="shared" si="4"/>
        <v>35591782891</v>
      </c>
      <c r="E43" s="149"/>
      <c r="F43" s="149">
        <v>1.5164239255E10</v>
      </c>
      <c r="G43" s="149">
        <v>3.26076664E9</v>
      </c>
      <c r="H43" s="87">
        <v>1.65293485E8</v>
      </c>
      <c r="I43" s="53">
        <f t="shared" si="5"/>
        <v>18590299380</v>
      </c>
      <c r="J43" s="53">
        <f t="shared" si="6"/>
        <v>17001483511</v>
      </c>
      <c r="K43" s="149"/>
      <c r="L43" s="149">
        <v>9.45811943E8</v>
      </c>
      <c r="M43" s="87">
        <v>7.741363917E9</v>
      </c>
      <c r="N43" s="52">
        <f t="shared" si="7"/>
        <v>-6795551974</v>
      </c>
      <c r="O43" s="149"/>
      <c r="P43" s="53">
        <f t="shared" si="8"/>
        <v>10205931537</v>
      </c>
      <c r="Q43" s="146"/>
      <c r="R43" s="146"/>
      <c r="S43" s="146"/>
      <c r="T43" s="88">
        <v>1.0205931537E10</v>
      </c>
      <c r="U43" s="180"/>
      <c r="V43" s="28"/>
      <c r="W43" s="27"/>
      <c r="X43" s="53">
        <f t="shared" si="10"/>
        <v>10205931537</v>
      </c>
      <c r="Y43" s="27"/>
      <c r="AB43" s="67"/>
      <c r="AC43" s="67"/>
      <c r="AD43" s="92">
        <v>1.9423223388E10</v>
      </c>
      <c r="AE43" s="92">
        <v>6.136230689E10</v>
      </c>
      <c r="AF43" s="92"/>
      <c r="AG43" s="92">
        <v>-3.25897486E8</v>
      </c>
      <c r="AH43" s="92">
        <v>1.1588047624E10</v>
      </c>
      <c r="AI43" s="92">
        <v>7.0540866861E10</v>
      </c>
      <c r="AJ43" s="92" t="s">
        <v>295</v>
      </c>
      <c r="AK43" s="92"/>
      <c r="AL43" s="92">
        <v>8.534900838E9</v>
      </c>
      <c r="AM43" s="92">
        <v>1.0742030687E10</v>
      </c>
      <c r="AN43" s="95">
        <v>1.81865478802E11</v>
      </c>
      <c r="AO43" s="92"/>
      <c r="AP43" s="92" t="s">
        <v>295</v>
      </c>
      <c r="AQ43" s="92">
        <v>1.20328488134E11</v>
      </c>
      <c r="AR43" s="92">
        <v>6.809870225E9</v>
      </c>
      <c r="AS43" s="92"/>
      <c r="AT43" s="92"/>
      <c r="AU43" s="92">
        <v>1.712002768E9</v>
      </c>
      <c r="AV43" s="95">
        <v>1.28850361127E11</v>
      </c>
      <c r="AW43" s="95">
        <v>3.10715839929E11</v>
      </c>
      <c r="AX43" s="92"/>
      <c r="AY43" s="92"/>
      <c r="AZ43" s="92"/>
      <c r="BA43" s="92">
        <v>1.259858636E10</v>
      </c>
      <c r="BB43" s="181"/>
      <c r="BC43" s="181" t="s">
        <v>295</v>
      </c>
      <c r="BD43" s="181" t="s">
        <v>295</v>
      </c>
      <c r="BE43" s="92">
        <v>4.972814559E9</v>
      </c>
      <c r="BF43" s="92">
        <v>9.84652107E8</v>
      </c>
      <c r="BG43" s="92"/>
      <c r="BH43" s="92"/>
      <c r="BI43" s="92">
        <v>2.04443115E8</v>
      </c>
      <c r="BJ43" s="92" t="s">
        <v>295</v>
      </c>
      <c r="BK43" s="92">
        <v>1.55898147874E11</v>
      </c>
      <c r="BL43" s="92">
        <v>1.74658644015E11</v>
      </c>
      <c r="BM43" s="92"/>
      <c r="BN43" s="92">
        <v>7.176083875E9</v>
      </c>
      <c r="BO43" s="92"/>
      <c r="BP43" s="92"/>
      <c r="BQ43" s="92">
        <v>6.65504606E9</v>
      </c>
      <c r="BR43" s="92" t="s">
        <v>295</v>
      </c>
      <c r="BS43" s="92">
        <v>1.3831129935E10</v>
      </c>
      <c r="BT43" s="92">
        <v>1.8848977395E11</v>
      </c>
      <c r="BU43" s="92"/>
      <c r="BV43" s="92">
        <v>6.8245E10</v>
      </c>
      <c r="BW43" s="92" t="s">
        <v>295</v>
      </c>
      <c r="BX43" s="92">
        <v>1.0205931537E10</v>
      </c>
      <c r="BY43" s="92">
        <v>4.1337870802E10</v>
      </c>
      <c r="BZ43" s="92">
        <v>-5.4180596E8</v>
      </c>
      <c r="CA43" s="92" t="s">
        <v>295</v>
      </c>
      <c r="CB43" s="92">
        <v>2.9790696E9</v>
      </c>
      <c r="CC43" s="92">
        <v>1.2222606598E11</v>
      </c>
      <c r="CD43" s="92">
        <v>3.10715839929E11</v>
      </c>
      <c r="CF43" s="49" t="s">
        <v>304</v>
      </c>
      <c r="CG43" s="27"/>
      <c r="CH43" s="28"/>
      <c r="CI43" s="27"/>
      <c r="CJ43" s="28"/>
      <c r="CK43" s="27"/>
      <c r="CL43" s="27"/>
      <c r="CM43" s="27"/>
      <c r="CN43" s="28"/>
      <c r="CO43" s="28"/>
      <c r="CP43" s="28"/>
      <c r="CQ43" s="28"/>
      <c r="CR43" s="28"/>
      <c r="CS43" s="28"/>
      <c r="CT43" s="27"/>
      <c r="CU43" s="28"/>
      <c r="CV43" s="28"/>
      <c r="CW43" s="28"/>
      <c r="CX43" s="27"/>
      <c r="CY43" s="27"/>
      <c r="CZ43" s="28"/>
      <c r="DA43" s="28"/>
      <c r="DB43" s="27"/>
      <c r="DC43" s="28"/>
      <c r="DD43" s="27"/>
      <c r="DE43" s="28"/>
      <c r="DF43" s="28"/>
      <c r="DG43" s="27"/>
      <c r="DH43" s="28"/>
      <c r="DI43" s="27"/>
      <c r="DJ43" s="28"/>
      <c r="DK43" s="28"/>
      <c r="DL43" s="28"/>
      <c r="DM43" s="28"/>
      <c r="DP43" s="64"/>
      <c r="DQ43" s="49" t="s">
        <v>304</v>
      </c>
      <c r="DR43" s="70"/>
      <c r="DS43" s="70"/>
      <c r="DT43" s="72">
        <v>-8.798254954784E7</v>
      </c>
      <c r="DU43" s="28">
        <v>-875000.0</v>
      </c>
      <c r="DV43" s="182">
        <v>1.67581582692E11</v>
      </c>
      <c r="DW43" s="72"/>
      <c r="DX43" s="72"/>
      <c r="DY43" s="72"/>
      <c r="DZ43" s="72">
        <v>1.10554492375E11</v>
      </c>
      <c r="EA43" s="72">
        <v>9.17094E8</v>
      </c>
      <c r="EB43" s="72">
        <v>1.406128E8</v>
      </c>
      <c r="EC43" s="28">
        <v>-100000.0</v>
      </c>
      <c r="ED43" s="27"/>
      <c r="EE43" s="72">
        <v>9.5442763695019E8</v>
      </c>
      <c r="EF43" s="72">
        <v>5.431126622574E7</v>
      </c>
      <c r="EG43" s="72">
        <v>1.501413253426E7</v>
      </c>
      <c r="EH43" s="72">
        <v>3.757777427021E7</v>
      </c>
      <c r="EI43" s="72">
        <v>2340738.5813</v>
      </c>
      <c r="EJ43" s="72">
        <v>8466705.03671</v>
      </c>
      <c r="EK43" s="72">
        <v>1.154223170395E7</v>
      </c>
      <c r="EL43" s="72">
        <v>2.4648324846251E8</v>
      </c>
      <c r="EM43" s="72">
        <v>1.7972560799334E8</v>
      </c>
      <c r="EN43" s="27"/>
      <c r="EO43" s="72">
        <v>2.37968E8</v>
      </c>
      <c r="EP43" s="72">
        <v>-5.887986461099E7</v>
      </c>
      <c r="EQ43" s="72"/>
      <c r="ER43" s="72">
        <v>1.572214332E9</v>
      </c>
      <c r="ES43" s="72">
        <v>4.875458754E8</v>
      </c>
      <c r="ET43" s="72">
        <v>5.99922343914626E9</v>
      </c>
      <c r="EU43" s="72"/>
      <c r="EV43" s="72">
        <v>1.947017206565E7</v>
      </c>
      <c r="EW43" s="72">
        <v>1500000.07684</v>
      </c>
      <c r="EX43" s="72">
        <v>3.7013438E7</v>
      </c>
      <c r="EY43" s="72">
        <v>3.39190348E8</v>
      </c>
      <c r="EZ43" s="72">
        <v>7.48279827E8</v>
      </c>
      <c r="FA43" s="72">
        <v>3.054033144708E7</v>
      </c>
      <c r="FB43" s="27"/>
      <c r="FC43" s="72">
        <v>7.30472985E8</v>
      </c>
      <c r="FD43" s="72">
        <v>6.9997044E7</v>
      </c>
      <c r="FE43" s="27"/>
      <c r="FF43" s="72">
        <v>1.9729912E7</v>
      </c>
      <c r="FG43" s="72">
        <v>7.601074415433E7</v>
      </c>
      <c r="FH43" s="27"/>
      <c r="FI43" s="72">
        <v>8.3322E7</v>
      </c>
      <c r="FJ43" s="72">
        <v>1.21504695E8</v>
      </c>
      <c r="FK43" s="27"/>
      <c r="FL43" s="72">
        <v>2.425121198E8</v>
      </c>
      <c r="FM43" s="72">
        <v>1.819996278E8</v>
      </c>
      <c r="FN43" s="27"/>
      <c r="FO43" s="72">
        <v>7.681499E7</v>
      </c>
      <c r="FP43" s="27"/>
      <c r="FQ43" s="72">
        <v>7586375.92251</v>
      </c>
      <c r="FR43" s="72">
        <v>4.17443047E8</v>
      </c>
      <c r="FS43" s="27"/>
      <c r="FT43" s="27"/>
      <c r="FU43" s="27"/>
      <c r="FV43" s="72">
        <v>1.10337775E8</v>
      </c>
      <c r="FW43" s="72">
        <v>2.0469771604677E8</v>
      </c>
      <c r="FX43" s="27"/>
      <c r="FY43" s="27"/>
      <c r="FZ43" s="72">
        <v>6.947518813881E7</v>
      </c>
      <c r="GA43" s="183">
        <v>2.1592893134399E8</v>
      </c>
      <c r="GB43" s="183">
        <v>5.387422578699E7</v>
      </c>
      <c r="GC43" s="183">
        <v>1.221765392082E7</v>
      </c>
      <c r="GD43" s="28">
        <v>1131714.0</v>
      </c>
      <c r="GE43" s="183">
        <v>3.562622327E7</v>
      </c>
      <c r="GF43" s="27"/>
      <c r="GG43" s="27"/>
      <c r="GH43" s="183">
        <v>2.907751E7</v>
      </c>
      <c r="GI43" s="27"/>
      <c r="GJ43" s="27"/>
      <c r="GK43" s="27"/>
      <c r="GL43" s="184"/>
      <c r="GM43" s="184">
        <v>1.25295814894205E11</v>
      </c>
      <c r="GN43" s="185"/>
      <c r="GO43" s="185"/>
      <c r="GP43" s="185"/>
      <c r="GQ43" s="183">
        <v>2.09573E7</v>
      </c>
      <c r="GR43" s="28">
        <v>3.06588551E8</v>
      </c>
      <c r="GS43" s="183"/>
      <c r="GT43" s="183"/>
      <c r="GU43" s="183"/>
      <c r="GV43" s="183"/>
      <c r="GW43" s="183"/>
      <c r="GX43" s="183"/>
      <c r="GY43" s="183"/>
      <c r="GZ43" s="183"/>
      <c r="HA43" s="28"/>
      <c r="HB43" s="28"/>
      <c r="HC43" s="183"/>
      <c r="HD43" s="28"/>
      <c r="HE43" s="28"/>
      <c r="HF43" s="183"/>
      <c r="HG43" s="183"/>
      <c r="HH43" s="183"/>
      <c r="HI43" s="183"/>
      <c r="HJ43" s="183"/>
      <c r="HK43" s="183"/>
      <c r="HL43" s="183"/>
      <c r="HM43" s="28"/>
      <c r="HN43" s="183"/>
      <c r="HO43" s="183"/>
      <c r="HP43" s="183"/>
      <c r="HQ43" s="183"/>
      <c r="HR43" s="183"/>
      <c r="HS43" s="183"/>
      <c r="HT43" s="183"/>
      <c r="HU43" s="183"/>
      <c r="HV43" s="183"/>
      <c r="HW43" s="183"/>
      <c r="HX43" s="183"/>
      <c r="HY43" s="183"/>
      <c r="HZ43" s="183"/>
      <c r="IA43" s="183"/>
      <c r="IB43" s="183"/>
      <c r="IC43" s="183"/>
      <c r="ID43" s="183"/>
      <c r="IE43" s="183"/>
      <c r="IF43" s="183"/>
      <c r="IG43" s="183"/>
      <c r="IH43" s="183"/>
      <c r="II43" s="28"/>
      <c r="IJ43" s="28"/>
      <c r="IK43" s="183"/>
      <c r="IL43" s="183"/>
      <c r="IM43" s="183"/>
      <c r="IN43" s="28"/>
      <c r="IO43" s="183"/>
      <c r="IP43" s="28"/>
      <c r="IQ43" s="28"/>
      <c r="IR43" s="28"/>
      <c r="IS43" s="183"/>
      <c r="IT43" s="28"/>
      <c r="IU43" s="183"/>
      <c r="IV43" s="28"/>
      <c r="IW43" s="28"/>
      <c r="IX43" s="183"/>
      <c r="IY43" s="28"/>
      <c r="IZ43" s="28"/>
      <c r="JA43" s="183"/>
      <c r="JB43" s="183"/>
      <c r="JC43" s="28"/>
      <c r="JD43" s="183"/>
      <c r="JE43" s="183"/>
      <c r="JF43" s="28"/>
      <c r="JG43" s="28"/>
      <c r="JH43" s="183"/>
      <c r="JI43" s="183"/>
      <c r="JJ43" s="28"/>
      <c r="JK43" s="183"/>
      <c r="JL43" s="183"/>
      <c r="JM43" s="183"/>
      <c r="JN43" s="183"/>
      <c r="JO43" s="183"/>
      <c r="JP43" s="183"/>
      <c r="JQ43" s="183"/>
      <c r="JR43" s="28"/>
      <c r="JS43" s="28"/>
      <c r="JT43" s="184"/>
      <c r="JU43" s="183"/>
      <c r="JV43" s="183"/>
      <c r="JW43" s="183"/>
      <c r="JX43" s="183"/>
      <c r="JY43" s="183"/>
      <c r="JZ43" s="184"/>
      <c r="KA43" s="183"/>
      <c r="KB43" s="183"/>
      <c r="KC43" s="183"/>
      <c r="KD43" s="184"/>
      <c r="KE43" s="183"/>
      <c r="KF43" s="183"/>
      <c r="KG43" s="183"/>
      <c r="KH43" s="183"/>
      <c r="KI43" s="183"/>
      <c r="KJ43" s="183"/>
      <c r="KK43" s="183"/>
      <c r="KL43" s="183"/>
      <c r="KM43" s="183"/>
      <c r="KN43" s="184"/>
      <c r="KO43" s="28"/>
      <c r="KP43" s="183"/>
      <c r="KQ43" s="183"/>
      <c r="KR43" s="183">
        <v>5.501488621389999E9</v>
      </c>
      <c r="KS43" s="28"/>
      <c r="KT43" s="183"/>
      <c r="KU43" s="28"/>
      <c r="KV43" s="183"/>
      <c r="KW43" s="183"/>
      <c r="KX43" s="28"/>
      <c r="KY43" s="28"/>
      <c r="KZ43" s="183"/>
      <c r="LA43" s="28"/>
      <c r="LB43" s="183"/>
      <c r="LC43" s="183"/>
      <c r="LD43" s="28"/>
      <c r="LE43" s="184"/>
      <c r="LF43" s="28"/>
      <c r="LG43" s="28"/>
      <c r="LH43" s="28"/>
      <c r="LI43" s="62"/>
      <c r="LJ43" s="62">
        <f t="shared" si="11"/>
        <v>0</v>
      </c>
      <c r="LK43" s="110"/>
    </row>
    <row r="44">
      <c r="A44" s="49" t="s">
        <v>313</v>
      </c>
      <c r="B44" s="146">
        <v>1.79067211025001E11</v>
      </c>
      <c r="C44" s="174">
        <v>1.40458752875051E11</v>
      </c>
      <c r="D44" s="53">
        <f t="shared" si="4"/>
        <v>38608458150</v>
      </c>
      <c r="E44" s="146"/>
      <c r="F44" s="146">
        <v>1.7912191286207E10</v>
      </c>
      <c r="G44" s="146">
        <v>3.68504354999E9</v>
      </c>
      <c r="H44" s="146">
        <v>3.2762448499994E8</v>
      </c>
      <c r="I44" s="53">
        <f t="shared" si="5"/>
        <v>21924859321</v>
      </c>
      <c r="J44" s="53">
        <f t="shared" si="6"/>
        <v>16683598829</v>
      </c>
      <c r="K44" s="146"/>
      <c r="L44" s="146">
        <v>9.70597634E8</v>
      </c>
      <c r="M44" s="174">
        <v>9.29605833934321E9</v>
      </c>
      <c r="N44" s="52">
        <f t="shared" si="7"/>
        <v>-8325460705</v>
      </c>
      <c r="O44" s="146"/>
      <c r="P44" s="53">
        <f t="shared" si="8"/>
        <v>8358138123</v>
      </c>
      <c r="Q44" s="146"/>
      <c r="R44" s="146"/>
      <c r="S44" s="146"/>
      <c r="T44" s="53">
        <f>P44-S44</f>
        <v>8358138123</v>
      </c>
      <c r="U44" s="27"/>
      <c r="V44" s="28"/>
      <c r="W44" s="27"/>
      <c r="X44" s="53">
        <f t="shared" si="10"/>
        <v>8358138123</v>
      </c>
      <c r="Y44" s="27"/>
      <c r="AB44" s="67"/>
      <c r="AC44" s="67"/>
      <c r="AD44" s="92">
        <v>2.508654586232111E10</v>
      </c>
      <c r="AE44" s="92">
        <v>6.6835123552E10</v>
      </c>
      <c r="AF44" s="92"/>
      <c r="AG44" s="92">
        <v>-3.2589748572E8</v>
      </c>
      <c r="AH44" s="92">
        <v>1.161054357358815E10</v>
      </c>
      <c r="AI44" s="92">
        <v>6.280823362422357E10</v>
      </c>
      <c r="AJ44" s="92" t="s">
        <v>295</v>
      </c>
      <c r="AK44" s="92"/>
      <c r="AL44" s="92">
        <v>1.105299611307989E10</v>
      </c>
      <c r="AM44" s="92">
        <v>8.69354568194802E9</v>
      </c>
      <c r="AN44" s="95">
        <v>1.8576109092144077E11</v>
      </c>
      <c r="AO44" s="92"/>
      <c r="AP44" s="92">
        <v>0.0</v>
      </c>
      <c r="AQ44" s="92">
        <v>1.2104969383065335E11</v>
      </c>
      <c r="AR44" s="92">
        <v>6.92342790446E9</v>
      </c>
      <c r="AS44" s="92"/>
      <c r="AT44" s="92"/>
      <c r="AU44" s="92">
        <v>1.712002768E9</v>
      </c>
      <c r="AV44" s="95">
        <v>1.2968512450311336E11</v>
      </c>
      <c r="AW44" s="95">
        <v>3.1544621542455414E11</v>
      </c>
      <c r="AX44" s="92"/>
      <c r="AY44" s="92"/>
      <c r="AZ44" s="92"/>
      <c r="BA44" s="92">
        <v>1.078868324902983E10</v>
      </c>
      <c r="BB44" s="181"/>
      <c r="BC44" s="181">
        <v>0.0</v>
      </c>
      <c r="BD44" s="181">
        <v>0.0</v>
      </c>
      <c r="BE44" s="92">
        <v>4.2136818664733205E9</v>
      </c>
      <c r="BF44" s="92">
        <v>8.9316900095249E8</v>
      </c>
      <c r="BG44" s="92"/>
      <c r="BH44" s="92"/>
      <c r="BI44" s="92">
        <v>2.16279034E8</v>
      </c>
      <c r="BJ44" s="92">
        <v>0.0</v>
      </c>
      <c r="BK44" s="92">
        <v>1.6524248080444E11</v>
      </c>
      <c r="BL44" s="92">
        <v>1.8135429395489563E11</v>
      </c>
      <c r="BM44" s="92"/>
      <c r="BN44" s="92">
        <v>7.176083875E9</v>
      </c>
      <c r="BO44" s="92"/>
      <c r="BP44" s="92"/>
      <c r="BQ44" s="92">
        <v>6.537565029E9</v>
      </c>
      <c r="BR44" s="92">
        <v>0.0</v>
      </c>
      <c r="BS44" s="92">
        <v>1.3713648904E10</v>
      </c>
      <c r="BT44" s="92">
        <v>1.9506794285889563E11</v>
      </c>
      <c r="BU44" s="92"/>
      <c r="BV44" s="92">
        <v>6.8245E10</v>
      </c>
      <c r="BW44" s="92">
        <v>0.0</v>
      </c>
      <c r="BX44" s="92">
        <v>8.358138123698444E9</v>
      </c>
      <c r="BY44" s="92">
        <v>4.133787080233712E10</v>
      </c>
      <c r="BZ44" s="92">
        <v>-5.4180596015E8</v>
      </c>
      <c r="CA44" s="92">
        <v>0.0</v>
      </c>
      <c r="CB44" s="92">
        <v>2.9790696E9</v>
      </c>
      <c r="CC44" s="92">
        <v>1.2037827256588556E11</v>
      </c>
      <c r="CD44" s="92">
        <v>3.154462154247812E11</v>
      </c>
      <c r="CF44" s="49" t="s">
        <v>313</v>
      </c>
      <c r="CG44" s="27"/>
      <c r="CH44" s="98"/>
      <c r="CI44" s="98"/>
      <c r="CJ44" s="98"/>
      <c r="CK44" s="98"/>
      <c r="CL44" s="27"/>
      <c r="CM44" s="27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27"/>
      <c r="DC44" s="98"/>
      <c r="DD44" s="98"/>
      <c r="DE44" s="98"/>
      <c r="DF44" s="98"/>
      <c r="DG44" s="27"/>
      <c r="DH44" s="98"/>
      <c r="DI44" s="98"/>
      <c r="DJ44" s="98"/>
      <c r="DK44" s="98"/>
      <c r="DL44" s="98"/>
      <c r="DM44" s="98"/>
      <c r="DP44" s="64"/>
      <c r="DQ44" s="49" t="s">
        <v>313</v>
      </c>
      <c r="DR44" s="99"/>
      <c r="DS44" s="70"/>
      <c r="DT44" s="99">
        <v>-1.5870692792622E8</v>
      </c>
      <c r="DU44" s="99">
        <v>-875000.0</v>
      </c>
      <c r="DV44" s="186">
        <v>1.9153444513868848E11</v>
      </c>
      <c r="DW44" s="70"/>
      <c r="DX44" s="70"/>
      <c r="DY44" s="99"/>
      <c r="DZ44" s="99">
        <v>1.347397976328726E11</v>
      </c>
      <c r="EA44" s="99">
        <v>9.17094E8</v>
      </c>
      <c r="EB44" s="99">
        <v>2.321006E8</v>
      </c>
      <c r="EC44" s="99">
        <v>-100000.0</v>
      </c>
      <c r="ED44" s="27"/>
      <c r="EE44" s="99">
        <v>1.16355907469038E9</v>
      </c>
      <c r="EF44" s="99">
        <v>5.58476403122E7</v>
      </c>
      <c r="EG44" s="99">
        <v>1.939757316703E7</v>
      </c>
      <c r="EH44" s="99">
        <v>4.171312780663E7</v>
      </c>
      <c r="EI44" s="99">
        <v>2401686.90891</v>
      </c>
      <c r="EJ44" s="99">
        <v>8859257.04442</v>
      </c>
      <c r="EK44" s="99">
        <v>1.199514999631E7</v>
      </c>
      <c r="EL44" s="99">
        <v>2.9913619739272E8</v>
      </c>
      <c r="EM44" s="99">
        <v>2.1314112365668002E8</v>
      </c>
      <c r="EN44" s="27"/>
      <c r="EO44" s="99">
        <v>3.21068E8</v>
      </c>
      <c r="EP44" s="99">
        <v>2.5686954396472E8</v>
      </c>
      <c r="EQ44" s="99"/>
      <c r="ER44" s="99">
        <v>1.858430137E9</v>
      </c>
      <c r="ES44" s="99">
        <v>5.2224587629999995E8</v>
      </c>
      <c r="ET44" s="99">
        <v>7.43180106326626E9</v>
      </c>
      <c r="EU44" s="99"/>
      <c r="EV44" s="99">
        <v>2.119642206564E7</v>
      </c>
      <c r="EW44" s="99">
        <v>1500000.0768400002</v>
      </c>
      <c r="EX44" s="99">
        <v>4.322792E7</v>
      </c>
      <c r="EY44" s="99">
        <v>4.12710005E8</v>
      </c>
      <c r="EZ44" s="99">
        <v>9.03205291E8</v>
      </c>
      <c r="FA44" s="99">
        <v>3.1486049528860003E7</v>
      </c>
      <c r="FB44" s="27"/>
      <c r="FC44" s="99">
        <v>8.97490884E8</v>
      </c>
      <c r="FD44" s="99">
        <v>8.6110703E7</v>
      </c>
      <c r="FE44" s="27"/>
      <c r="FF44" s="99">
        <v>2.1418314E7</v>
      </c>
      <c r="FG44" s="99">
        <v>8.056690499549E7</v>
      </c>
      <c r="FH44" s="27"/>
      <c r="FI44" s="99">
        <v>9.5402E7</v>
      </c>
      <c r="FJ44" s="99">
        <v>1.45224115E8</v>
      </c>
      <c r="FK44" s="27"/>
      <c r="FL44" s="99">
        <v>2.9739393790000004E8</v>
      </c>
      <c r="FM44" s="99">
        <v>2.248758598E8</v>
      </c>
      <c r="FN44" s="27"/>
      <c r="FO44" s="99">
        <v>1.0308769E8</v>
      </c>
      <c r="FP44" s="27"/>
      <c r="FQ44" s="99">
        <v>2.0581131922509998E7</v>
      </c>
      <c r="FR44" s="99">
        <v>5.30488172E8</v>
      </c>
      <c r="FS44" s="27"/>
      <c r="FT44" s="27"/>
      <c r="FU44" s="27"/>
      <c r="FV44" s="99">
        <v>1.14235925E8</v>
      </c>
      <c r="FW44" s="99">
        <v>2.5502786548387998E8</v>
      </c>
      <c r="FX44" s="27"/>
      <c r="FY44" s="27"/>
      <c r="FZ44" s="99">
        <v>9.231793813881001E7</v>
      </c>
      <c r="GA44" s="99">
        <v>2.5029608037022004E8</v>
      </c>
      <c r="GB44" s="99">
        <v>6.046308635287E7</v>
      </c>
      <c r="GC44" s="99">
        <v>1.5871075727400001E7</v>
      </c>
      <c r="GD44" s="99">
        <v>1131714.28571</v>
      </c>
      <c r="GE44" s="99">
        <v>7.751055132473E7</v>
      </c>
      <c r="GF44" s="27"/>
      <c r="GG44" s="27"/>
      <c r="GH44" s="99">
        <v>4.1382672E7</v>
      </c>
      <c r="GI44" s="27"/>
      <c r="GJ44" s="27"/>
      <c r="GK44" s="27"/>
      <c r="GL44" s="187"/>
      <c r="GM44" s="187">
        <v>1.52919559993E11</v>
      </c>
      <c r="GN44" s="70"/>
      <c r="GO44" s="70"/>
      <c r="GP44" s="99">
        <v>2.09573E7</v>
      </c>
      <c r="GQ44" s="99">
        <v>3.67789686E8</v>
      </c>
      <c r="GR44" s="27"/>
      <c r="GS44" s="99">
        <v>3.6206149E7</v>
      </c>
      <c r="GT44" s="99">
        <v>1.05995231E8</v>
      </c>
      <c r="GU44" s="99">
        <v>5.0731045241999996E8</v>
      </c>
      <c r="GV44" s="99">
        <v>2.3875866026332E8</v>
      </c>
      <c r="GW44" s="99">
        <v>1.2001078991999999E8</v>
      </c>
      <c r="GX44" s="99">
        <v>1.2351429301200001E9</v>
      </c>
      <c r="GY44" s="99">
        <v>1.872434085E9</v>
      </c>
      <c r="GZ44" s="99">
        <v>2.481620632E9</v>
      </c>
      <c r="HA44" s="27"/>
      <c r="HB44" s="27"/>
      <c r="HC44" s="99">
        <v>2.16418132E8</v>
      </c>
      <c r="HD44" s="27"/>
      <c r="HE44" s="27"/>
      <c r="HF44" s="99">
        <v>1.610924588E9</v>
      </c>
      <c r="HG44" s="99">
        <v>1.8529019E8</v>
      </c>
      <c r="HH44" s="99">
        <v>3.143946E8</v>
      </c>
      <c r="HI44" s="99">
        <v>1424000.0</v>
      </c>
      <c r="HJ44" s="99">
        <v>4.08140272E8</v>
      </c>
      <c r="HK44" s="99">
        <v>4.2831792E7</v>
      </c>
      <c r="HL44" s="99">
        <v>1125000.0</v>
      </c>
      <c r="HM44" s="27"/>
      <c r="HN44" s="99">
        <v>1.6581312E7</v>
      </c>
      <c r="HO44" s="99">
        <v>1.3300233E8</v>
      </c>
      <c r="HP44" s="99">
        <v>4.0768251E7</v>
      </c>
      <c r="HQ44" s="99">
        <v>8.63847918E8</v>
      </c>
      <c r="HR44" s="99">
        <v>3.4355764E7</v>
      </c>
      <c r="HS44" s="99">
        <v>1.1856775E8</v>
      </c>
      <c r="HT44" s="99">
        <v>3.76885678E8</v>
      </c>
      <c r="HU44" s="99">
        <v>7.669475E7</v>
      </c>
      <c r="HV44" s="99">
        <v>4.4161254E7</v>
      </c>
      <c r="HW44" s="99">
        <v>9.25E7</v>
      </c>
      <c r="HX44" s="99">
        <v>4.31654975E8</v>
      </c>
      <c r="HY44" s="99">
        <v>4.1121991E7</v>
      </c>
      <c r="HZ44" s="99">
        <v>2.691062E7</v>
      </c>
      <c r="IA44" s="99">
        <v>4.15622E7</v>
      </c>
      <c r="IB44" s="99">
        <v>8406458.0</v>
      </c>
      <c r="IC44" s="99">
        <v>5.2426622E7</v>
      </c>
      <c r="ID44" s="99">
        <v>6.0503109E7</v>
      </c>
      <c r="IE44" s="99">
        <v>9.9917562E7</v>
      </c>
      <c r="IF44" s="99">
        <v>3.1625098E7</v>
      </c>
      <c r="IG44" s="99">
        <v>8.2999184E7</v>
      </c>
      <c r="IH44" s="99">
        <v>3053222.0</v>
      </c>
      <c r="II44" s="27"/>
      <c r="IJ44" s="27"/>
      <c r="IK44" s="99">
        <v>3.25464028E7</v>
      </c>
      <c r="IL44" s="99">
        <v>1.0384927E7</v>
      </c>
      <c r="IM44" s="99">
        <v>7.90422279E8</v>
      </c>
      <c r="IN44" s="27"/>
      <c r="IO44" s="99">
        <v>2.5499724E7</v>
      </c>
      <c r="IP44" s="27"/>
      <c r="IQ44" s="27"/>
      <c r="IR44" s="27"/>
      <c r="IS44" s="99">
        <v>2.4852366E7</v>
      </c>
      <c r="IT44" s="27"/>
      <c r="IU44" s="99">
        <v>2.38605648E8</v>
      </c>
      <c r="IV44" s="27"/>
      <c r="IW44" s="27"/>
      <c r="IX44" s="99">
        <v>1.8E7</v>
      </c>
      <c r="IY44" s="27"/>
      <c r="IZ44" s="27"/>
      <c r="JA44" s="99"/>
      <c r="JB44" s="99">
        <v>4.25667104E8</v>
      </c>
      <c r="JC44" s="27"/>
      <c r="JD44" s="99">
        <v>2392309.0</v>
      </c>
      <c r="JE44" s="99">
        <v>5.2520803E7</v>
      </c>
      <c r="JF44" s="27"/>
      <c r="JG44" s="27"/>
      <c r="JH44" s="99">
        <v>5.294405373E7</v>
      </c>
      <c r="JI44" s="99">
        <v>1.1454629E7</v>
      </c>
      <c r="JJ44" s="27"/>
      <c r="JK44" s="99">
        <v>3.225E7</v>
      </c>
      <c r="JL44" s="99">
        <v>4.0989133E7</v>
      </c>
      <c r="JM44" s="99">
        <v>3.3058977E9</v>
      </c>
      <c r="JN44" s="99">
        <v>2.37600982E8</v>
      </c>
      <c r="JO44" s="99">
        <v>8.856385195366E7</v>
      </c>
      <c r="JP44" s="99">
        <v>1.01170028E8</v>
      </c>
      <c r="JQ44" s="99">
        <v>5108761.0</v>
      </c>
      <c r="JR44" s="27"/>
      <c r="JS44" s="27"/>
      <c r="JT44" s="187">
        <v>1.7941191239E10</v>
      </c>
      <c r="JU44" s="70"/>
      <c r="JV44" s="70"/>
      <c r="JW44" s="99">
        <v>3.31594946299E9</v>
      </c>
      <c r="JX44" s="99">
        <v>1.23735E8</v>
      </c>
      <c r="JY44" s="99">
        <v>2.45359087E8</v>
      </c>
      <c r="JZ44" s="186">
        <v>3.68504354999E9</v>
      </c>
      <c r="KA44" s="70"/>
      <c r="KB44" s="70"/>
      <c r="KC44" s="99">
        <v>3.2762448499994E8</v>
      </c>
      <c r="KD44" s="186">
        <v>3.2762448499994E8</v>
      </c>
      <c r="KE44" s="70"/>
      <c r="KF44" s="70"/>
      <c r="KG44" s="99">
        <v>3.876927283E7</v>
      </c>
      <c r="KH44" s="99">
        <v>5.09359502E8</v>
      </c>
      <c r="KI44" s="99">
        <v>2.60905430269703E9</v>
      </c>
      <c r="KJ44" s="99">
        <v>1070500.0</v>
      </c>
      <c r="KK44" s="99">
        <v>31151.850000000002</v>
      </c>
      <c r="KL44" s="99"/>
      <c r="KM44" s="99"/>
      <c r="KN44" s="186">
        <v>3.15828472937703E9</v>
      </c>
      <c r="KO44" s="27"/>
      <c r="KP44" s="70"/>
      <c r="KQ44" s="99">
        <v>4.1065420525E7</v>
      </c>
      <c r="KR44" s="179">
        <v>6.873147146449999E9</v>
      </c>
      <c r="KS44" s="28"/>
      <c r="KT44" s="99">
        <v>4.40895111E8</v>
      </c>
      <c r="KU44" s="27"/>
      <c r="KV44" s="99">
        <v>2.7190976112198997E9</v>
      </c>
      <c r="KW44" s="99">
        <v>3084599.1980899996</v>
      </c>
      <c r="KX44" s="27"/>
      <c r="KY44" s="27"/>
      <c r="KZ44" s="99">
        <v>1.25E9</v>
      </c>
      <c r="LA44" s="27"/>
      <c r="LB44" s="99">
        <v>1.544E8</v>
      </c>
      <c r="LC44" s="99">
        <v>2055546.44</v>
      </c>
      <c r="LD44" s="27"/>
      <c r="LE44" s="186">
        <v>1.464206131584002E10</v>
      </c>
      <c r="LF44" s="27"/>
      <c r="LG44" s="27"/>
      <c r="LH44" s="28" t="s">
        <v>317</v>
      </c>
      <c r="LI44" s="62" t="s">
        <v>317</v>
      </c>
      <c r="LJ44" s="62">
        <f t="shared" si="11"/>
        <v>36595920590</v>
      </c>
      <c r="LK44" s="110"/>
    </row>
    <row r="45">
      <c r="A45" s="49" t="s">
        <v>316</v>
      </c>
      <c r="B45" s="110">
        <v>2.05703910143E11</v>
      </c>
      <c r="C45" s="174">
        <v>1.5943720071E11</v>
      </c>
      <c r="D45" s="147">
        <v>4.6266709433E10</v>
      </c>
      <c r="E45" s="146"/>
      <c r="F45" s="146">
        <v>2.1836035047E10</v>
      </c>
      <c r="G45" s="146">
        <v>4.753631259E9</v>
      </c>
      <c r="H45" s="146">
        <v>4.50453819E8</v>
      </c>
      <c r="I45" s="147">
        <v>2.7040120125E10</v>
      </c>
      <c r="J45" s="147">
        <v>1.9226589307E10</v>
      </c>
      <c r="K45" s="146"/>
      <c r="L45" s="146">
        <v>1.138639499E9</v>
      </c>
      <c r="M45" s="174">
        <v>1.1290004427E10</v>
      </c>
      <c r="N45" s="174">
        <v>-1.0151364928E10</v>
      </c>
      <c r="O45" s="146"/>
      <c r="P45" s="147">
        <v>9.07522438E9</v>
      </c>
      <c r="Q45" s="146"/>
      <c r="R45" s="146"/>
      <c r="S45" s="146"/>
      <c r="T45" s="53">
        <v>9.07522438E9</v>
      </c>
      <c r="U45" s="28"/>
      <c r="V45" s="28"/>
      <c r="W45" s="28"/>
      <c r="X45" s="62">
        <v>9.07522438E9</v>
      </c>
      <c r="Y45" s="28"/>
      <c r="AB45" s="27"/>
      <c r="AC45" s="27"/>
      <c r="AD45" s="28">
        <v>2.6938624993882E10</v>
      </c>
      <c r="AE45" s="28">
        <v>5.78298063159757E10</v>
      </c>
      <c r="AF45" s="28"/>
      <c r="AG45" s="28">
        <v>-3.2589748572E8</v>
      </c>
      <c r="AH45" s="28">
        <v>1.2160161889E10</v>
      </c>
      <c r="AI45" s="28">
        <v>7.37330074657663E10</v>
      </c>
      <c r="AJ45" s="92" t="s">
        <v>295</v>
      </c>
      <c r="AL45" s="28">
        <v>3.3055660368E10</v>
      </c>
      <c r="AM45" s="28">
        <v>1.0264338467E10</v>
      </c>
      <c r="AN45" s="62">
        <v>2.13655702013E11</v>
      </c>
      <c r="AO45" s="27"/>
      <c r="AP45" s="27" t="s">
        <v>295</v>
      </c>
      <c r="AQ45" s="28">
        <v>1.23556282777E11</v>
      </c>
      <c r="AR45" s="28">
        <v>6.892407759E9</v>
      </c>
      <c r="AS45" s="28"/>
      <c r="AT45" s="28"/>
      <c r="AU45" s="28">
        <v>1.712002768E9</v>
      </c>
      <c r="AV45" s="62">
        <v>1.32160693304E11</v>
      </c>
      <c r="AW45" s="62">
        <v>3.45816395318E11</v>
      </c>
      <c r="AX45" s="27"/>
      <c r="AY45" s="27"/>
      <c r="AZ45" s="27"/>
      <c r="BA45" s="28">
        <v>1.582565713E10</v>
      </c>
      <c r="BB45" s="27"/>
      <c r="BC45" s="27" t="s">
        <v>295</v>
      </c>
      <c r="BD45" s="27" t="s">
        <v>295</v>
      </c>
      <c r="BE45" s="28">
        <v>4.14515932E9</v>
      </c>
      <c r="BF45" s="28">
        <v>1.098160751E9</v>
      </c>
      <c r="BG45" s="28"/>
      <c r="BH45" s="28"/>
      <c r="BI45" s="28">
        <v>2.19978025E8</v>
      </c>
      <c r="BJ45" s="27" t="s">
        <v>295</v>
      </c>
      <c r="BK45" s="28">
        <v>1.89797864493E11</v>
      </c>
      <c r="BL45" s="28">
        <v>2.1108681972E11</v>
      </c>
      <c r="BM45" s="27"/>
      <c r="BN45" s="28">
        <v>7.176083875E9</v>
      </c>
      <c r="BP45" s="27" t="s">
        <v>295</v>
      </c>
      <c r="BQ45" s="28">
        <v>6.458132901E9</v>
      </c>
      <c r="BR45" s="27" t="s">
        <v>295</v>
      </c>
      <c r="BS45" s="28">
        <v>1.3634216776E10</v>
      </c>
      <c r="BT45" s="28">
        <v>2.24721036496E11</v>
      </c>
      <c r="BU45" s="27"/>
      <c r="BV45" s="28">
        <v>6.8245E10</v>
      </c>
      <c r="BW45" s="27" t="s">
        <v>295</v>
      </c>
      <c r="BX45" s="28">
        <v>9.07522438E9</v>
      </c>
      <c r="BY45" s="28">
        <v>4.1337870802E10</v>
      </c>
      <c r="BZ45" s="28">
        <v>-5.4180596E8</v>
      </c>
      <c r="CA45" s="27" t="s">
        <v>295</v>
      </c>
      <c r="CB45" s="28">
        <v>2.9790696E9</v>
      </c>
      <c r="CC45" s="28">
        <v>1.21095358822064E11</v>
      </c>
      <c r="CD45" s="28">
        <v>3.45816395317812E11</v>
      </c>
      <c r="CF45" s="49" t="s">
        <v>316</v>
      </c>
      <c r="CG45" s="27"/>
      <c r="CH45" s="98"/>
      <c r="CI45" s="98"/>
      <c r="CJ45" s="98"/>
      <c r="CK45" s="98"/>
      <c r="CL45" s="27"/>
      <c r="CM45" s="27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27"/>
      <c r="DC45" s="98"/>
      <c r="DD45" s="98"/>
      <c r="DE45" s="98"/>
      <c r="DF45" s="98"/>
      <c r="DG45" s="27"/>
      <c r="DH45" s="98"/>
      <c r="DI45" s="98"/>
      <c r="DJ45" s="98"/>
      <c r="DK45" s="98"/>
      <c r="DL45" s="98"/>
      <c r="DM45" s="98"/>
      <c r="DP45" s="64"/>
      <c r="DQ45" s="49" t="s">
        <v>316</v>
      </c>
      <c r="DR45" s="28">
        <v>1.7412574075E10</v>
      </c>
      <c r="DS45" s="188">
        <v>2.0589891115738455E11</v>
      </c>
      <c r="DT45" s="188">
        <v>-2.2462199675506002E8</v>
      </c>
      <c r="DU45" s="188">
        <v>-875000.0</v>
      </c>
      <c r="DV45" s="62">
        <v>2.23085988235E11</v>
      </c>
      <c r="DW45" s="27"/>
      <c r="DX45" s="27"/>
      <c r="DY45" s="28"/>
      <c r="DZ45" s="28">
        <v>1.66073071216E11</v>
      </c>
      <c r="EA45" s="28">
        <v>9.19103E8</v>
      </c>
      <c r="EB45" s="28">
        <v>3.40420384E8</v>
      </c>
      <c r="EC45" s="28">
        <v>-100000.0</v>
      </c>
      <c r="ED45" s="27"/>
      <c r="EE45" s="28">
        <v>1.37278661E9</v>
      </c>
      <c r="EF45" s="28">
        <v>6.0783669E7</v>
      </c>
      <c r="EG45" s="28">
        <v>2.081444E7</v>
      </c>
      <c r="EH45" s="28">
        <v>5.4346081E7</v>
      </c>
      <c r="EI45" s="28">
        <v>7802895.0</v>
      </c>
      <c r="EJ45" s="28">
        <v>1.199753E7</v>
      </c>
      <c r="EK45" s="28">
        <v>1.3657579E7</v>
      </c>
      <c r="EL45" s="28">
        <v>3.6013387E8</v>
      </c>
      <c r="EM45" s="28">
        <v>2.46664769E8</v>
      </c>
      <c r="EN45" s="27"/>
      <c r="EO45" s="28">
        <v>3.82768E8</v>
      </c>
      <c r="EP45" s="28">
        <v>2.7020013E8</v>
      </c>
      <c r="EQ45" s="28"/>
      <c r="ER45" s="28">
        <v>2.167207153E9</v>
      </c>
      <c r="ES45" s="28">
        <v>5.63581876E8</v>
      </c>
      <c r="ET45" s="28">
        <v>8.912818063E9</v>
      </c>
      <c r="EU45" s="28"/>
      <c r="EV45" s="28">
        <v>3.7076714E7</v>
      </c>
      <c r="EW45" s="28">
        <v>1500000.0</v>
      </c>
      <c r="EX45" s="28">
        <v>1.28782866E8</v>
      </c>
      <c r="EY45" s="28">
        <v>4.87735853E8</v>
      </c>
      <c r="EZ45" s="28">
        <v>1.055658327E9</v>
      </c>
      <c r="FA45" s="28">
        <v>3.4123946E7</v>
      </c>
      <c r="FB45" s="27"/>
      <c r="FC45" s="28">
        <v>1.052934489E9</v>
      </c>
      <c r="FD45" s="28">
        <v>9.8979101E7</v>
      </c>
      <c r="FE45" s="27"/>
      <c r="FF45" s="28">
        <v>3.3978461E7</v>
      </c>
      <c r="FG45" s="28">
        <v>8.2705696E7</v>
      </c>
      <c r="FH45" s="27"/>
      <c r="FI45" s="28">
        <v>1.07402E8</v>
      </c>
      <c r="FJ45" s="28">
        <v>1.87868065E8</v>
      </c>
      <c r="FK45" s="27"/>
      <c r="FL45" s="28">
        <v>3.50843648E8</v>
      </c>
      <c r="FM45" s="28">
        <v>2.68260916E8</v>
      </c>
      <c r="FN45" s="27"/>
      <c r="FO45" s="28">
        <v>1.1233894E8</v>
      </c>
      <c r="FP45" s="27"/>
      <c r="FQ45" s="28">
        <v>8316644.0</v>
      </c>
      <c r="FR45" s="28">
        <v>6.01246247E8</v>
      </c>
      <c r="FS45" s="27"/>
      <c r="FT45" s="27"/>
      <c r="FU45" s="27"/>
      <c r="FV45" s="28">
        <v>1.29455675E8</v>
      </c>
      <c r="FW45" s="28">
        <v>4.0518444E8</v>
      </c>
      <c r="FX45" s="28">
        <v>5.2035E7</v>
      </c>
      <c r="FY45" s="27"/>
      <c r="FZ45" s="28">
        <v>1.13746287E8</v>
      </c>
      <c r="GA45" s="28">
        <v>2.93119554E8</v>
      </c>
      <c r="GB45" s="28">
        <v>6.9556091E7</v>
      </c>
      <c r="GC45" s="28">
        <v>1.6226456E7</v>
      </c>
      <c r="GD45" s="28">
        <v>1131714.0</v>
      </c>
      <c r="GE45" s="28">
        <v>1.41408284E8</v>
      </c>
      <c r="GF45" s="27"/>
      <c r="GG45" s="27"/>
      <c r="GH45" s="28">
        <v>5.1794826E7</v>
      </c>
      <c r="GI45" s="27"/>
      <c r="GJ45" s="27"/>
      <c r="GK45" s="27"/>
      <c r="GL45" s="62"/>
      <c r="GM45" s="62">
        <v>1.76812907952E11</v>
      </c>
      <c r="GN45" s="27"/>
      <c r="GO45" s="27"/>
      <c r="GP45" s="27"/>
      <c r="GQ45" s="28">
        <v>8.16701388E8</v>
      </c>
      <c r="GR45" s="28">
        <v>4.24470747E8</v>
      </c>
      <c r="GS45" s="28">
        <v>4.1928341E7</v>
      </c>
      <c r="GT45" s="28">
        <v>1.55573936E8</v>
      </c>
      <c r="GU45" s="28">
        <v>5.90128948E8</v>
      </c>
      <c r="GV45" s="28">
        <v>2.79619524E8</v>
      </c>
      <c r="GW45" s="28">
        <v>1.42129291E8</v>
      </c>
      <c r="GX45" s="28">
        <v>1.441270918E9</v>
      </c>
      <c r="GY45" s="28">
        <v>2.184506432E9</v>
      </c>
      <c r="GZ45" s="28">
        <v>2.926934967E9</v>
      </c>
      <c r="HA45" s="27"/>
      <c r="HB45" s="27"/>
      <c r="HC45" s="28">
        <v>2.29364305E8</v>
      </c>
      <c r="HD45" s="27"/>
      <c r="HE45" s="27"/>
      <c r="HF45" s="28">
        <v>1.610924588E9</v>
      </c>
      <c r="HG45" s="28">
        <v>2.14503601E8</v>
      </c>
      <c r="HH45" s="28">
        <v>3.79075269E8</v>
      </c>
      <c r="HI45" s="28">
        <v>4858821.0</v>
      </c>
      <c r="HJ45" s="28">
        <v>4.82949184E8</v>
      </c>
      <c r="HK45" s="28">
        <v>4.3211792E7</v>
      </c>
      <c r="HL45" s="28">
        <v>1725000.0</v>
      </c>
      <c r="HM45" s="27"/>
      <c r="HN45" s="28">
        <v>1.6581312E7</v>
      </c>
      <c r="HO45" s="28">
        <v>1.80085043E8</v>
      </c>
      <c r="HP45" s="28">
        <v>5.7144021E7</v>
      </c>
      <c r="HQ45" s="28">
        <v>1.020015414E9</v>
      </c>
      <c r="HR45" s="28">
        <v>5.2955819E7</v>
      </c>
      <c r="HS45" s="28">
        <v>1.2058775E8</v>
      </c>
      <c r="HT45" s="28">
        <v>4.35716535E8</v>
      </c>
      <c r="HU45" s="28">
        <v>1.4206975E8</v>
      </c>
      <c r="HV45" s="28">
        <v>1.18680904E8</v>
      </c>
      <c r="HW45" s="28">
        <v>1.85E8</v>
      </c>
      <c r="HX45" s="28">
        <v>4.31654975E8</v>
      </c>
      <c r="HY45" s="28">
        <v>7.1029277E7</v>
      </c>
      <c r="HZ45" s="28">
        <v>3.5712987E7</v>
      </c>
      <c r="IA45" s="28">
        <v>4.9954678E7</v>
      </c>
      <c r="IB45" s="28">
        <v>1.4098258E7</v>
      </c>
      <c r="IC45" s="28">
        <v>7.4507336E7</v>
      </c>
      <c r="ID45" s="28">
        <v>8.5613709E7</v>
      </c>
      <c r="IE45" s="28">
        <v>1.17619373E8</v>
      </c>
      <c r="IF45" s="28">
        <v>3.6165845E7</v>
      </c>
      <c r="IG45" s="28">
        <v>1.45887972E8</v>
      </c>
      <c r="IH45" s="28">
        <v>8203832.0</v>
      </c>
      <c r="II45" s="27"/>
      <c r="IJ45" s="27"/>
      <c r="IK45" s="28">
        <v>3.4696403E7</v>
      </c>
      <c r="IL45" s="28">
        <v>1.2454789E7</v>
      </c>
      <c r="IM45" s="28">
        <v>8.71066499E8</v>
      </c>
      <c r="IN45" s="27"/>
      <c r="IO45" s="28">
        <v>2.5499724E7</v>
      </c>
      <c r="IP45" s="28">
        <v>7.4E7</v>
      </c>
      <c r="IQ45" s="27"/>
      <c r="IR45" s="27"/>
      <c r="IS45" s="28">
        <v>2.4852366E7</v>
      </c>
      <c r="IT45" s="28">
        <v>5.8783784E7</v>
      </c>
      <c r="IU45" s="28">
        <v>2.78373256E8</v>
      </c>
      <c r="IV45" s="27"/>
      <c r="IW45" s="27"/>
      <c r="IX45" s="28">
        <v>6.765E7</v>
      </c>
      <c r="IY45" s="27"/>
      <c r="IZ45" s="27"/>
      <c r="JA45" s="28"/>
      <c r="JB45" s="28">
        <v>5.03167104E8</v>
      </c>
      <c r="JC45" s="27"/>
      <c r="JD45" s="28">
        <v>3992309.0</v>
      </c>
      <c r="JE45" s="28">
        <v>5.8006503E7</v>
      </c>
      <c r="JF45" s="27"/>
      <c r="JG45" s="27"/>
      <c r="JH45" s="28">
        <v>6.1845698E7</v>
      </c>
      <c r="JI45" s="28">
        <v>1.1454629E7</v>
      </c>
      <c r="JJ45" s="27"/>
      <c r="JK45" s="28">
        <v>3.225E7</v>
      </c>
      <c r="JL45" s="28">
        <v>4.0989133E7</v>
      </c>
      <c r="JM45" s="28">
        <v>3.840249896E9</v>
      </c>
      <c r="JN45" s="28">
        <v>2.72100914E8</v>
      </c>
      <c r="JO45" s="28">
        <v>1.18123362E8</v>
      </c>
      <c r="JP45" s="28">
        <v>1.01170028E8</v>
      </c>
      <c r="JQ45" s="28">
        <v>5146761.0</v>
      </c>
      <c r="JR45" s="27"/>
      <c r="JS45" s="27"/>
      <c r="JT45" s="62">
        <v>2.1865035E10</v>
      </c>
      <c r="JU45" s="27"/>
      <c r="JV45" s="27"/>
      <c r="JW45" s="28">
        <v>4.27529065E9</v>
      </c>
      <c r="JX45" s="28">
        <v>1.45735E8</v>
      </c>
      <c r="JY45" s="28">
        <v>3.32605609E8</v>
      </c>
      <c r="JZ45" s="62">
        <v>4.753631259E9</v>
      </c>
      <c r="KA45" s="27"/>
      <c r="KB45" s="27"/>
      <c r="KC45" s="28">
        <v>4.50453819E8</v>
      </c>
      <c r="KD45" s="62">
        <v>4.50453819E8</v>
      </c>
      <c r="KE45" s="27"/>
      <c r="KF45" s="27"/>
      <c r="KG45" s="28">
        <v>4.9366996E7</v>
      </c>
      <c r="KH45" s="28">
        <v>5.26359502E8</v>
      </c>
      <c r="KI45" s="28">
        <v>1.0404841E7</v>
      </c>
      <c r="KJ45" s="28">
        <v>1070500.0</v>
      </c>
      <c r="KK45" s="28">
        <v>33113.0</v>
      </c>
      <c r="KL45" s="28">
        <v>1.9994031E7</v>
      </c>
      <c r="KM45" s="27"/>
      <c r="KN45" s="62">
        <v>6.07228983E8</v>
      </c>
      <c r="KO45" s="27"/>
      <c r="KP45" s="27"/>
      <c r="KQ45" s="28">
        <v>4.945948E7</v>
      </c>
      <c r="KR45" s="28">
        <v>8.395125138539999E9</v>
      </c>
      <c r="KS45" s="28"/>
      <c r="KT45" s="28">
        <v>4.40895111E8</v>
      </c>
      <c r="KU45" s="27"/>
      <c r="KV45" s="27"/>
      <c r="KW45" s="28">
        <v>3089445.0</v>
      </c>
      <c r="KX45" s="27"/>
      <c r="KY45" s="27"/>
      <c r="KZ45" s="28">
        <v>1.7E9</v>
      </c>
      <c r="LA45" s="27"/>
      <c r="LB45" s="28">
        <v>1.6796919E8</v>
      </c>
      <c r="LC45" s="28">
        <v>2055546.0</v>
      </c>
      <c r="LD45" s="27"/>
      <c r="LE45" s="62">
        <v>1.0758593911E10</v>
      </c>
      <c r="LF45" s="27"/>
      <c r="LG45" s="27"/>
      <c r="LH45" s="28" t="s">
        <v>317</v>
      </c>
      <c r="LI45" s="62" t="s">
        <v>317</v>
      </c>
      <c r="LJ45" s="62">
        <f t="shared" si="11"/>
        <v>37827713989</v>
      </c>
      <c r="LK45" s="110"/>
    </row>
    <row r="46">
      <c r="A46" s="49" t="s">
        <v>318</v>
      </c>
      <c r="B46" s="146">
        <v>2.6702989083E11</v>
      </c>
      <c r="C46" s="174">
        <v>2.08275379546E11</v>
      </c>
      <c r="D46" s="147">
        <v>5.8754511284E10</v>
      </c>
      <c r="E46" s="146"/>
      <c r="F46" s="146">
        <v>2.5270272652E10</v>
      </c>
      <c r="G46" s="146">
        <v>5.872187152E9</v>
      </c>
      <c r="H46" s="146">
        <v>5.93381999E8</v>
      </c>
      <c r="I46" s="147">
        <v>3.1735841803E10</v>
      </c>
      <c r="J46" s="147">
        <v>2.7018669481E10</v>
      </c>
      <c r="K46" s="146"/>
      <c r="L46" s="146">
        <v>1.263627517E9</v>
      </c>
      <c r="M46" s="174">
        <v>1.3396348576E10</v>
      </c>
      <c r="N46" s="174">
        <v>-1.2132721059E10</v>
      </c>
      <c r="O46" s="146"/>
      <c r="P46" s="147">
        <v>1.4885948422E10</v>
      </c>
      <c r="Q46" s="146"/>
      <c r="R46" s="146"/>
      <c r="S46" s="146"/>
      <c r="T46" s="53">
        <v>1.4885948422E10</v>
      </c>
      <c r="U46" s="27"/>
      <c r="V46" s="28"/>
      <c r="W46" s="27"/>
      <c r="X46" s="62">
        <v>1.4885948422E10</v>
      </c>
      <c r="Y46" s="27"/>
      <c r="AB46" s="27"/>
      <c r="AC46" s="27"/>
      <c r="AD46" s="28">
        <v>2.9892210244E10</v>
      </c>
      <c r="AE46" s="27"/>
      <c r="AF46" s="27"/>
      <c r="AG46" s="27"/>
      <c r="AH46" s="27"/>
      <c r="AI46" s="27"/>
      <c r="AJ46" s="92" t="s">
        <v>295</v>
      </c>
      <c r="AK46" s="27"/>
      <c r="AL46" s="27"/>
      <c r="AM46" s="27"/>
      <c r="AN46" s="15"/>
      <c r="AO46" s="27"/>
      <c r="AP46" s="27"/>
      <c r="AQ46" s="27"/>
      <c r="AR46" s="27"/>
      <c r="AS46" s="27"/>
      <c r="AT46" s="27"/>
      <c r="AU46" s="28">
        <v>1.712002768E9</v>
      </c>
      <c r="AV46" s="15"/>
      <c r="AW46" s="15"/>
      <c r="AX46" s="27"/>
      <c r="AY46" s="27"/>
      <c r="AZ46" s="27"/>
      <c r="BA46" s="27"/>
      <c r="BB46" s="27"/>
      <c r="BC46" s="27"/>
      <c r="BD46" s="27"/>
      <c r="BE46" s="28"/>
      <c r="BF46" s="28"/>
      <c r="BG46" s="27"/>
      <c r="BH46" s="27"/>
      <c r="BI46" s="28"/>
      <c r="BJ46" s="27"/>
      <c r="BK46" s="61"/>
      <c r="BL46" s="28"/>
      <c r="BM46" s="27"/>
      <c r="BN46" s="28"/>
      <c r="BO46" s="27"/>
      <c r="BP46" s="27"/>
      <c r="BQ46" s="28"/>
      <c r="BR46" s="27"/>
      <c r="BS46" s="28"/>
      <c r="BT46" s="28"/>
      <c r="BU46" s="27"/>
      <c r="BV46" s="28"/>
      <c r="BW46" s="27"/>
      <c r="BX46" s="28"/>
      <c r="BY46" s="28"/>
      <c r="BZ46" s="28"/>
      <c r="CA46" s="27"/>
      <c r="CB46" s="28"/>
      <c r="CC46" s="28"/>
      <c r="CD46" s="28"/>
      <c r="CF46" s="49" t="s">
        <v>318</v>
      </c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P46" s="64"/>
      <c r="DQ46" s="49" t="s">
        <v>318</v>
      </c>
      <c r="DR46" s="27"/>
      <c r="DS46" s="27"/>
      <c r="DT46" s="28">
        <v>-2.2922515E8</v>
      </c>
      <c r="DU46" s="28">
        <v>-875000.0</v>
      </c>
      <c r="DV46" s="62">
        <v>2.77910905262E11</v>
      </c>
      <c r="DW46" s="27"/>
      <c r="DX46" s="27"/>
      <c r="DY46" s="28"/>
      <c r="DZ46" s="28">
        <v>1.93941527069E11</v>
      </c>
      <c r="EA46" s="28">
        <v>1.236599E9</v>
      </c>
      <c r="EB46" s="28">
        <v>4.46362304E8</v>
      </c>
      <c r="EC46" s="28">
        <v>-100000.0</v>
      </c>
      <c r="ED46" s="27"/>
      <c r="EE46" s="28">
        <v>1.583444601E9</v>
      </c>
      <c r="EF46" s="28">
        <v>6.923601E7</v>
      </c>
      <c r="EG46" s="28">
        <v>4.0952921E7</v>
      </c>
      <c r="EH46" s="28">
        <v>5.4829758E7</v>
      </c>
      <c r="EI46" s="28">
        <v>8879462.0</v>
      </c>
      <c r="EJ46" s="28">
        <v>1.2439259E7</v>
      </c>
      <c r="EK46" s="28">
        <v>2.0979527E7</v>
      </c>
      <c r="EL46" s="28">
        <v>4.4493506E8</v>
      </c>
      <c r="EM46" s="28">
        <v>2.79583156E8</v>
      </c>
      <c r="EN46" s="27"/>
      <c r="EO46" s="28">
        <v>4.65868E8</v>
      </c>
      <c r="EP46" s="28">
        <v>3.07581385E8</v>
      </c>
      <c r="EQ46" s="28"/>
      <c r="ER46" s="28">
        <v>2.532556684E9</v>
      </c>
      <c r="ES46" s="28">
        <v>6.25194676E8</v>
      </c>
      <c r="ET46" s="28">
        <v>1.0023431182E10</v>
      </c>
      <c r="EU46" s="28"/>
      <c r="EV46" s="28">
        <v>9.9890029E7</v>
      </c>
      <c r="EW46" s="28">
        <v>1500000.0</v>
      </c>
      <c r="EX46" s="28">
        <v>1.37619868E8</v>
      </c>
      <c r="EY46" s="28">
        <v>5.66232743E8</v>
      </c>
      <c r="EZ46" s="28">
        <v>1.209636091E9</v>
      </c>
      <c r="FA46" s="28">
        <v>3.4549017E7</v>
      </c>
      <c r="FB46" s="27"/>
      <c r="FC46" s="28">
        <v>1.283329544E9</v>
      </c>
      <c r="FD46" s="28">
        <v>1.13446352E8</v>
      </c>
      <c r="FE46" s="27"/>
      <c r="FF46" s="28">
        <v>3.6756261E7</v>
      </c>
      <c r="FG46" s="28">
        <v>8.5636977E7</v>
      </c>
      <c r="FH46" s="27"/>
      <c r="FI46" s="28">
        <v>1.31412E8</v>
      </c>
      <c r="FJ46" s="28">
        <v>2.3197509E8</v>
      </c>
      <c r="FK46" s="27"/>
      <c r="FL46" s="28">
        <v>3.83878938E8</v>
      </c>
      <c r="FM46" s="28">
        <v>3.08667446E8</v>
      </c>
      <c r="FN46" s="27"/>
      <c r="FO46" s="28">
        <v>1.35526615E8</v>
      </c>
      <c r="FP46" s="27"/>
      <c r="FQ46" s="28">
        <v>4.185327E7</v>
      </c>
      <c r="FR46" s="28">
        <v>6.46700247E8</v>
      </c>
      <c r="FS46" s="27"/>
      <c r="FT46" s="27"/>
      <c r="FU46" s="27"/>
      <c r="FV46" s="28">
        <v>1.34608675E8</v>
      </c>
      <c r="FW46" s="28">
        <v>4.97415691E8</v>
      </c>
      <c r="FX46" s="28">
        <v>9.1035E7</v>
      </c>
      <c r="FY46" s="27"/>
      <c r="FZ46" s="28">
        <v>1.38463275E8</v>
      </c>
      <c r="GA46" s="28">
        <v>4.22115961E8</v>
      </c>
      <c r="GB46" s="28">
        <v>8.196396E7</v>
      </c>
      <c r="GC46" s="28">
        <v>2.1874167E7</v>
      </c>
      <c r="GD46" s="28">
        <v>2891714.0</v>
      </c>
      <c r="GE46" s="28">
        <v>1.86506879E8</v>
      </c>
      <c r="GF46" s="27"/>
      <c r="GG46" s="27"/>
      <c r="GH46" s="28">
        <v>6.3517123E7</v>
      </c>
      <c r="GI46" s="27"/>
      <c r="GJ46" s="27"/>
      <c r="GK46" s="27"/>
      <c r="GL46" s="62"/>
      <c r="GM46" s="62">
        <v>2.19150612186E11</v>
      </c>
      <c r="GN46" s="27"/>
      <c r="GO46" s="27"/>
      <c r="GP46" s="27"/>
      <c r="GQ46" s="28">
        <v>1.303161906E9</v>
      </c>
      <c r="GR46" s="28">
        <v>4.81151808E8</v>
      </c>
      <c r="GS46" s="28">
        <v>5.2723121E7</v>
      </c>
      <c r="GT46" s="28">
        <v>1.91928421E8</v>
      </c>
      <c r="GU46" s="28">
        <v>6.72947444E8</v>
      </c>
      <c r="GV46" s="28">
        <v>3.2135463E8</v>
      </c>
      <c r="GW46" s="28">
        <v>1.64247792E8</v>
      </c>
      <c r="GX46" s="28">
        <v>1.647398907E9</v>
      </c>
      <c r="GY46" s="28">
        <v>2.496578779E9</v>
      </c>
      <c r="GZ46" s="28">
        <v>3.380502761E9</v>
      </c>
      <c r="HA46" s="27"/>
      <c r="HB46" s="27"/>
      <c r="HC46" s="28">
        <v>2.58722822E8</v>
      </c>
      <c r="HD46" s="27"/>
      <c r="HE46" s="27"/>
      <c r="HF46" s="28">
        <v>1.610924588E9</v>
      </c>
      <c r="HG46" s="28">
        <v>2.45038691E8</v>
      </c>
      <c r="HH46" s="28">
        <v>4.44681864E8</v>
      </c>
      <c r="HI46" s="28">
        <v>9070621.0</v>
      </c>
      <c r="HJ46" s="28">
        <v>5.4298544E8</v>
      </c>
      <c r="HK46" s="28">
        <v>4.5279792E7</v>
      </c>
      <c r="HL46" s="28">
        <v>1725000.0</v>
      </c>
      <c r="HM46" s="27"/>
      <c r="HN46" s="28">
        <v>1.6581312E7</v>
      </c>
      <c r="HO46" s="28">
        <v>2.27485754E8</v>
      </c>
      <c r="HP46" s="28">
        <v>6.4296471E7</v>
      </c>
      <c r="HQ46" s="28">
        <v>1.186484703E9</v>
      </c>
      <c r="HR46" s="28">
        <v>5.9715864E7</v>
      </c>
      <c r="HS46" s="28">
        <v>1.3322225E8</v>
      </c>
      <c r="HT46" s="28">
        <v>5.12723907E8</v>
      </c>
      <c r="HU46" s="28">
        <v>1.9589475E8</v>
      </c>
      <c r="HV46" s="28">
        <v>1.28563904E8</v>
      </c>
      <c r="HW46" s="28">
        <v>1.85E8</v>
      </c>
      <c r="HX46" s="28">
        <v>4.31654975E8</v>
      </c>
      <c r="HY46" s="28">
        <v>7.9955447E7</v>
      </c>
      <c r="HZ46" s="28">
        <v>4.5658606E7</v>
      </c>
      <c r="IA46" s="28">
        <v>5.2832031E7</v>
      </c>
      <c r="IB46" s="28">
        <v>1.5985658E7</v>
      </c>
      <c r="IC46" s="28">
        <v>9.9674367E7</v>
      </c>
      <c r="ID46" s="28">
        <v>1.02429663E8</v>
      </c>
      <c r="IE46" s="28">
        <v>1.284771E8</v>
      </c>
      <c r="IF46" s="28">
        <v>4.0774117E7</v>
      </c>
      <c r="IG46" s="28">
        <v>1.61979472E8</v>
      </c>
      <c r="IH46" s="28">
        <v>1.3454634E7</v>
      </c>
      <c r="II46" s="27"/>
      <c r="IJ46" s="27"/>
      <c r="IK46" s="28">
        <v>3.501307E7</v>
      </c>
      <c r="IL46" s="28">
        <v>2.9248591E7</v>
      </c>
      <c r="IM46" s="28">
        <v>9.75508925E8</v>
      </c>
      <c r="IN46" s="27"/>
      <c r="IO46" s="28">
        <v>3.7945878E7</v>
      </c>
      <c r="IP46" s="28">
        <v>1.87774079E8</v>
      </c>
      <c r="IQ46" s="27"/>
      <c r="IR46" s="27"/>
      <c r="IS46" s="28">
        <v>2.4852366E7</v>
      </c>
      <c r="IT46" s="28">
        <v>1.17342343E8</v>
      </c>
      <c r="IU46" s="28">
        <v>3.18140864E8</v>
      </c>
      <c r="IV46" s="27"/>
      <c r="IW46" s="27"/>
      <c r="IX46" s="28">
        <v>6.785E7</v>
      </c>
      <c r="IY46" s="27"/>
      <c r="IZ46" s="27"/>
      <c r="JA46" s="28"/>
      <c r="JB46" s="28">
        <v>5.59467104E8</v>
      </c>
      <c r="JC46" s="27"/>
      <c r="JD46" s="28">
        <v>3992309.0</v>
      </c>
      <c r="JE46" s="28">
        <v>5.8006503E7</v>
      </c>
      <c r="JF46" s="28">
        <v>1695327.0</v>
      </c>
      <c r="JG46" s="27"/>
      <c r="JH46" s="28">
        <v>7.0747342E7</v>
      </c>
      <c r="JI46" s="28">
        <v>1.1454629E7</v>
      </c>
      <c r="JJ46" s="27"/>
      <c r="JK46" s="28">
        <v>3.225E7</v>
      </c>
      <c r="JL46" s="28">
        <v>4.0989133E7</v>
      </c>
      <c r="JM46" s="28">
        <v>4.382316146E9</v>
      </c>
      <c r="JN46" s="28">
        <v>3.07011601E8</v>
      </c>
      <c r="JO46" s="28">
        <v>1.19376475E8</v>
      </c>
      <c r="JP46" s="28">
        <v>1.59623788E8</v>
      </c>
      <c r="JQ46" s="28">
        <v>5396761.0</v>
      </c>
      <c r="JR46" s="27"/>
      <c r="JS46" s="27"/>
      <c r="JT46" s="62">
        <v>2.5299272605E10</v>
      </c>
      <c r="JU46" s="27"/>
      <c r="JV46" s="27"/>
      <c r="JW46" s="28">
        <v>5.32110759E9</v>
      </c>
      <c r="JX46" s="28">
        <v>1.62735E8</v>
      </c>
      <c r="JY46" s="28">
        <v>3.88344562E8</v>
      </c>
      <c r="JZ46" s="62">
        <v>5.872187152E9</v>
      </c>
      <c r="KA46" s="27"/>
      <c r="KB46" s="27"/>
      <c r="KC46" s="28">
        <v>5.93381999E8</v>
      </c>
      <c r="KD46" s="62">
        <v>5.93381999E8</v>
      </c>
      <c r="KE46" s="27"/>
      <c r="KF46" s="27"/>
      <c r="KG46" s="28">
        <v>6.1126386E7</v>
      </c>
      <c r="KH46" s="28">
        <v>5.43360202E8</v>
      </c>
      <c r="KI46" s="28">
        <v>3.549474412E9</v>
      </c>
      <c r="KJ46" s="28">
        <v>1070500.0</v>
      </c>
      <c r="KK46" s="28">
        <v>34691.0</v>
      </c>
      <c r="KL46" s="28">
        <v>4.9103781E7</v>
      </c>
      <c r="KM46" s="27"/>
      <c r="KN46" s="62">
        <v>4.204169972E9</v>
      </c>
      <c r="KO46" s="27"/>
      <c r="KP46" s="27"/>
      <c r="KQ46" s="28">
        <v>5.778601E7</v>
      </c>
      <c r="KR46" s="28">
        <v>1.0198060370539999E10</v>
      </c>
      <c r="KS46" s="28"/>
      <c r="KT46" s="28">
        <v>7.35976187E8</v>
      </c>
      <c r="KU46" s="27"/>
      <c r="KV46" s="28">
        <v>3.471952972E9</v>
      </c>
      <c r="KW46" s="28">
        <v>3090756.0</v>
      </c>
      <c r="KX46" s="27"/>
      <c r="KY46" s="27"/>
      <c r="KZ46" s="28">
        <v>1.7E9</v>
      </c>
      <c r="LA46" s="27"/>
      <c r="LB46" s="28">
        <v>1.6796919E8</v>
      </c>
      <c r="LC46" s="28">
        <v>2055546.0</v>
      </c>
      <c r="LD46" s="27"/>
      <c r="LE46" s="62">
        <v>1.6336891031E10</v>
      </c>
      <c r="LF46" s="27"/>
      <c r="LG46" s="27"/>
      <c r="LH46" s="28" t="s">
        <v>317</v>
      </c>
      <c r="LI46" s="62" t="s">
        <v>317</v>
      </c>
      <c r="LJ46" s="62">
        <f t="shared" si="11"/>
        <v>48101732787</v>
      </c>
      <c r="LK46" s="110"/>
    </row>
    <row r="47">
      <c r="A47" s="49" t="s">
        <v>3</v>
      </c>
      <c r="B47" s="146">
        <v>3.11914729969E11</v>
      </c>
      <c r="C47" s="146">
        <v>2.47065741443E11</v>
      </c>
      <c r="D47" s="147">
        <v>6.4848988526E10</v>
      </c>
      <c r="E47" s="146"/>
      <c r="F47" s="146">
        <v>2.9228621765E10</v>
      </c>
      <c r="G47" s="146">
        <v>6.393287929E9</v>
      </c>
      <c r="H47" s="146">
        <v>6.77713099E8</v>
      </c>
      <c r="I47" s="147">
        <v>3.6299622793E10</v>
      </c>
      <c r="J47" s="146">
        <v>2.8549365733E10</v>
      </c>
      <c r="K47" s="146"/>
      <c r="L47" s="146">
        <v>1.585798464E9</v>
      </c>
      <c r="M47" s="146">
        <v>1.558484481E10</v>
      </c>
      <c r="N47" s="147">
        <v>-1.3999046346E10</v>
      </c>
      <c r="O47" s="146"/>
      <c r="P47" s="146">
        <v>1.4550319387E10</v>
      </c>
      <c r="Q47" s="146">
        <v>0.0</v>
      </c>
      <c r="R47" s="146"/>
      <c r="S47" s="146">
        <v>0.0</v>
      </c>
      <c r="T47" s="53">
        <v>1.4550319387E10</v>
      </c>
      <c r="U47" s="27"/>
      <c r="V47" s="28"/>
      <c r="W47" s="27"/>
      <c r="X47" s="62">
        <v>1.4550319387E10</v>
      </c>
      <c r="Y47" s="27"/>
      <c r="AB47" s="27"/>
      <c r="AC47" s="27"/>
      <c r="AD47" s="28">
        <v>9.260523364E9</v>
      </c>
      <c r="AE47" s="28">
        <v>1.0823530743E11</v>
      </c>
      <c r="AF47" s="27"/>
      <c r="AG47" s="28">
        <v>-3.25897486E8</v>
      </c>
      <c r="AH47" s="28">
        <v>1.2513931889E10</v>
      </c>
      <c r="AI47" s="28">
        <v>7.2678939342E10</v>
      </c>
      <c r="AJ47" s="92" t="s">
        <v>295</v>
      </c>
      <c r="AK47" s="27"/>
      <c r="AL47" s="28">
        <v>1.7478731307E10</v>
      </c>
      <c r="AM47" s="28">
        <v>1.2208543201E10</v>
      </c>
      <c r="AN47" s="62">
        <v>2.32050079047E11</v>
      </c>
      <c r="AO47" s="27"/>
      <c r="AP47" s="27"/>
      <c r="AQ47" s="28">
        <v>1.24901778938E11</v>
      </c>
      <c r="AR47" s="28">
        <v>6.830367469E9</v>
      </c>
      <c r="AS47" s="27"/>
      <c r="AT47" s="27"/>
      <c r="AU47" s="28">
        <v>1.712002768E9</v>
      </c>
      <c r="AV47" s="62">
        <v>1.45433198911E11</v>
      </c>
      <c r="AW47" s="62">
        <v>3.65494228221E11</v>
      </c>
      <c r="AX47" s="27"/>
      <c r="AY47" s="27"/>
      <c r="AZ47" s="27"/>
      <c r="BA47" s="28">
        <v>2.4591271235E10</v>
      </c>
      <c r="BB47" s="27"/>
      <c r="BC47" s="27"/>
      <c r="BD47" s="27"/>
      <c r="BE47" s="28">
        <v>5.601444248E9</v>
      </c>
      <c r="BF47" s="28">
        <v>9.06419751E8</v>
      </c>
      <c r="BG47" s="27"/>
      <c r="BH47" s="27"/>
      <c r="BI47" s="28">
        <v>1.5342376E8</v>
      </c>
      <c r="BJ47" s="27"/>
      <c r="BK47" s="28">
        <v>1.94502473897E11</v>
      </c>
      <c r="BL47" s="28">
        <v>2.25755032891E11</v>
      </c>
      <c r="BM47" s="27"/>
      <c r="BN47" s="28">
        <v>7.176083875E9</v>
      </c>
      <c r="BO47" s="27"/>
      <c r="BP47" s="27"/>
      <c r="BQ47" s="28">
        <v>5.992657627E9</v>
      </c>
      <c r="BR47" s="27"/>
      <c r="BS47" s="28">
        <v>1.3168741502E10</v>
      </c>
      <c r="BT47" s="28">
        <v>2.38923774393E11</v>
      </c>
      <c r="BU47" s="27"/>
      <c r="BV47" s="28">
        <v>6.8245E10</v>
      </c>
      <c r="BW47" s="27"/>
      <c r="BX47" s="28">
        <v>1.4550319387E10</v>
      </c>
      <c r="BY47" s="28">
        <v>4.1337870802E10</v>
      </c>
      <c r="BZ47" s="28">
        <v>-5.4180596E8</v>
      </c>
      <c r="CA47" s="27"/>
      <c r="CB47" s="28">
        <v>2.9790696E9</v>
      </c>
      <c r="CC47" s="28">
        <v>1.26570453829E11</v>
      </c>
      <c r="CD47" s="28">
        <v>3.65494228222E11</v>
      </c>
      <c r="CF47" s="49" t="s">
        <v>3</v>
      </c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P47" s="64"/>
      <c r="DQ47" s="49" t="s">
        <v>3</v>
      </c>
      <c r="DR47" s="27"/>
      <c r="DS47" s="27"/>
      <c r="DT47" s="28">
        <v>-2.37237672E8</v>
      </c>
      <c r="DU47" s="28">
        <v>-875000.0</v>
      </c>
      <c r="DV47" s="62">
        <v>3.22498145375E11</v>
      </c>
      <c r="DW47" s="27"/>
      <c r="DX47" s="27"/>
      <c r="DY47" s="28"/>
      <c r="DZ47" s="28">
        <v>2.29747480909E11</v>
      </c>
      <c r="EA47" s="28">
        <v>1.236599E9</v>
      </c>
      <c r="EB47" s="28">
        <v>4.46362304E8</v>
      </c>
      <c r="EC47" s="28">
        <v>-100000.0</v>
      </c>
      <c r="ED47" s="27"/>
      <c r="EE47" s="28">
        <v>1.794667398E9</v>
      </c>
      <c r="EF47" s="28">
        <v>7.3611112E7</v>
      </c>
      <c r="EG47" s="28">
        <v>4.4991652E7</v>
      </c>
      <c r="EH47" s="28">
        <v>5.5666735E7</v>
      </c>
      <c r="EI47" s="28">
        <v>1.2135888E7</v>
      </c>
      <c r="EJ47" s="28">
        <v>1.4774524E7</v>
      </c>
      <c r="EK47" s="28">
        <v>4.0601888E7</v>
      </c>
      <c r="EL47" s="28">
        <v>4.64699884E8</v>
      </c>
      <c r="EM47" s="28">
        <v>3.13058877E8</v>
      </c>
      <c r="EN47" s="27"/>
      <c r="EO47" s="28">
        <v>5.06168E8</v>
      </c>
      <c r="EP47" s="28">
        <v>2.84052767E8</v>
      </c>
      <c r="EQ47" s="28"/>
      <c r="ER47" s="28">
        <v>2.876563724E9</v>
      </c>
      <c r="ES47" s="28">
        <v>8.03383901E8</v>
      </c>
      <c r="ET47" s="28">
        <v>1.0496962176E10</v>
      </c>
      <c r="EU47" s="28"/>
      <c r="EV47" s="28">
        <v>1.31614273E8</v>
      </c>
      <c r="EW47" s="28">
        <v>1500000.0</v>
      </c>
      <c r="EX47" s="28">
        <v>1.45246865E8</v>
      </c>
      <c r="EY47" s="28">
        <v>6.4627125E8</v>
      </c>
      <c r="EZ47" s="28">
        <v>1.363575439E9</v>
      </c>
      <c r="FA47" s="28">
        <v>3.5103098E7</v>
      </c>
      <c r="FB47" s="27"/>
      <c r="FC47" s="28">
        <v>1.483066135E9</v>
      </c>
      <c r="FD47" s="28">
        <v>1.28660981E8</v>
      </c>
      <c r="FE47" s="27"/>
      <c r="FF47" s="28">
        <v>4.1843261E7</v>
      </c>
      <c r="FG47" s="28">
        <v>8.9000651E7</v>
      </c>
      <c r="FH47" s="27"/>
      <c r="FI47" s="28">
        <v>1.555535E8</v>
      </c>
      <c r="FJ47" s="28">
        <v>2.9805824E8</v>
      </c>
      <c r="FK47" s="27"/>
      <c r="FL47" s="28">
        <v>4.99347703E8</v>
      </c>
      <c r="FM47" s="28">
        <v>3.89760569E8</v>
      </c>
      <c r="FN47" s="27"/>
      <c r="FO47" s="28">
        <v>1.65348065E8</v>
      </c>
      <c r="FP47" s="27"/>
      <c r="FQ47" s="28">
        <v>5.1168301E7</v>
      </c>
      <c r="FR47" s="28">
        <v>8.51232747E8</v>
      </c>
      <c r="FS47" s="27"/>
      <c r="FT47" s="27"/>
      <c r="FU47" s="27"/>
      <c r="FV47" s="28">
        <v>2.53608425E8</v>
      </c>
      <c r="FW47" s="28">
        <v>5.20291092E8</v>
      </c>
      <c r="FX47" s="28">
        <v>1.17035E8</v>
      </c>
      <c r="FY47" s="27"/>
      <c r="FZ47" s="28">
        <v>1.47757275E8</v>
      </c>
      <c r="GA47" s="28">
        <v>4.81570853E8</v>
      </c>
      <c r="GB47" s="28">
        <v>8.7750322E7</v>
      </c>
      <c r="GC47" s="28">
        <v>3.098797E7</v>
      </c>
      <c r="GD47" s="28">
        <v>2891714.0</v>
      </c>
      <c r="GE47" s="28">
        <v>2.36235451E8</v>
      </c>
      <c r="GF47" s="27"/>
      <c r="GG47" s="27"/>
      <c r="GH47" s="28">
        <v>7.7890389E7</v>
      </c>
      <c r="GI47" s="27"/>
      <c r="GJ47" s="27"/>
      <c r="GK47" s="27"/>
      <c r="GL47" s="62"/>
      <c r="GM47" s="62">
        <v>2.57644050308E11</v>
      </c>
      <c r="GN47" s="27"/>
      <c r="GO47" s="27"/>
      <c r="GP47" s="27"/>
      <c r="GQ47" s="28">
        <v>1.699651576E9</v>
      </c>
      <c r="GR47" s="28">
        <v>5.37832869E8</v>
      </c>
      <c r="GS47" s="28">
        <v>6.7260151E7</v>
      </c>
      <c r="GT47" s="28">
        <v>1.91928421E8</v>
      </c>
      <c r="GU47" s="28">
        <v>7.55765939E8</v>
      </c>
      <c r="GV47" s="28">
        <v>3.64356733E8</v>
      </c>
      <c r="GW47" s="28">
        <v>1.86366293E8</v>
      </c>
      <c r="GX47" s="28">
        <v>1.853526895E9</v>
      </c>
      <c r="GY47" s="28">
        <v>2.808651126E9</v>
      </c>
      <c r="GZ47" s="28">
        <v>3.859231074E9</v>
      </c>
      <c r="HA47" s="27"/>
      <c r="HB47" s="27"/>
      <c r="HC47" s="28">
        <v>2.82547888E8</v>
      </c>
      <c r="HD47" s="27"/>
      <c r="HE47" s="27"/>
      <c r="HF47" s="28">
        <v>1.610924588E9</v>
      </c>
      <c r="HG47" s="28">
        <v>2.75551692E8</v>
      </c>
      <c r="HH47" s="28">
        <v>5.00336125E8</v>
      </c>
      <c r="HI47" s="28">
        <v>9500621.0</v>
      </c>
      <c r="HJ47" s="28">
        <v>5.95511956E8</v>
      </c>
      <c r="HK47" s="28">
        <v>5.5779792E7</v>
      </c>
      <c r="HL47" s="28">
        <v>1725000.0</v>
      </c>
      <c r="HM47" s="27"/>
      <c r="HN47" s="28">
        <v>1.9084021E7</v>
      </c>
      <c r="HO47" s="28">
        <v>2.96286288E8</v>
      </c>
      <c r="HP47" s="28">
        <v>7.0224481E7</v>
      </c>
      <c r="HQ47" s="28">
        <v>1.868427063E9</v>
      </c>
      <c r="HR47" s="28">
        <v>6.7544365E7</v>
      </c>
      <c r="HS47" s="28">
        <v>1.8845095E8</v>
      </c>
      <c r="HT47" s="28">
        <v>5.76597946E8</v>
      </c>
      <c r="HU47" s="28">
        <v>2.5609475E8</v>
      </c>
      <c r="HV47" s="28">
        <v>1.28953904E8</v>
      </c>
      <c r="HW47" s="28">
        <v>1.85E8</v>
      </c>
      <c r="HX47" s="28">
        <v>4.31654975E8</v>
      </c>
      <c r="HY47" s="28">
        <v>8.8544211E7</v>
      </c>
      <c r="HZ47" s="28">
        <v>4.8756084E7</v>
      </c>
      <c r="IA47" s="28">
        <v>5.6000331E7</v>
      </c>
      <c r="IB47" s="28">
        <v>1.7979458E7</v>
      </c>
      <c r="IC47" s="28">
        <v>1.10178767E8</v>
      </c>
      <c r="ID47" s="28">
        <v>1.15110071E8</v>
      </c>
      <c r="IE47" s="28">
        <v>1.39331127E8</v>
      </c>
      <c r="IF47" s="28">
        <v>4.4852591E7</v>
      </c>
      <c r="IG47" s="28">
        <v>1.70522072E8</v>
      </c>
      <c r="IH47" s="28">
        <v>1.6954634E7</v>
      </c>
      <c r="II47" s="27"/>
      <c r="IJ47" s="27"/>
      <c r="IK47" s="28">
        <v>4.1794737E7</v>
      </c>
      <c r="IL47" s="28">
        <v>3.3695213E7</v>
      </c>
      <c r="IM47" s="28">
        <v>1.070569291E9</v>
      </c>
      <c r="IN47" s="27"/>
      <c r="IO47" s="28">
        <v>7.5000463E7</v>
      </c>
      <c r="IP47" s="28">
        <v>2.87774079E8</v>
      </c>
      <c r="IQ47" s="27"/>
      <c r="IR47" s="27"/>
      <c r="IS47" s="28">
        <v>2.4852366E7</v>
      </c>
      <c r="IT47" s="28">
        <v>1.25900902E8</v>
      </c>
      <c r="IU47" s="28">
        <v>3.57908472E8</v>
      </c>
      <c r="IV47" s="27"/>
      <c r="IW47" s="27"/>
      <c r="IX47" s="28">
        <v>6.785E7</v>
      </c>
      <c r="IY47" s="27"/>
      <c r="IZ47" s="27"/>
      <c r="JA47" s="28"/>
      <c r="JB47" s="28">
        <v>7.61067104E8</v>
      </c>
      <c r="JC47" s="27"/>
      <c r="JD47" s="28">
        <v>3992309.0</v>
      </c>
      <c r="JE47" s="28">
        <v>1.21999752E8</v>
      </c>
      <c r="JF47" s="28">
        <v>1840327.0</v>
      </c>
      <c r="JG47" s="27"/>
      <c r="JH47" s="28">
        <v>7.9648986E7</v>
      </c>
      <c r="JI47" s="28">
        <v>1.1454629E7</v>
      </c>
      <c r="JJ47" s="27"/>
      <c r="JK47" s="28">
        <v>3.225E7</v>
      </c>
      <c r="JL47" s="28">
        <v>4.0989133E7</v>
      </c>
      <c r="JM47" s="28">
        <v>4.909736526E9</v>
      </c>
      <c r="JN47" s="28">
        <v>3.39671065E8</v>
      </c>
      <c r="JO47" s="28">
        <v>1.28915651E8</v>
      </c>
      <c r="JP47" s="28">
        <v>1.67623788E8</v>
      </c>
      <c r="JQ47" s="28">
        <v>1.5590136E7</v>
      </c>
      <c r="JR47" s="28">
        <v>4500000.0</v>
      </c>
      <c r="JS47" s="27"/>
      <c r="JT47" s="62">
        <v>2.9257621758E10</v>
      </c>
      <c r="JU47" s="27"/>
      <c r="JV47" s="27"/>
      <c r="JW47" s="28">
        <v>5.756846818E9</v>
      </c>
      <c r="JX47" s="28">
        <v>2.010784E8</v>
      </c>
      <c r="JY47" s="28">
        <v>4.35362711E8</v>
      </c>
      <c r="JZ47" s="62">
        <v>6.393287929E9</v>
      </c>
      <c r="KA47" s="27"/>
      <c r="KB47" s="27"/>
      <c r="KC47" s="28">
        <v>6.77713099E8</v>
      </c>
      <c r="KD47" s="62">
        <v>6.77713099E8</v>
      </c>
      <c r="KE47" s="27"/>
      <c r="KF47" s="27"/>
      <c r="KG47" s="28">
        <v>6.9155467E7</v>
      </c>
      <c r="KH47" s="28">
        <v>5.48360202E8</v>
      </c>
      <c r="KI47" s="28">
        <v>9.18070006E8</v>
      </c>
      <c r="KJ47" s="28">
        <v>1070500.0</v>
      </c>
      <c r="KK47" s="28">
        <v>38507.0</v>
      </c>
      <c r="KL47" s="28">
        <v>4.9103781E7</v>
      </c>
      <c r="KM47" s="27"/>
      <c r="KN47" s="62">
        <v>1.585798464E9</v>
      </c>
      <c r="KO47" s="27"/>
      <c r="KP47" s="27"/>
      <c r="KQ47" s="28">
        <v>6.5312679E7</v>
      </c>
      <c r="KR47" s="28">
        <v>1.2150814618539999E10</v>
      </c>
      <c r="KS47" s="28"/>
      <c r="KT47" s="28">
        <v>9.64190125E8</v>
      </c>
      <c r="KU47" s="27"/>
      <c r="KV47" s="28">
        <v>5.31410517E8</v>
      </c>
      <c r="KW47" s="28">
        <v>3092134.0</v>
      </c>
      <c r="KX47" s="27"/>
      <c r="KY47" s="27"/>
      <c r="KZ47" s="28">
        <v>1.7E9</v>
      </c>
      <c r="LA47" s="27"/>
      <c r="LB47" s="28">
        <v>1.6796919E8</v>
      </c>
      <c r="LC47" s="28">
        <v>2055546.0</v>
      </c>
      <c r="LD47" s="27"/>
      <c r="LE47" s="62">
        <v>1.558484481E10</v>
      </c>
      <c r="LF47" s="27"/>
      <c r="LG47" s="27"/>
      <c r="LH47" s="28" t="s">
        <v>317</v>
      </c>
      <c r="LI47" s="62" t="s">
        <v>317</v>
      </c>
      <c r="LJ47" s="62">
        <f t="shared" si="11"/>
        <v>51913467596</v>
      </c>
      <c r="LK47" s="110"/>
    </row>
    <row r="48">
      <c r="A48" s="49" t="s">
        <v>322</v>
      </c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50"/>
      <c r="U48" s="27"/>
      <c r="V48" s="28"/>
      <c r="W48" s="27"/>
      <c r="X48" s="27"/>
      <c r="Y48" s="27"/>
      <c r="AB48" s="27"/>
      <c r="AC48" s="27"/>
      <c r="AD48" s="28">
        <v>2.5771866E10</v>
      </c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15"/>
      <c r="AW48" s="15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F48" s="49" t="s">
        <v>322</v>
      </c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P48" s="64"/>
      <c r="DQ48" s="49" t="s">
        <v>322</v>
      </c>
      <c r="DR48" s="27"/>
      <c r="DS48" s="27"/>
      <c r="DT48" s="28">
        <v>-2.63082722E8</v>
      </c>
      <c r="DU48" s="28">
        <v>-875000.0</v>
      </c>
      <c r="DV48" s="62">
        <v>3.66245153037E11</v>
      </c>
      <c r="DW48" s="27"/>
      <c r="DX48" s="27"/>
      <c r="DY48" s="28"/>
      <c r="DZ48" s="28">
        <v>2.64527826647E11</v>
      </c>
      <c r="EA48" s="28">
        <v>1.378599E9</v>
      </c>
      <c r="EB48" s="28">
        <v>4.46362304E8</v>
      </c>
      <c r="EC48" s="28">
        <v>-100000.0</v>
      </c>
      <c r="ED48" s="27"/>
      <c r="EE48" s="28">
        <v>2.014761881E9</v>
      </c>
      <c r="EF48" s="28">
        <v>8.8806146E7</v>
      </c>
      <c r="EG48" s="28">
        <v>4.8882243E7</v>
      </c>
      <c r="EH48" s="28">
        <v>5.6009159E7</v>
      </c>
      <c r="EI48" s="28">
        <v>1.3715228E7</v>
      </c>
      <c r="EJ48" s="28">
        <v>1.9336421E7</v>
      </c>
      <c r="EK48" s="28">
        <v>4.5205134E7</v>
      </c>
      <c r="EL48" s="28">
        <v>4.85633867E8</v>
      </c>
      <c r="EM48" s="28">
        <v>3.47124265E8</v>
      </c>
      <c r="EN48" s="27"/>
      <c r="EO48" s="28">
        <v>5.67868E8</v>
      </c>
      <c r="EP48" s="28">
        <v>-8.8195824E7</v>
      </c>
      <c r="EQ48" s="28">
        <v>-6.0608243E7</v>
      </c>
      <c r="ER48" s="28">
        <v>3.162909243E9</v>
      </c>
      <c r="ES48" s="28">
        <v>8.74346161E8</v>
      </c>
      <c r="ET48" s="28">
        <v>1.2466619466E10</v>
      </c>
      <c r="EU48" s="28"/>
      <c r="EV48" s="28">
        <v>1.37333515E8</v>
      </c>
      <c r="EW48" s="28">
        <v>1500000.0</v>
      </c>
      <c r="EX48" s="28">
        <v>1.69926498E8</v>
      </c>
      <c r="EY48" s="28">
        <v>7.24826225E8</v>
      </c>
      <c r="EZ48" s="28">
        <v>1.51870959E9</v>
      </c>
      <c r="FA48" s="28">
        <v>4.7140054E7</v>
      </c>
      <c r="FB48" s="27"/>
      <c r="FC48" s="28">
        <v>1.560989899E9</v>
      </c>
      <c r="FD48" s="28">
        <v>1.44872253E8</v>
      </c>
      <c r="FE48" s="27"/>
      <c r="FF48" s="28">
        <v>4.5279913E7</v>
      </c>
      <c r="FG48" s="28">
        <v>8.9311718E7</v>
      </c>
      <c r="FH48" s="27"/>
      <c r="FI48" s="28">
        <v>1.676035E8</v>
      </c>
      <c r="FJ48" s="28">
        <v>3.4448684E8</v>
      </c>
      <c r="FK48" s="27"/>
      <c r="FL48" s="28">
        <v>4.99347703E8</v>
      </c>
      <c r="FM48" s="28">
        <v>3.89760569E8</v>
      </c>
      <c r="FN48" s="27"/>
      <c r="FO48" s="28">
        <v>1.96450708E8</v>
      </c>
      <c r="FP48" s="27"/>
      <c r="FQ48" s="28">
        <v>5.1216031E7</v>
      </c>
      <c r="FR48" s="28">
        <v>9.44298597E8</v>
      </c>
      <c r="FS48" s="27"/>
      <c r="FT48" s="27"/>
      <c r="FU48" s="27"/>
      <c r="FV48" s="28">
        <v>2.7286655E8</v>
      </c>
      <c r="FW48" s="28">
        <v>5.32041233E8</v>
      </c>
      <c r="FX48" s="28">
        <v>1.90535E8</v>
      </c>
      <c r="FY48" s="27"/>
      <c r="FZ48" s="28">
        <v>1.5470903E8</v>
      </c>
      <c r="GA48" s="28">
        <v>5.17405952E8</v>
      </c>
      <c r="GB48" s="28">
        <v>9.7498691E7</v>
      </c>
      <c r="GC48" s="28">
        <v>3.3099477E7</v>
      </c>
      <c r="GD48" s="28">
        <v>3509103.0</v>
      </c>
      <c r="GE48" s="28">
        <v>2.45637003E8</v>
      </c>
      <c r="GF48" s="28">
        <v>2.1931872E7</v>
      </c>
      <c r="GG48" s="28">
        <v>9500000.0</v>
      </c>
      <c r="GH48" s="28">
        <v>9.0228494E7</v>
      </c>
      <c r="GI48" s="27"/>
      <c r="GJ48" s="27"/>
      <c r="GK48" s="27"/>
      <c r="GL48" s="62"/>
      <c r="GM48" s="62">
        <v>2.95597117115E11</v>
      </c>
      <c r="GN48" s="27"/>
      <c r="GO48" s="27"/>
      <c r="GP48" s="27"/>
      <c r="GQ48" s="28">
        <v>2.041335928E9</v>
      </c>
      <c r="GR48" s="28">
        <v>5.9451393E8</v>
      </c>
      <c r="GS48" s="28">
        <v>8.1359679E7</v>
      </c>
      <c r="GT48" s="28">
        <v>2.30109738E8</v>
      </c>
      <c r="GU48" s="28">
        <v>8.39896935E8</v>
      </c>
      <c r="GV48" s="28">
        <v>4.08513824E8</v>
      </c>
      <c r="GW48" s="28">
        <v>2.08484794E8</v>
      </c>
      <c r="GX48" s="28">
        <v>2.076289728E9</v>
      </c>
      <c r="GY48" s="28">
        <v>3.120723473E9</v>
      </c>
      <c r="GZ48" s="28">
        <v>4.322393005E9</v>
      </c>
      <c r="HA48" s="27"/>
      <c r="HB48" s="27"/>
      <c r="HC48" s="28">
        <v>2.89443892E8</v>
      </c>
      <c r="HD48" s="27"/>
      <c r="HE48" s="27"/>
      <c r="HF48" s="28">
        <v>1.610924588E9</v>
      </c>
      <c r="HG48" s="28">
        <v>3.05007392E8</v>
      </c>
      <c r="HH48" s="28">
        <v>5.55846209E8</v>
      </c>
      <c r="HI48" s="28">
        <v>9500621.0</v>
      </c>
      <c r="HJ48" s="28">
        <v>6.69904404E8</v>
      </c>
      <c r="HK48" s="28">
        <v>5.6337792E7</v>
      </c>
      <c r="HL48" s="28">
        <v>5257000.0</v>
      </c>
      <c r="HM48" s="27"/>
      <c r="HN48" s="28">
        <v>2.158673E7</v>
      </c>
      <c r="HO48" s="28">
        <v>4.00022106E8</v>
      </c>
      <c r="HP48" s="28">
        <v>7.2564331E7</v>
      </c>
      <c r="HQ48" s="28">
        <v>2.12320014E9</v>
      </c>
      <c r="HR48" s="28">
        <v>7.1143865E7</v>
      </c>
      <c r="HS48" s="28">
        <v>2.2322195E8</v>
      </c>
      <c r="HT48" s="28">
        <v>6.43471985E8</v>
      </c>
      <c r="HU48" s="28">
        <v>2.8294725E8</v>
      </c>
      <c r="HV48" s="28">
        <v>1.28953904E8</v>
      </c>
      <c r="HW48" s="28">
        <v>1.85E8</v>
      </c>
      <c r="HX48" s="28">
        <v>4.31654975E8</v>
      </c>
      <c r="HY48" s="28">
        <v>9.7067762E7</v>
      </c>
      <c r="HZ48" s="28">
        <v>6.8635038E7</v>
      </c>
      <c r="IA48" s="28">
        <v>5.9893384E7</v>
      </c>
      <c r="IB48" s="28">
        <v>2.2636158E7</v>
      </c>
      <c r="IC48" s="28">
        <v>1.19956517E8</v>
      </c>
      <c r="ID48" s="28">
        <v>1.40141834E8</v>
      </c>
      <c r="IE48" s="28">
        <v>1.49929916E8</v>
      </c>
      <c r="IF48" s="28">
        <v>4.777211E7</v>
      </c>
      <c r="IG48" s="28">
        <v>1.77373572E8</v>
      </c>
      <c r="IH48" s="28">
        <v>2.1954634E7</v>
      </c>
      <c r="II48" s="27"/>
      <c r="IJ48" s="27"/>
      <c r="IK48" s="28">
        <v>9.1887296E7</v>
      </c>
      <c r="IL48" s="28">
        <v>3.9710979E7</v>
      </c>
      <c r="IM48" s="28">
        <v>1.184766113E9</v>
      </c>
      <c r="IN48" s="27"/>
      <c r="IO48" s="28">
        <v>9.1830463E7</v>
      </c>
      <c r="IP48" s="28">
        <v>4.14333579E8</v>
      </c>
      <c r="IQ48" s="28">
        <v>1.30222E8</v>
      </c>
      <c r="IR48" s="27"/>
      <c r="IS48" s="28">
        <v>2.4852366E7</v>
      </c>
      <c r="IT48" s="28">
        <v>1.29729731E8</v>
      </c>
      <c r="IU48" s="28">
        <v>3.9767608E8</v>
      </c>
      <c r="IV48" s="27"/>
      <c r="IW48" s="27"/>
      <c r="IX48" s="28">
        <v>7.335E7</v>
      </c>
      <c r="IY48" s="27"/>
      <c r="IZ48" s="27"/>
      <c r="JA48" s="28"/>
      <c r="JB48" s="28">
        <v>8.41367104E8</v>
      </c>
      <c r="JC48" s="27"/>
      <c r="JD48" s="28">
        <v>4236309.0</v>
      </c>
      <c r="JE48" s="28">
        <v>1.57582473E8</v>
      </c>
      <c r="JF48" s="27"/>
      <c r="JG48" s="27"/>
      <c r="JH48" s="28">
        <v>8.855063E7</v>
      </c>
      <c r="JI48" s="28">
        <v>1.1454629E7</v>
      </c>
      <c r="JJ48" s="27"/>
      <c r="JK48" s="28">
        <v>3.225E7</v>
      </c>
      <c r="JL48" s="28">
        <v>4.0989133E7</v>
      </c>
      <c r="JM48" s="28">
        <v>5.411563161E9</v>
      </c>
      <c r="JN48" s="28">
        <v>3.70053416E8</v>
      </c>
      <c r="JO48" s="28">
        <v>1.44290478E8</v>
      </c>
      <c r="JP48" s="28">
        <v>2.38360782E8</v>
      </c>
      <c r="JQ48" s="28">
        <v>1.5590136E7</v>
      </c>
      <c r="JR48" s="28">
        <v>1.35E7</v>
      </c>
      <c r="JS48" s="27"/>
      <c r="JT48" s="62">
        <v>3.2863117951E10</v>
      </c>
      <c r="JU48" s="27"/>
      <c r="JV48" s="27"/>
      <c r="JW48" s="28">
        <v>6.293355982E9</v>
      </c>
      <c r="JX48" s="28">
        <v>2.205784E8</v>
      </c>
      <c r="JY48" s="28">
        <v>4.84934011E8</v>
      </c>
      <c r="JZ48" s="62">
        <v>6.998868393E9</v>
      </c>
      <c r="KA48" s="27"/>
      <c r="KB48" s="27"/>
      <c r="KC48" s="28">
        <v>7.89685236E8</v>
      </c>
      <c r="KD48" s="62">
        <v>7.89685236E8</v>
      </c>
      <c r="KE48" s="27"/>
      <c r="KF48" s="27"/>
      <c r="KG48" s="28">
        <v>7.7631029E7</v>
      </c>
      <c r="KH48" s="28">
        <v>1.011860252E9</v>
      </c>
      <c r="KI48" s="28">
        <v>9.18070006E8</v>
      </c>
      <c r="KJ48" s="28">
        <v>1070500.0</v>
      </c>
      <c r="KK48" s="28">
        <v>90172.0</v>
      </c>
      <c r="KL48" s="28">
        <v>4.9103781E7</v>
      </c>
      <c r="KM48" s="27"/>
      <c r="KN48" s="62">
        <v>2.057825741E9</v>
      </c>
      <c r="KO48" s="27"/>
      <c r="KP48" s="27"/>
      <c r="KQ48" s="28">
        <v>7.714664E7</v>
      </c>
      <c r="KR48" s="28">
        <v>1.3876116049539999E10</v>
      </c>
      <c r="KS48" s="28"/>
      <c r="KT48" s="28">
        <v>1.104604315E9</v>
      </c>
      <c r="KU48" s="28">
        <v>1.7150133E7</v>
      </c>
      <c r="KV48" s="28">
        <v>5.58706525E8</v>
      </c>
      <c r="KW48" s="28">
        <v>3096024.0</v>
      </c>
      <c r="KX48" s="27"/>
      <c r="KY48" s="27"/>
      <c r="KZ48" s="28">
        <v>1.7E9</v>
      </c>
      <c r="LA48" s="27"/>
      <c r="LB48" s="28">
        <v>1.6796919E8</v>
      </c>
      <c r="LC48" s="28">
        <v>3305546.0</v>
      </c>
      <c r="LD48" s="27"/>
      <c r="LE48" s="62">
        <v>1.7508094423E10</v>
      </c>
      <c r="LF48" s="27"/>
      <c r="LG48" s="27"/>
      <c r="LH48" s="28">
        <v>9137025.0</v>
      </c>
      <c r="LI48" s="62">
        <v>9137025.0</v>
      </c>
      <c r="LJ48" s="62">
        <f t="shared" si="11"/>
        <v>58159766003</v>
      </c>
      <c r="LK48" s="110"/>
    </row>
    <row r="49">
      <c r="A49" s="49" t="s">
        <v>323</v>
      </c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50"/>
      <c r="U49" s="27"/>
      <c r="V49" s="28"/>
      <c r="W49" s="27"/>
      <c r="X49" s="27"/>
      <c r="Y49" s="27"/>
      <c r="AB49" s="27"/>
      <c r="AC49" s="27"/>
      <c r="AD49" s="28">
        <v>2.4295973394E10</v>
      </c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15"/>
      <c r="AW49" s="15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F49" s="49" t="s">
        <v>323</v>
      </c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P49" s="64"/>
      <c r="DQ49" s="49" t="s">
        <v>323</v>
      </c>
      <c r="DR49" s="28">
        <v>3.97658050368E11</v>
      </c>
      <c r="DS49" s="27"/>
      <c r="DT49" s="28">
        <v>-3.60884713E8</v>
      </c>
      <c r="DU49" s="28">
        <v>-875000.0</v>
      </c>
      <c r="DV49" s="62">
        <v>3.97296290655E11</v>
      </c>
      <c r="DW49" s="27"/>
      <c r="DX49" s="27"/>
      <c r="DY49" s="28"/>
      <c r="DZ49" s="28">
        <v>2.84324003837E11</v>
      </c>
      <c r="EA49" s="28">
        <v>1.558767E9</v>
      </c>
      <c r="EB49" s="28">
        <v>4.46782304E8</v>
      </c>
      <c r="EC49" s="28">
        <v>-100000.0</v>
      </c>
      <c r="ED49" s="27"/>
      <c r="EE49" s="28">
        <v>2.236947525E9</v>
      </c>
      <c r="EF49" s="28">
        <v>1.04878121E8</v>
      </c>
      <c r="EG49" s="28">
        <v>5.6525528E7</v>
      </c>
      <c r="EH49" s="28">
        <v>6.1353208E7</v>
      </c>
      <c r="EI49" s="28">
        <v>1.6570458E7</v>
      </c>
      <c r="EJ49" s="28">
        <v>3.4395945E7</v>
      </c>
      <c r="EK49" s="28">
        <v>5.178732E7</v>
      </c>
      <c r="EL49" s="28">
        <v>4.85769531E8</v>
      </c>
      <c r="EM49" s="28">
        <v>3.81481235E8</v>
      </c>
      <c r="EN49" s="27"/>
      <c r="EO49" s="28">
        <v>6.29568E8</v>
      </c>
      <c r="EP49" s="28">
        <v>-8.5619065E7</v>
      </c>
      <c r="EQ49" s="28">
        <v>-5.9940623E7</v>
      </c>
      <c r="ER49" s="28">
        <v>3.549069251E9</v>
      </c>
      <c r="ES49" s="28">
        <v>1.037734302E9</v>
      </c>
      <c r="ET49" s="28">
        <v>1.4424645776E10</v>
      </c>
      <c r="EU49" s="28"/>
      <c r="EV49" s="28">
        <v>1.40213515E8</v>
      </c>
      <c r="EW49" s="28">
        <v>1500000.0</v>
      </c>
      <c r="EX49" s="28">
        <v>1.75518398E8</v>
      </c>
      <c r="EY49" s="28">
        <v>8.02826801E8</v>
      </c>
      <c r="EZ49" s="28">
        <v>1.682674789E9</v>
      </c>
      <c r="FA49" s="28">
        <v>5.9110595E7</v>
      </c>
      <c r="FB49" s="27"/>
      <c r="FC49" s="28">
        <v>1.737619089E9</v>
      </c>
      <c r="FD49" s="28">
        <v>1.61826385E8</v>
      </c>
      <c r="FE49" s="27"/>
      <c r="FF49" s="28">
        <v>4.6697913E7</v>
      </c>
      <c r="FG49" s="28">
        <v>9.0233056E7</v>
      </c>
      <c r="FH49" s="27"/>
      <c r="FI49" s="28">
        <v>2.03626E8</v>
      </c>
      <c r="FJ49" s="28">
        <v>3.75631803E8</v>
      </c>
      <c r="FK49" s="27"/>
      <c r="FL49" s="28">
        <v>5.11262453E8</v>
      </c>
      <c r="FM49" s="28">
        <v>4.25182224E8</v>
      </c>
      <c r="FN49" s="27"/>
      <c r="FO49" s="28">
        <v>2.15146158E8</v>
      </c>
      <c r="FP49" s="27"/>
      <c r="FQ49" s="28">
        <v>5.232729E7</v>
      </c>
      <c r="FR49" s="28">
        <v>1.143003497E9</v>
      </c>
      <c r="FS49" s="27"/>
      <c r="FT49" s="27"/>
      <c r="FU49" s="27"/>
      <c r="FV49" s="28">
        <v>2.89765425E8</v>
      </c>
      <c r="FW49" s="28">
        <v>5.64224142E8</v>
      </c>
      <c r="FX49" s="28">
        <v>1.90535E8</v>
      </c>
      <c r="FY49" s="27"/>
      <c r="FZ49" s="28">
        <v>1.93787377E8</v>
      </c>
      <c r="GA49" s="28">
        <v>5.98302611E8</v>
      </c>
      <c r="GB49" s="28">
        <v>1.00551898E8</v>
      </c>
      <c r="GC49" s="28">
        <v>3.4194935E7</v>
      </c>
      <c r="GD49" s="28">
        <v>5964427.0</v>
      </c>
      <c r="GE49" s="28">
        <v>2.94163007E8</v>
      </c>
      <c r="GF49" s="28">
        <v>4.0256588E7</v>
      </c>
      <c r="GG49" s="28">
        <v>9500000.0</v>
      </c>
      <c r="GH49" s="28">
        <v>1.00062608E8</v>
      </c>
      <c r="GI49" s="28">
        <v>3.96E8</v>
      </c>
      <c r="GJ49" s="27"/>
      <c r="GK49" s="27"/>
      <c r="GL49" s="62"/>
      <c r="GM49" s="62">
        <v>3.19896327636E11</v>
      </c>
      <c r="GN49" s="27"/>
      <c r="GO49" s="27"/>
      <c r="GP49" s="27"/>
      <c r="GQ49" s="28">
        <v>2.556225784E9</v>
      </c>
      <c r="GR49" s="28">
        <v>6.51194991E8</v>
      </c>
      <c r="GS49" s="28">
        <v>9.2806953E7</v>
      </c>
      <c r="GT49" s="28">
        <v>2.31362338E8</v>
      </c>
      <c r="GU49" s="28">
        <v>9.2215293E8</v>
      </c>
      <c r="GV49" s="28">
        <v>4.53631492E8</v>
      </c>
      <c r="GW49" s="28">
        <v>2.30603295E8</v>
      </c>
      <c r="GX49" s="28">
        <v>2.299052561E9</v>
      </c>
      <c r="GY49" s="28">
        <v>3.43279582E9</v>
      </c>
      <c r="GZ49" s="28">
        <v>4.791263157E9</v>
      </c>
      <c r="HA49" s="27"/>
      <c r="HB49" s="27"/>
      <c r="HC49" s="28">
        <v>3.28680666E8</v>
      </c>
      <c r="HD49" s="27"/>
      <c r="HE49" s="27"/>
      <c r="HF49" s="28">
        <v>1.610924588E9</v>
      </c>
      <c r="HG49" s="28">
        <v>3.36072338E8</v>
      </c>
      <c r="HH49" s="28">
        <v>6.10302595E8</v>
      </c>
      <c r="HI49" s="28">
        <v>9850621.0</v>
      </c>
      <c r="HJ49" s="28">
        <v>7.34546616E8</v>
      </c>
      <c r="HK49" s="28">
        <v>5.6337792E7</v>
      </c>
      <c r="HL49" s="28">
        <v>5257000.0</v>
      </c>
      <c r="HM49" s="27"/>
      <c r="HN49" s="28">
        <v>2.4089439E7</v>
      </c>
      <c r="HO49" s="28">
        <v>4.4902401E8</v>
      </c>
      <c r="HP49" s="28">
        <v>7.9982819E7</v>
      </c>
      <c r="HQ49" s="28">
        <v>2.290931729E9</v>
      </c>
      <c r="HR49" s="28">
        <v>7.2463865E7</v>
      </c>
      <c r="HS49" s="28">
        <v>3.7472495E8</v>
      </c>
      <c r="HT49" s="28">
        <v>7.12669357E8</v>
      </c>
      <c r="HU49" s="28">
        <v>3.4229725E8</v>
      </c>
      <c r="HV49" s="28">
        <v>1.28953904E8</v>
      </c>
      <c r="HW49" s="28">
        <v>1.85E8</v>
      </c>
      <c r="HX49" s="28">
        <v>4.31654975E8</v>
      </c>
      <c r="HY49" s="28">
        <v>9.9957942E7</v>
      </c>
      <c r="HZ49" s="28">
        <v>8.1532529E7</v>
      </c>
      <c r="IA49" s="28">
        <v>6.2665034E7</v>
      </c>
      <c r="IB49" s="28">
        <v>2.5708396E7</v>
      </c>
      <c r="IC49" s="28">
        <v>1.34533216E8</v>
      </c>
      <c r="ID49" s="28">
        <v>1.58515198E8</v>
      </c>
      <c r="IE49" s="28">
        <v>1.64296436E8</v>
      </c>
      <c r="IF49" s="28">
        <v>5.1161095E7</v>
      </c>
      <c r="IG49" s="28">
        <v>1.99983172E8</v>
      </c>
      <c r="IH49" s="28">
        <v>2.3704634E7</v>
      </c>
      <c r="II49" s="27"/>
      <c r="IJ49" s="27"/>
      <c r="IK49" s="28">
        <v>9.2053963E7</v>
      </c>
      <c r="IL49" s="28">
        <v>4.1109729E7</v>
      </c>
      <c r="IM49" s="28">
        <v>1.284576472E9</v>
      </c>
      <c r="IN49" s="27"/>
      <c r="IO49" s="28">
        <v>1.17042894E8</v>
      </c>
      <c r="IP49" s="28">
        <v>4.14333579E8</v>
      </c>
      <c r="IQ49" s="28">
        <v>1.313963E8</v>
      </c>
      <c r="IR49" s="27"/>
      <c r="IS49" s="28">
        <v>2.4852366E7</v>
      </c>
      <c r="IT49" s="28">
        <v>1.29729731E8</v>
      </c>
      <c r="IU49" s="28">
        <v>4.37443688E8</v>
      </c>
      <c r="IV49" s="27"/>
      <c r="IW49" s="27"/>
      <c r="IX49" s="28">
        <v>1.0935E8</v>
      </c>
      <c r="IY49" s="27"/>
      <c r="IZ49" s="27"/>
      <c r="JA49" s="28"/>
      <c r="JB49" s="28">
        <v>8.92817104E8</v>
      </c>
      <c r="JC49" s="27"/>
      <c r="JD49" s="28">
        <v>4236309.0</v>
      </c>
      <c r="JE49" s="28">
        <v>1.7950385E8</v>
      </c>
      <c r="JF49" s="27"/>
      <c r="JG49" s="27"/>
      <c r="JH49" s="28">
        <v>9.7452274E7</v>
      </c>
      <c r="JI49" s="28">
        <v>1.1454629E7</v>
      </c>
      <c r="JJ49" s="27"/>
      <c r="JK49" s="28">
        <v>3.225E7</v>
      </c>
      <c r="JL49" s="28">
        <v>4.0989133E7</v>
      </c>
      <c r="JM49" s="28">
        <v>5.92847649E9</v>
      </c>
      <c r="JN49" s="28">
        <v>3.98043651E8</v>
      </c>
      <c r="JO49" s="28">
        <v>1.47350478E8</v>
      </c>
      <c r="JP49" s="28">
        <v>2.79258223E8</v>
      </c>
      <c r="JQ49" s="28">
        <v>1.5590136E7</v>
      </c>
      <c r="JR49" s="28">
        <v>1.35E7</v>
      </c>
      <c r="JS49" s="27"/>
      <c r="JT49" s="62">
        <v>3.6269722487E10</v>
      </c>
      <c r="JU49" s="27"/>
      <c r="JV49" s="27"/>
      <c r="JW49" s="28">
        <v>7.656763215E9</v>
      </c>
      <c r="JX49" s="28">
        <v>2.800784E8</v>
      </c>
      <c r="JY49" s="28">
        <v>5.5225529E8</v>
      </c>
      <c r="JZ49" s="62">
        <v>8.489096905E9</v>
      </c>
      <c r="KA49" s="27"/>
      <c r="KB49" s="27"/>
      <c r="KC49" s="28">
        <v>8.92351422E8</v>
      </c>
      <c r="KD49" s="62">
        <v>8.92351422E8</v>
      </c>
      <c r="KE49" s="27"/>
      <c r="KF49" s="27"/>
      <c r="KG49" s="28">
        <v>9.0861669E7</v>
      </c>
      <c r="KH49" s="28">
        <v>1.017409202E9</v>
      </c>
      <c r="KI49" s="28">
        <v>9.21870732E8</v>
      </c>
      <c r="KJ49" s="28">
        <v>1070500.0</v>
      </c>
      <c r="KK49" s="28">
        <v>109233.0</v>
      </c>
      <c r="KL49" s="28">
        <v>4.9103781E7</v>
      </c>
      <c r="KM49" s="27"/>
      <c r="KN49" s="62">
        <v>2.080425118E9</v>
      </c>
      <c r="KO49" s="27"/>
      <c r="KP49" s="27"/>
      <c r="KQ49" s="28">
        <v>8.5243984E7</v>
      </c>
      <c r="KR49" s="28">
        <v>1.5496171555539999E10</v>
      </c>
      <c r="KS49" s="28"/>
      <c r="KT49" s="28">
        <v>1.236718505E9</v>
      </c>
      <c r="KU49" s="28">
        <v>1.7150133E7</v>
      </c>
      <c r="KV49" s="28">
        <v>5.58706525E8</v>
      </c>
      <c r="KW49" s="28">
        <v>3096878.0</v>
      </c>
      <c r="KX49" s="27"/>
      <c r="KY49" s="27"/>
      <c r="KZ49" s="28">
        <v>1.7E9</v>
      </c>
      <c r="LA49" s="27"/>
      <c r="LB49" s="28">
        <v>1.6796919E8</v>
      </c>
      <c r="LC49" s="28">
        <v>3305546.0</v>
      </c>
      <c r="LD49" s="27"/>
      <c r="LE49" s="62">
        <v>1.9268362317E10</v>
      </c>
      <c r="LF49" s="27"/>
      <c r="LG49" s="27"/>
      <c r="LH49" s="28">
        <v>9504525.0</v>
      </c>
      <c r="LI49" s="62">
        <v>9504525.0</v>
      </c>
      <c r="LJ49" s="62">
        <f t="shared" si="11"/>
        <v>64919533131</v>
      </c>
      <c r="LK49" s="110"/>
    </row>
    <row r="50">
      <c r="A50" s="49" t="s">
        <v>324</v>
      </c>
      <c r="B50" s="146">
        <v>4.21126840396E11</v>
      </c>
      <c r="C50" s="146">
        <v>3.39699711199E11</v>
      </c>
      <c r="D50" s="146">
        <v>8.1427129197E10</v>
      </c>
      <c r="E50" s="146"/>
      <c r="F50" s="146">
        <v>4.3797431309E10</v>
      </c>
      <c r="G50" s="146">
        <v>4.954583955E9</v>
      </c>
      <c r="H50" s="146"/>
      <c r="I50" s="146">
        <v>4.8752015264E10</v>
      </c>
      <c r="J50" s="146">
        <v>3.2675113933E10</v>
      </c>
      <c r="K50" s="146"/>
      <c r="L50" s="146">
        <v>3.250898372E9</v>
      </c>
      <c r="M50" s="146">
        <v>2.1360691248E10</v>
      </c>
      <c r="N50" s="146">
        <v>-1.8109792876E10</v>
      </c>
      <c r="O50" s="146"/>
      <c r="P50" s="147">
        <v>1.4565321057E10</v>
      </c>
      <c r="Q50" s="146">
        <v>4.48431902E9</v>
      </c>
      <c r="R50" s="146">
        <v>6.71286653E8</v>
      </c>
      <c r="S50" s="146">
        <v>3.813032367E9</v>
      </c>
      <c r="T50" s="53">
        <v>1.075228869E10</v>
      </c>
      <c r="U50" s="27"/>
      <c r="V50" s="28">
        <v>-2.6169805E9</v>
      </c>
      <c r="W50" s="27"/>
      <c r="X50" s="62">
        <v>8.13530819E9</v>
      </c>
      <c r="Y50" s="27"/>
      <c r="AB50" s="28"/>
      <c r="AC50" s="28"/>
      <c r="AD50" s="28">
        <v>5.0189674314E10</v>
      </c>
      <c r="AE50" s="28">
        <v>5.2359271094E10</v>
      </c>
      <c r="AF50" s="28"/>
      <c r="AG50" s="28"/>
      <c r="AH50" s="28">
        <v>9.991605728E9</v>
      </c>
      <c r="AI50" s="28">
        <v>6.9526001377E10</v>
      </c>
      <c r="AJ50" s="28"/>
      <c r="AK50" s="28"/>
      <c r="AL50" s="28">
        <v>2.4000790325E10</v>
      </c>
      <c r="AM50" s="28">
        <v>4.078437036E9</v>
      </c>
      <c r="AN50" s="28">
        <v>2.10145779874E11</v>
      </c>
      <c r="AO50" s="28"/>
      <c r="AP50" s="28"/>
      <c r="AQ50" s="28">
        <v>1.24443908268E11</v>
      </c>
      <c r="AR50" s="28">
        <v>7.020005378E9</v>
      </c>
      <c r="AS50" s="28">
        <v>2.15650415E8</v>
      </c>
      <c r="AT50" s="28">
        <v>2.254920523E9</v>
      </c>
      <c r="AU50" s="28">
        <v>3.097703639E9</v>
      </c>
      <c r="AV50" s="62">
        <v>1.37032188223E11</v>
      </c>
      <c r="AW50" s="62">
        <v>3.47177968097E11</v>
      </c>
      <c r="AX50" s="28"/>
      <c r="AY50" s="28"/>
      <c r="AZ50" s="28"/>
      <c r="BA50" s="28">
        <v>2.2279823661E10</v>
      </c>
      <c r="BB50" s="28"/>
      <c r="BC50" s="28"/>
      <c r="BD50" s="28"/>
      <c r="BE50" s="28">
        <v>2.922304253E9</v>
      </c>
      <c r="BF50" s="28">
        <v>1.13679E9</v>
      </c>
      <c r="BG50" s="28">
        <v>7.5972481E7</v>
      </c>
      <c r="BI50" s="28">
        <v>2.4760211E8</v>
      </c>
      <c r="BJ50" s="28"/>
      <c r="BK50" s="28">
        <v>1.78805104117E11</v>
      </c>
      <c r="BL50" s="28">
        <v>2.05467596622E11</v>
      </c>
      <c r="BM50" s="28"/>
      <c r="BN50" s="28">
        <v>1.0371362209E10</v>
      </c>
      <c r="BO50" s="28"/>
      <c r="BP50" s="28"/>
      <c r="BQ50" s="28">
        <v>1.1577858681E10</v>
      </c>
      <c r="BR50" s="28"/>
      <c r="BS50" s="28">
        <v>2.194922089E10</v>
      </c>
      <c r="BT50" s="28">
        <v>2.27416817512E11</v>
      </c>
      <c r="BU50" s="28"/>
      <c r="BV50" s="28">
        <v>6.8245E10</v>
      </c>
      <c r="BW50" s="27"/>
      <c r="BX50" s="28"/>
      <c r="BY50" s="28">
        <v>5.0279132592E10</v>
      </c>
      <c r="BZ50" s="28">
        <v>-3.110625307E9</v>
      </c>
      <c r="CA50" s="28">
        <v>4.3476433E9</v>
      </c>
      <c r="CB50" s="28"/>
      <c r="CC50" s="28">
        <v>1.19761150585E11</v>
      </c>
      <c r="CD50" s="28">
        <v>3.47177968097E11</v>
      </c>
      <c r="CF50" s="49" t="s">
        <v>324</v>
      </c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P50" s="64"/>
      <c r="DQ50" s="49" t="s">
        <v>324</v>
      </c>
      <c r="DR50" s="28">
        <v>4.2157220545E11</v>
      </c>
      <c r="DS50" s="27"/>
      <c r="DT50" s="28">
        <v>-4.44490055E8</v>
      </c>
      <c r="DU50" s="28">
        <v>-875000.0</v>
      </c>
      <c r="DV50" s="62">
        <v>4.21126840395E11</v>
      </c>
      <c r="DW50" s="27"/>
      <c r="DX50" s="27"/>
      <c r="DY50" s="28"/>
      <c r="DZ50" s="28">
        <v>2.94943425242E11</v>
      </c>
      <c r="EA50" s="28">
        <v>1.558767E9</v>
      </c>
      <c r="EB50" s="28">
        <v>4.46782304E8</v>
      </c>
      <c r="EC50" s="28">
        <v>-100000.0</v>
      </c>
      <c r="ED50" s="27"/>
      <c r="EE50" s="28">
        <v>2.458310633E9</v>
      </c>
      <c r="EF50" s="28">
        <v>1.12008905E8</v>
      </c>
      <c r="EG50" s="28">
        <v>5.675002E7</v>
      </c>
      <c r="EH50" s="28">
        <v>6.9479992E7</v>
      </c>
      <c r="EI50" s="28">
        <v>2.5601578E7</v>
      </c>
      <c r="EJ50" s="28">
        <v>3.9545991E7</v>
      </c>
      <c r="EK50" s="28">
        <v>5.6458096E7</v>
      </c>
      <c r="EL50" s="28">
        <v>4.87533795E8</v>
      </c>
      <c r="EM50" s="28">
        <v>4.15876747E8</v>
      </c>
      <c r="EN50" s="27"/>
      <c r="EO50" s="28">
        <v>7.04245061E8</v>
      </c>
      <c r="EP50" s="28">
        <v>-1.40215189E8</v>
      </c>
      <c r="EQ50" s="28">
        <v>-5.6040585E7</v>
      </c>
      <c r="ER50" s="28">
        <v>3.886975165E9</v>
      </c>
      <c r="ES50" s="28">
        <v>1.048027429E9</v>
      </c>
      <c r="ET50" s="28">
        <v>1.6618671501E10</v>
      </c>
      <c r="EU50" s="28"/>
      <c r="EV50" s="28">
        <v>1.41398515E8</v>
      </c>
      <c r="EW50" s="28">
        <v>1500000.0</v>
      </c>
      <c r="EX50" s="28">
        <v>2.10858736E8</v>
      </c>
      <c r="EY50" s="28">
        <v>8.79467214E8</v>
      </c>
      <c r="EZ50" s="28">
        <v>1.845723017E9</v>
      </c>
      <c r="FA50" s="28">
        <v>7.2437315E7</v>
      </c>
      <c r="FB50" s="27"/>
      <c r="FC50" s="28">
        <v>1.897519439E9</v>
      </c>
      <c r="FD50" s="28">
        <v>1.84575232E8</v>
      </c>
      <c r="FE50" s="27"/>
      <c r="FF50" s="28">
        <v>5.3134587E7</v>
      </c>
      <c r="FG50" s="28">
        <v>9.0410391E7</v>
      </c>
      <c r="FH50" s="27"/>
      <c r="FI50" s="28">
        <v>2.42926E8</v>
      </c>
      <c r="FJ50" s="28">
        <v>3.93575803E8</v>
      </c>
      <c r="FK50" s="27"/>
      <c r="FL50" s="28">
        <v>5.11262453E8</v>
      </c>
      <c r="FM50" s="28">
        <v>4.25182224E8</v>
      </c>
      <c r="FN50" s="27"/>
      <c r="FO50" s="28">
        <v>2.42007888E8</v>
      </c>
      <c r="FP50" s="27"/>
      <c r="FQ50" s="28">
        <v>5.4301157E7</v>
      </c>
      <c r="FR50" s="28">
        <v>1.315816997E9</v>
      </c>
      <c r="FS50" s="27"/>
      <c r="FT50" s="27"/>
      <c r="FU50" s="27"/>
      <c r="FV50" s="28">
        <v>3.10588613E8</v>
      </c>
      <c r="FW50" s="28">
        <v>6.68409846E8</v>
      </c>
      <c r="FX50" s="28">
        <v>2.00535E8</v>
      </c>
      <c r="FY50" s="27"/>
      <c r="FZ50" s="28">
        <v>2.07208727E8</v>
      </c>
      <c r="GA50" s="28">
        <v>7.48005076E8</v>
      </c>
      <c r="GB50" s="28">
        <v>1.0418134E8</v>
      </c>
      <c r="GC50" s="28">
        <v>4.0511428E7</v>
      </c>
      <c r="GD50" s="28">
        <v>9943113.0</v>
      </c>
      <c r="GE50" s="28">
        <v>3.98252378E8</v>
      </c>
      <c r="GF50" s="28">
        <v>8.0495764E7</v>
      </c>
      <c r="GG50" s="28">
        <v>9500000.0</v>
      </c>
      <c r="GH50" s="28">
        <v>1.25853193E8</v>
      </c>
      <c r="GI50" s="28">
        <v>3.96E8</v>
      </c>
      <c r="GJ50" s="27"/>
      <c r="GK50" s="27"/>
      <c r="GL50" s="62"/>
      <c r="GM50" s="62">
        <v>3.3459368513E11</v>
      </c>
      <c r="GN50" s="27"/>
      <c r="GO50" s="27"/>
      <c r="GP50" s="27"/>
      <c r="GQ50" s="28">
        <v>3.202336066E9</v>
      </c>
      <c r="GR50" s="28">
        <v>7.07876052E8</v>
      </c>
      <c r="GS50" s="28">
        <v>1.07585296E8</v>
      </c>
      <c r="GT50" s="28">
        <v>2.63224324E8</v>
      </c>
      <c r="GU50" s="28">
        <v>1.004408926E9</v>
      </c>
      <c r="GV50" s="28">
        <v>5.002378E8</v>
      </c>
      <c r="GW50" s="28">
        <v>2.52721797E8</v>
      </c>
      <c r="GX50" s="28">
        <v>2.528776389E9</v>
      </c>
      <c r="GY50" s="28">
        <v>3.854868167E9</v>
      </c>
      <c r="GZ50" s="28">
        <v>5.27948281E9</v>
      </c>
      <c r="HA50" s="27"/>
      <c r="HB50" s="27"/>
      <c r="HC50" s="28">
        <v>3.50633578E8</v>
      </c>
      <c r="HD50" s="27"/>
      <c r="HE50" s="27"/>
      <c r="HF50" s="28">
        <v>1.7017269E9</v>
      </c>
      <c r="HG50" s="28">
        <v>3.67729521E8</v>
      </c>
      <c r="HH50" s="28">
        <v>6.63814726E8</v>
      </c>
      <c r="HI50" s="28">
        <v>9978521.0</v>
      </c>
      <c r="HJ50" s="28">
        <v>7.97062856E8</v>
      </c>
      <c r="HK50" s="28">
        <v>8.8416792E7</v>
      </c>
      <c r="HL50" s="28">
        <v>5257000.0</v>
      </c>
      <c r="HM50" s="27"/>
      <c r="HN50" s="28">
        <v>2.6592148E7</v>
      </c>
      <c r="HO50" s="28">
        <v>5.17679054E8</v>
      </c>
      <c r="HP50" s="28">
        <v>8.4027689E7</v>
      </c>
      <c r="HQ50" s="28">
        <v>2.474071141E9</v>
      </c>
      <c r="HR50" s="28">
        <v>7.9529485E7</v>
      </c>
      <c r="HS50" s="28">
        <v>3.77575237E8</v>
      </c>
      <c r="HT50" s="28">
        <v>7.71752468E8</v>
      </c>
      <c r="HU50" s="28">
        <v>3.4683225E8</v>
      </c>
      <c r="HV50" s="28">
        <v>1.28953904E8</v>
      </c>
      <c r="HW50" s="28">
        <v>1.85E8</v>
      </c>
      <c r="HX50" s="28">
        <v>4.31654975E8</v>
      </c>
      <c r="HY50" s="28">
        <v>1.12391006E8</v>
      </c>
      <c r="HZ50" s="189">
        <v>8.9574654E7</v>
      </c>
      <c r="IA50" s="28">
        <v>7.3348509E7</v>
      </c>
      <c r="IB50" s="28">
        <v>2.8134095E7</v>
      </c>
      <c r="IC50" s="28">
        <v>1.63245706E8</v>
      </c>
      <c r="ID50" s="28">
        <v>1.71810058E8</v>
      </c>
      <c r="IE50" s="28">
        <v>1.80354523E8</v>
      </c>
      <c r="IF50" s="28">
        <v>5.6029035E7</v>
      </c>
      <c r="IG50" s="28">
        <v>2.23035672E8</v>
      </c>
      <c r="IH50" s="28">
        <v>2.6204634E7</v>
      </c>
      <c r="II50" s="27"/>
      <c r="IJ50" s="27"/>
      <c r="IK50" s="28">
        <v>9.682063E7</v>
      </c>
      <c r="IL50" s="28">
        <v>4.9922575E7</v>
      </c>
      <c r="IM50" s="28">
        <v>1.387101727E9</v>
      </c>
      <c r="IN50" s="27"/>
      <c r="IO50" s="28">
        <v>1.17042894E8</v>
      </c>
      <c r="IP50" s="28">
        <v>4.15387613E8</v>
      </c>
      <c r="IQ50" s="28">
        <v>1.318113E8</v>
      </c>
      <c r="IR50" s="27"/>
      <c r="IS50" s="28">
        <v>2.575784E7</v>
      </c>
      <c r="IT50" s="28">
        <v>1.37387389E8</v>
      </c>
      <c r="IU50" s="28">
        <v>4.77211296E8</v>
      </c>
      <c r="IV50" s="27"/>
      <c r="IW50" s="27"/>
      <c r="IX50" s="28">
        <v>1.0935E8</v>
      </c>
      <c r="IY50" s="27"/>
      <c r="IZ50" s="27"/>
      <c r="JA50" s="28"/>
      <c r="JB50" s="28">
        <v>9.42817104E8</v>
      </c>
      <c r="JC50" s="27"/>
      <c r="JD50" s="28">
        <v>4236309.0</v>
      </c>
      <c r="JE50" s="28">
        <v>2.0724708E8</v>
      </c>
      <c r="JF50" s="27"/>
      <c r="JG50" s="27"/>
      <c r="JH50" s="28">
        <v>1.06353918E8</v>
      </c>
      <c r="JI50" s="28">
        <v>1.1912629E7</v>
      </c>
      <c r="JJ50" s="27"/>
      <c r="JK50" s="28">
        <v>3.225E7</v>
      </c>
      <c r="JL50" s="28">
        <v>7.4311133E7</v>
      </c>
      <c r="JM50" s="28">
        <v>6.444156373E9</v>
      </c>
      <c r="JN50" s="28">
        <v>4.29527878E8</v>
      </c>
      <c r="JO50" s="28">
        <v>1.52839237E8</v>
      </c>
      <c r="JP50" s="28">
        <v>3.2083519E8</v>
      </c>
      <c r="JQ50" s="28">
        <v>4.3665561E7</v>
      </c>
      <c r="JR50" s="28">
        <v>2.25E7</v>
      </c>
      <c r="JS50" s="27"/>
      <c r="JT50" s="62">
        <v>3.9949527073E10</v>
      </c>
      <c r="JU50" s="27"/>
      <c r="JV50" s="27"/>
      <c r="JW50" s="28">
        <v>9.119164904E9</v>
      </c>
      <c r="JX50" s="28">
        <v>3.340784E8</v>
      </c>
      <c r="JY50" s="28">
        <v>6.32298151E8</v>
      </c>
      <c r="JZ50" s="62">
        <v>1.0085541455E10</v>
      </c>
      <c r="KA50" s="27"/>
      <c r="KB50" s="27"/>
      <c r="KC50" s="28">
        <v>1.011041871E9</v>
      </c>
      <c r="KD50" s="62">
        <v>1.011041871E9</v>
      </c>
      <c r="KE50" s="27"/>
      <c r="KF50" s="27"/>
      <c r="KG50" s="28">
        <v>9.9379224E7</v>
      </c>
      <c r="KH50" s="28">
        <v>1.22323228E9</v>
      </c>
      <c r="KI50" s="28">
        <v>1.068891617E9</v>
      </c>
      <c r="KJ50" s="28">
        <v>1070500.0</v>
      </c>
      <c r="KK50" s="28">
        <v>114310.0</v>
      </c>
      <c r="KL50" s="28">
        <v>4.9103781E7</v>
      </c>
      <c r="KM50" s="27"/>
      <c r="KN50" s="62">
        <v>2.441791713E9</v>
      </c>
      <c r="KO50" s="27"/>
      <c r="KP50" s="27"/>
      <c r="KQ50" s="28">
        <v>9.9381651E7</v>
      </c>
      <c r="KR50" s="28">
        <v>1.6875984427539999E10</v>
      </c>
      <c r="KS50" s="28"/>
      <c r="KT50" s="28">
        <v>1.449122695E9</v>
      </c>
      <c r="KU50" s="28">
        <v>1.7150133E7</v>
      </c>
      <c r="KV50" s="28">
        <v>5.59274515E8</v>
      </c>
      <c r="KW50" s="28">
        <v>3099583.0</v>
      </c>
      <c r="KX50" s="27"/>
      <c r="KY50" s="27"/>
      <c r="KZ50" s="28">
        <v>1.7E9</v>
      </c>
      <c r="LA50" s="27"/>
      <c r="LB50" s="28">
        <v>1.6796919E8</v>
      </c>
      <c r="LC50" s="28">
        <v>3305546.0</v>
      </c>
      <c r="LD50" s="27"/>
      <c r="LE50" s="62">
        <v>2.0875287741E10</v>
      </c>
      <c r="LF50" s="27"/>
      <c r="LG50" s="27"/>
      <c r="LH50" s="28">
        <v>4.406748565E9</v>
      </c>
      <c r="LI50" s="62">
        <v>4.406748565E9</v>
      </c>
      <c r="LJ50" s="62">
        <f t="shared" si="11"/>
        <v>71921398140</v>
      </c>
      <c r="LK50" s="110"/>
    </row>
    <row r="51">
      <c r="A51" s="116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6"/>
      <c r="V51" s="118"/>
      <c r="W51" s="116"/>
      <c r="X51" s="116"/>
      <c r="Y51" s="116"/>
      <c r="Z51" s="116"/>
      <c r="AA51" s="116"/>
      <c r="AB51" s="116"/>
      <c r="AC51" s="116"/>
      <c r="AD51" s="116"/>
      <c r="AE51" s="119"/>
      <c r="AF51" s="116"/>
      <c r="AG51" s="116"/>
      <c r="AH51" s="116"/>
      <c r="AI51" s="116"/>
      <c r="AJ51" s="116"/>
      <c r="AK51" s="116"/>
      <c r="AL51" s="116"/>
      <c r="AM51" s="120"/>
      <c r="AN51" s="121"/>
      <c r="AO51" s="116"/>
      <c r="AP51" s="116"/>
      <c r="AQ51" s="116"/>
      <c r="AR51" s="116"/>
      <c r="AS51" s="116"/>
      <c r="AT51" s="116"/>
      <c r="AU51" s="116"/>
      <c r="AV51" s="116"/>
      <c r="AW51" s="116"/>
      <c r="AX51" s="116"/>
      <c r="AY51" s="116"/>
      <c r="AZ51" s="116"/>
      <c r="BA51" s="116"/>
      <c r="BB51" s="116"/>
      <c r="BC51" s="116"/>
      <c r="BD51" s="116"/>
      <c r="BE51" s="116"/>
      <c r="BF51" s="116"/>
      <c r="BG51" s="116"/>
      <c r="BH51" s="116"/>
      <c r="BI51" s="116"/>
      <c r="BJ51" s="116"/>
      <c r="BK51" s="116"/>
      <c r="BL51" s="116"/>
      <c r="BM51" s="116"/>
      <c r="BN51" s="116"/>
      <c r="BO51" s="116"/>
      <c r="BP51" s="116"/>
      <c r="BQ51" s="116"/>
      <c r="BR51" s="116"/>
      <c r="BS51" s="116"/>
      <c r="BT51" s="121"/>
      <c r="BU51" s="116"/>
      <c r="BV51" s="116"/>
      <c r="BW51" s="116"/>
      <c r="BX51" s="116"/>
      <c r="BY51" s="116"/>
      <c r="BZ51" s="116"/>
      <c r="CA51" s="116"/>
      <c r="CB51" s="116"/>
      <c r="CC51" s="122"/>
      <c r="CD51" s="122"/>
      <c r="CE51" s="116"/>
      <c r="CF51" s="116"/>
      <c r="CG51" s="116"/>
      <c r="CH51" s="116"/>
      <c r="CI51" s="116"/>
      <c r="CJ51" s="116"/>
      <c r="CK51" s="116"/>
      <c r="CL51" s="116"/>
      <c r="CM51" s="116"/>
      <c r="CN51" s="116"/>
      <c r="CO51" s="116"/>
      <c r="CP51" s="116"/>
      <c r="CQ51" s="116"/>
      <c r="CR51" s="116"/>
      <c r="CS51" s="116"/>
      <c r="CT51" s="116"/>
      <c r="CU51" s="116"/>
      <c r="CV51" s="116"/>
      <c r="CW51" s="116"/>
      <c r="CX51" s="116"/>
      <c r="CY51" s="116"/>
      <c r="CZ51" s="116"/>
      <c r="DA51" s="116"/>
      <c r="DB51" s="116"/>
      <c r="DC51" s="116"/>
      <c r="DD51" s="116"/>
      <c r="DE51" s="116"/>
      <c r="DF51" s="116"/>
      <c r="DG51" s="116"/>
      <c r="DH51" s="116"/>
      <c r="DI51" s="116"/>
      <c r="DJ51" s="116"/>
      <c r="DK51" s="116"/>
      <c r="DL51" s="116"/>
      <c r="DM51" s="116"/>
      <c r="DN51" s="116"/>
      <c r="DO51" s="116"/>
      <c r="DP51" s="116"/>
      <c r="DQ51" s="116"/>
      <c r="DR51" s="116"/>
      <c r="DS51" s="116"/>
      <c r="DT51" s="116"/>
      <c r="DU51" s="116"/>
      <c r="DV51" s="116"/>
      <c r="DW51" s="116"/>
      <c r="DX51" s="116"/>
      <c r="DY51" s="116"/>
      <c r="DZ51" s="116"/>
      <c r="EA51" s="116"/>
      <c r="EB51" s="116"/>
      <c r="EC51" s="116"/>
      <c r="ED51" s="116"/>
      <c r="EE51" s="116"/>
      <c r="EF51" s="116"/>
      <c r="EG51" s="116"/>
      <c r="EH51" s="116"/>
      <c r="EI51" s="116"/>
      <c r="EJ51" s="116"/>
      <c r="EK51" s="116"/>
      <c r="EL51" s="116"/>
      <c r="EM51" s="116"/>
      <c r="EN51" s="116"/>
      <c r="EO51" s="116"/>
      <c r="EP51" s="116"/>
      <c r="EQ51" s="116"/>
      <c r="ER51" s="116"/>
      <c r="ES51" s="116"/>
      <c r="ET51" s="116"/>
      <c r="EU51" s="116"/>
      <c r="EV51" s="116"/>
      <c r="EW51" s="116"/>
      <c r="EX51" s="116"/>
      <c r="EY51" s="116"/>
      <c r="EZ51" s="116"/>
      <c r="FA51" s="116"/>
      <c r="FB51" s="116"/>
      <c r="FC51" s="116"/>
      <c r="FD51" s="116"/>
      <c r="FE51" s="116"/>
      <c r="FF51" s="116"/>
      <c r="FG51" s="116"/>
      <c r="FH51" s="116"/>
      <c r="FI51" s="116"/>
      <c r="FJ51" s="116"/>
      <c r="FK51" s="116"/>
      <c r="FL51" s="116"/>
      <c r="FM51" s="116"/>
      <c r="FN51" s="116"/>
      <c r="FO51" s="116"/>
      <c r="FP51" s="116"/>
      <c r="FQ51" s="116"/>
      <c r="FR51" s="116"/>
      <c r="FS51" s="116"/>
      <c r="FT51" s="116"/>
      <c r="FU51" s="116"/>
      <c r="FV51" s="116"/>
      <c r="FW51" s="116"/>
      <c r="FX51" s="116"/>
      <c r="FY51" s="116"/>
      <c r="FZ51" s="116"/>
      <c r="GA51" s="116"/>
      <c r="GB51" s="116"/>
      <c r="GC51" s="116"/>
      <c r="GD51" s="116"/>
      <c r="GE51" s="116"/>
      <c r="GF51" s="116"/>
      <c r="GG51" s="116"/>
      <c r="GH51" s="116"/>
      <c r="GI51" s="116"/>
      <c r="GJ51" s="116"/>
      <c r="GK51" s="116"/>
      <c r="GL51" s="116"/>
      <c r="GM51" s="118"/>
      <c r="GN51" s="116"/>
      <c r="GO51" s="116"/>
      <c r="GP51" s="116"/>
      <c r="GQ51" s="116"/>
      <c r="GR51" s="116"/>
      <c r="GS51" s="116"/>
      <c r="GT51" s="116"/>
      <c r="GU51" s="116"/>
      <c r="GV51" s="116"/>
      <c r="GW51" s="116"/>
      <c r="GX51" s="116"/>
      <c r="GY51" s="116"/>
      <c r="GZ51" s="116"/>
      <c r="HA51" s="116"/>
      <c r="HB51" s="116"/>
      <c r="HC51" s="116"/>
      <c r="HD51" s="116"/>
      <c r="HE51" s="116"/>
      <c r="HF51" s="116"/>
      <c r="HG51" s="116"/>
      <c r="HH51" s="116"/>
      <c r="HI51" s="116"/>
      <c r="HJ51" s="116"/>
      <c r="HK51" s="116"/>
      <c r="HL51" s="116"/>
      <c r="HM51" s="116"/>
      <c r="HN51" s="116"/>
      <c r="HO51" s="116"/>
      <c r="HP51" s="116"/>
      <c r="HQ51" s="116"/>
      <c r="HR51" s="116"/>
      <c r="HS51" s="116"/>
      <c r="HT51" s="116"/>
      <c r="HU51" s="116"/>
      <c r="HV51" s="116"/>
      <c r="HW51" s="116"/>
      <c r="HX51" s="116"/>
      <c r="HY51" s="116"/>
      <c r="HZ51" s="116"/>
      <c r="IA51" s="116"/>
      <c r="IB51" s="116"/>
      <c r="IC51" s="116"/>
      <c r="ID51" s="116"/>
      <c r="IE51" s="116"/>
      <c r="IF51" s="116"/>
      <c r="IG51" s="116"/>
      <c r="IH51" s="116"/>
      <c r="II51" s="116"/>
      <c r="IJ51" s="116"/>
      <c r="IK51" s="116"/>
      <c r="IL51" s="116"/>
      <c r="IM51" s="116"/>
      <c r="IN51" s="116"/>
      <c r="IO51" s="116"/>
      <c r="IP51" s="116"/>
      <c r="IQ51" s="116"/>
      <c r="IR51" s="116"/>
      <c r="IS51" s="116"/>
      <c r="IT51" s="116"/>
      <c r="IU51" s="116"/>
      <c r="IV51" s="116"/>
      <c r="IW51" s="116"/>
      <c r="IX51" s="116"/>
      <c r="IY51" s="116"/>
      <c r="IZ51" s="116"/>
      <c r="JA51" s="116"/>
      <c r="JB51" s="116"/>
      <c r="JC51" s="116"/>
      <c r="JD51" s="116"/>
      <c r="JE51" s="116"/>
      <c r="JF51" s="116"/>
      <c r="JG51" s="116"/>
      <c r="JH51" s="116"/>
      <c r="JI51" s="116"/>
      <c r="JJ51" s="116"/>
      <c r="JK51" s="116"/>
      <c r="JL51" s="116"/>
      <c r="JM51" s="116"/>
      <c r="JN51" s="116"/>
      <c r="JO51" s="116"/>
      <c r="JP51" s="116"/>
      <c r="JQ51" s="116"/>
      <c r="JR51" s="116"/>
      <c r="JS51" s="116"/>
      <c r="JT51" s="123"/>
      <c r="JU51" s="116"/>
      <c r="JV51" s="116"/>
      <c r="JW51" s="116"/>
      <c r="JX51" s="116"/>
      <c r="JY51" s="116"/>
      <c r="JZ51" s="116"/>
      <c r="KA51" s="116"/>
      <c r="KB51" s="116"/>
      <c r="KC51" s="116"/>
      <c r="KD51" s="116"/>
      <c r="KE51" s="116"/>
      <c r="KF51" s="116"/>
      <c r="KG51" s="116"/>
      <c r="KH51" s="116"/>
      <c r="KI51" s="116"/>
      <c r="KJ51" s="116"/>
      <c r="KK51" s="116"/>
      <c r="KL51" s="116"/>
      <c r="KM51" s="116"/>
      <c r="KN51" s="116"/>
      <c r="KO51" s="116"/>
      <c r="KP51" s="116"/>
      <c r="KQ51" s="116"/>
      <c r="KR51" s="116"/>
      <c r="KS51" s="116"/>
      <c r="KT51" s="116"/>
      <c r="KU51" s="116"/>
      <c r="KV51" s="116"/>
      <c r="KW51" s="116"/>
      <c r="KX51" s="116"/>
      <c r="KY51" s="116"/>
      <c r="KZ51" s="116"/>
      <c r="LA51" s="116"/>
      <c r="LB51" s="116"/>
      <c r="LC51" s="116"/>
      <c r="LD51" s="116"/>
      <c r="LE51" s="116"/>
      <c r="LF51" s="116"/>
      <c r="LG51" s="116"/>
      <c r="LH51" s="116"/>
      <c r="LI51" s="116"/>
      <c r="LJ51" s="116"/>
      <c r="LK51" s="116"/>
    </row>
    <row r="52">
      <c r="A52" s="116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6"/>
      <c r="V52" s="118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16"/>
      <c r="AL52" s="116"/>
      <c r="AM52" s="120"/>
      <c r="AN52" s="121"/>
      <c r="AO52" s="116"/>
      <c r="AP52" s="116"/>
      <c r="AQ52" s="116"/>
      <c r="AR52" s="116"/>
      <c r="AS52" s="116"/>
      <c r="AT52" s="116"/>
      <c r="AU52" s="116"/>
      <c r="AV52" s="116"/>
      <c r="AW52" s="116"/>
      <c r="AX52" s="116"/>
      <c r="AY52" s="116"/>
      <c r="AZ52" s="116"/>
      <c r="BA52" s="116"/>
      <c r="BB52" s="116"/>
      <c r="BC52" s="116"/>
      <c r="BD52" s="116"/>
      <c r="BE52" s="116"/>
      <c r="BF52" s="116"/>
      <c r="BG52" s="116"/>
      <c r="BH52" s="116"/>
      <c r="BI52" s="116"/>
      <c r="BJ52" s="116"/>
      <c r="BK52" s="116"/>
      <c r="BL52" s="116"/>
      <c r="BM52" s="116"/>
      <c r="BN52" s="116"/>
      <c r="BO52" s="116"/>
      <c r="BP52" s="116"/>
      <c r="BQ52" s="116"/>
      <c r="BR52" s="116"/>
      <c r="BS52" s="116"/>
      <c r="BT52" s="121"/>
      <c r="BU52" s="116"/>
      <c r="BV52" s="116"/>
      <c r="BW52" s="116"/>
      <c r="BX52" s="116"/>
      <c r="BY52" s="116"/>
      <c r="BZ52" s="116"/>
      <c r="CA52" s="116"/>
      <c r="CB52" s="116"/>
      <c r="CC52" s="122"/>
      <c r="CD52" s="122"/>
      <c r="CE52" s="116"/>
      <c r="CF52" s="116"/>
      <c r="CG52" s="116"/>
      <c r="CH52" s="116"/>
      <c r="CI52" s="116"/>
      <c r="CJ52" s="116"/>
      <c r="CK52" s="116"/>
      <c r="CL52" s="116"/>
      <c r="CM52" s="116"/>
      <c r="CN52" s="116"/>
      <c r="CO52" s="116"/>
      <c r="CP52" s="116"/>
      <c r="CQ52" s="116"/>
      <c r="CR52" s="116"/>
      <c r="CS52" s="116"/>
      <c r="CT52" s="116"/>
      <c r="CU52" s="116"/>
      <c r="CV52" s="116"/>
      <c r="CW52" s="116"/>
      <c r="CX52" s="116"/>
      <c r="CY52" s="116"/>
      <c r="CZ52" s="116"/>
      <c r="DA52" s="116"/>
      <c r="DB52" s="116"/>
      <c r="DC52" s="116"/>
      <c r="DD52" s="116"/>
      <c r="DE52" s="116"/>
      <c r="DF52" s="116"/>
      <c r="DG52" s="116"/>
      <c r="DH52" s="116"/>
      <c r="DI52" s="116"/>
      <c r="DJ52" s="116"/>
      <c r="DK52" s="116"/>
      <c r="DL52" s="116"/>
      <c r="DM52" s="116"/>
      <c r="DN52" s="116"/>
      <c r="DO52" s="116"/>
      <c r="DP52" s="116"/>
      <c r="DQ52" s="116"/>
      <c r="DR52" s="116"/>
      <c r="DS52" s="116"/>
      <c r="DT52" s="116"/>
      <c r="DU52" s="116"/>
      <c r="DV52" s="116"/>
      <c r="DW52" s="116"/>
      <c r="DX52" s="116"/>
      <c r="DY52" s="116"/>
      <c r="DZ52" s="116"/>
      <c r="EA52" s="116"/>
      <c r="EB52" s="116"/>
      <c r="EC52" s="116"/>
      <c r="ED52" s="116"/>
      <c r="EE52" s="116"/>
      <c r="EF52" s="116"/>
      <c r="EG52" s="116"/>
      <c r="EH52" s="116"/>
      <c r="EI52" s="116"/>
      <c r="EJ52" s="116"/>
      <c r="EK52" s="116"/>
      <c r="EL52" s="116"/>
      <c r="EM52" s="116"/>
      <c r="EN52" s="116"/>
      <c r="EO52" s="116"/>
      <c r="EP52" s="116"/>
      <c r="EQ52" s="116"/>
      <c r="ER52" s="116"/>
      <c r="ES52" s="116"/>
      <c r="ET52" s="116"/>
      <c r="EU52" s="116"/>
      <c r="EV52" s="116"/>
      <c r="EW52" s="116"/>
      <c r="EX52" s="116"/>
      <c r="EY52" s="116"/>
      <c r="EZ52" s="116"/>
      <c r="FA52" s="116"/>
      <c r="FB52" s="116"/>
      <c r="FC52" s="116"/>
      <c r="FD52" s="116"/>
      <c r="FE52" s="116"/>
      <c r="FF52" s="116"/>
      <c r="FG52" s="116"/>
      <c r="FH52" s="116"/>
      <c r="FI52" s="116"/>
      <c r="FJ52" s="116"/>
      <c r="FK52" s="116"/>
      <c r="FL52" s="116"/>
      <c r="FM52" s="116"/>
      <c r="FN52" s="116"/>
      <c r="FO52" s="116"/>
      <c r="FP52" s="116"/>
      <c r="FQ52" s="116"/>
      <c r="FR52" s="116"/>
      <c r="FS52" s="116"/>
      <c r="FT52" s="116"/>
      <c r="FU52" s="116"/>
      <c r="FV52" s="116"/>
      <c r="FW52" s="116"/>
      <c r="FX52" s="116"/>
      <c r="FY52" s="116"/>
      <c r="FZ52" s="116"/>
      <c r="GA52" s="116"/>
      <c r="GB52" s="116"/>
      <c r="GC52" s="116"/>
      <c r="GD52" s="116"/>
      <c r="GE52" s="116"/>
      <c r="GF52" s="116"/>
      <c r="GG52" s="116"/>
      <c r="GH52" s="116"/>
      <c r="GI52" s="116"/>
      <c r="GJ52" s="116"/>
      <c r="GK52" s="116"/>
      <c r="GL52" s="116"/>
      <c r="GM52" s="118"/>
      <c r="GN52" s="116"/>
      <c r="GO52" s="116"/>
      <c r="GP52" s="116"/>
      <c r="GQ52" s="116"/>
      <c r="GR52" s="116"/>
      <c r="GS52" s="116"/>
      <c r="GT52" s="116"/>
      <c r="GU52" s="116"/>
      <c r="GV52" s="116"/>
      <c r="GW52" s="116"/>
      <c r="GX52" s="116"/>
      <c r="GY52" s="116"/>
      <c r="GZ52" s="116"/>
      <c r="HA52" s="116"/>
      <c r="HB52" s="116"/>
      <c r="HC52" s="116"/>
      <c r="HD52" s="116"/>
      <c r="HE52" s="116"/>
      <c r="HF52" s="116"/>
      <c r="HG52" s="116"/>
      <c r="HH52" s="116"/>
      <c r="HI52" s="116"/>
      <c r="HJ52" s="116"/>
      <c r="HK52" s="116"/>
      <c r="HL52" s="116"/>
      <c r="HM52" s="116"/>
      <c r="HN52" s="116"/>
      <c r="HO52" s="116"/>
      <c r="HP52" s="116"/>
      <c r="HQ52" s="116"/>
      <c r="HR52" s="116"/>
      <c r="HS52" s="116"/>
      <c r="HT52" s="116"/>
      <c r="HU52" s="116"/>
      <c r="HV52" s="116"/>
      <c r="HW52" s="116"/>
      <c r="HX52" s="116"/>
      <c r="HY52" s="116"/>
      <c r="HZ52" s="116"/>
      <c r="IA52" s="116"/>
      <c r="IB52" s="116"/>
      <c r="IC52" s="116"/>
      <c r="ID52" s="116"/>
      <c r="IE52" s="116"/>
      <c r="IF52" s="116"/>
      <c r="IG52" s="116"/>
      <c r="IH52" s="116"/>
      <c r="II52" s="116"/>
      <c r="IJ52" s="116"/>
      <c r="IK52" s="116"/>
      <c r="IL52" s="116"/>
      <c r="IM52" s="116"/>
      <c r="IN52" s="116"/>
      <c r="IO52" s="116"/>
      <c r="IP52" s="116"/>
      <c r="IQ52" s="116"/>
      <c r="IR52" s="116"/>
      <c r="IS52" s="116"/>
      <c r="IT52" s="116"/>
      <c r="IU52" s="116"/>
      <c r="IV52" s="116"/>
      <c r="IW52" s="116"/>
      <c r="IX52" s="116"/>
      <c r="IY52" s="116"/>
      <c r="IZ52" s="116"/>
      <c r="JA52" s="116"/>
      <c r="JB52" s="116"/>
      <c r="JC52" s="116"/>
      <c r="JD52" s="116"/>
      <c r="JE52" s="116"/>
      <c r="JF52" s="116"/>
      <c r="JG52" s="116"/>
      <c r="JH52" s="116"/>
      <c r="JI52" s="116"/>
      <c r="JJ52" s="116"/>
      <c r="JK52" s="116"/>
      <c r="JL52" s="116"/>
      <c r="JM52" s="116"/>
      <c r="JN52" s="116"/>
      <c r="JO52" s="116"/>
      <c r="JP52" s="116"/>
      <c r="JQ52" s="116"/>
      <c r="JR52" s="116"/>
      <c r="JS52" s="116"/>
      <c r="JT52" s="123"/>
      <c r="JU52" s="116"/>
      <c r="JV52" s="116"/>
      <c r="JW52" s="116"/>
      <c r="JX52" s="116"/>
      <c r="JY52" s="116"/>
      <c r="JZ52" s="116"/>
      <c r="KA52" s="116"/>
      <c r="KB52" s="116"/>
      <c r="KC52" s="116"/>
      <c r="KD52" s="116"/>
      <c r="KE52" s="116"/>
      <c r="KF52" s="116"/>
      <c r="KG52" s="116"/>
      <c r="KH52" s="116"/>
      <c r="KI52" s="116"/>
      <c r="KJ52" s="116"/>
      <c r="KK52" s="116"/>
      <c r="KL52" s="116"/>
      <c r="KM52" s="116"/>
      <c r="KN52" s="116"/>
      <c r="KO52" s="116"/>
      <c r="KP52" s="116"/>
      <c r="KQ52" s="116"/>
      <c r="KR52" s="116"/>
      <c r="KS52" s="116"/>
      <c r="KT52" s="116"/>
      <c r="KU52" s="116"/>
      <c r="KV52" s="116"/>
      <c r="KW52" s="116"/>
      <c r="KX52" s="116"/>
      <c r="KY52" s="116"/>
      <c r="KZ52" s="116"/>
      <c r="LA52" s="116"/>
      <c r="LB52" s="116"/>
      <c r="LC52" s="116"/>
      <c r="LD52" s="116"/>
      <c r="LE52" s="116"/>
      <c r="LF52" s="116"/>
      <c r="LG52" s="116"/>
      <c r="LH52" s="116"/>
      <c r="LI52" s="116"/>
      <c r="LJ52" s="116"/>
      <c r="LK52" s="116"/>
    </row>
    <row r="53">
      <c r="A53" s="190" t="s">
        <v>382</v>
      </c>
      <c r="B53" s="191"/>
      <c r="C53" s="191"/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24"/>
      <c r="P53" s="124"/>
      <c r="Q53" s="124"/>
      <c r="R53" s="124"/>
      <c r="S53" s="124"/>
      <c r="T53" s="124"/>
      <c r="U53" s="33"/>
      <c r="V53" s="126"/>
      <c r="W53" s="33"/>
      <c r="X53" s="33"/>
      <c r="Y53" s="33"/>
      <c r="Z53" s="33"/>
      <c r="AA53" s="33"/>
      <c r="AB53" s="32" t="s">
        <v>383</v>
      </c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2" t="s">
        <v>384</v>
      </c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2" t="s">
        <v>385</v>
      </c>
      <c r="DR53" s="32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  <c r="FS53" s="30"/>
      <c r="FT53" s="30"/>
      <c r="FU53" s="30"/>
      <c r="FV53" s="30"/>
      <c r="FW53" s="30"/>
      <c r="FX53" s="30"/>
      <c r="FY53" s="30"/>
      <c r="FZ53" s="30"/>
      <c r="GA53" s="30"/>
      <c r="GB53" s="30"/>
      <c r="GC53" s="30"/>
      <c r="GD53" s="30"/>
      <c r="GE53" s="30"/>
      <c r="GF53" s="30"/>
      <c r="GG53" s="30"/>
      <c r="GH53" s="30"/>
      <c r="GI53" s="30"/>
      <c r="GJ53" s="30"/>
      <c r="GK53" s="30"/>
      <c r="GL53" s="30"/>
      <c r="GM53" s="30"/>
      <c r="GN53" s="30"/>
      <c r="GO53" s="30"/>
      <c r="GP53" s="30"/>
      <c r="GQ53" s="30"/>
      <c r="GR53" s="30"/>
      <c r="GS53" s="30"/>
      <c r="GT53" s="30"/>
      <c r="GU53" s="30"/>
      <c r="GV53" s="30"/>
      <c r="GW53" s="30"/>
      <c r="GX53" s="30"/>
      <c r="GY53" s="30"/>
      <c r="GZ53" s="30"/>
      <c r="HA53" s="30"/>
      <c r="HB53" s="30"/>
      <c r="HC53" s="30"/>
      <c r="HD53" s="30"/>
      <c r="HE53" s="30"/>
      <c r="HF53" s="30"/>
      <c r="HG53" s="30"/>
      <c r="HH53" s="30"/>
      <c r="HI53" s="30"/>
      <c r="HJ53" s="30"/>
      <c r="HK53" s="30"/>
      <c r="HL53" s="30"/>
      <c r="HM53" s="30"/>
      <c r="HN53" s="30"/>
      <c r="HO53" s="30"/>
      <c r="HP53" s="30"/>
      <c r="HQ53" s="30"/>
      <c r="HR53" s="30"/>
      <c r="HS53" s="30"/>
      <c r="HT53" s="30"/>
      <c r="HU53" s="30"/>
      <c r="HV53" s="30"/>
      <c r="HW53" s="30"/>
      <c r="HX53" s="30"/>
      <c r="HY53" s="30"/>
      <c r="HZ53" s="30"/>
      <c r="IA53" s="30"/>
      <c r="IB53" s="30"/>
      <c r="IC53" s="30"/>
      <c r="ID53" s="30"/>
      <c r="IE53" s="30"/>
      <c r="IF53" s="30"/>
      <c r="IG53" s="30"/>
      <c r="IH53" s="30"/>
      <c r="II53" s="30"/>
      <c r="IJ53" s="30"/>
      <c r="IK53" s="30"/>
      <c r="IL53" s="30"/>
      <c r="IM53" s="30"/>
      <c r="IN53" s="30"/>
      <c r="IO53" s="30"/>
      <c r="IP53" s="30"/>
      <c r="IQ53" s="30"/>
      <c r="IR53" s="30"/>
      <c r="IS53" s="30"/>
      <c r="IT53" s="30"/>
      <c r="IU53" s="30"/>
      <c r="IV53" s="30"/>
      <c r="IW53" s="30"/>
      <c r="IX53" s="30"/>
      <c r="IY53" s="30"/>
      <c r="IZ53" s="30"/>
      <c r="JA53" s="30"/>
      <c r="JB53" s="30"/>
      <c r="JC53" s="30"/>
      <c r="JD53" s="30"/>
      <c r="JE53" s="30"/>
      <c r="JF53" s="30"/>
      <c r="JG53" s="30"/>
      <c r="JH53" s="30"/>
      <c r="JI53" s="30"/>
      <c r="JJ53" s="30"/>
      <c r="JK53" s="30"/>
      <c r="JL53" s="30"/>
      <c r="JM53" s="30"/>
      <c r="JN53" s="30"/>
      <c r="JO53" s="30"/>
      <c r="JP53" s="30"/>
      <c r="JQ53" s="30"/>
      <c r="JR53" s="30"/>
      <c r="JS53" s="30"/>
      <c r="JT53" s="30"/>
      <c r="JU53" s="30"/>
      <c r="JV53" s="30"/>
      <c r="JW53" s="30"/>
      <c r="JX53" s="30"/>
      <c r="JY53" s="30"/>
      <c r="JZ53" s="30"/>
      <c r="KA53" s="30"/>
      <c r="KB53" s="30"/>
      <c r="KC53" s="30"/>
      <c r="KD53" s="30"/>
      <c r="KE53" s="30"/>
      <c r="KF53" s="30"/>
      <c r="KG53" s="30"/>
      <c r="KH53" s="30"/>
      <c r="KI53" s="30"/>
      <c r="KJ53" s="30"/>
      <c r="KK53" s="30"/>
      <c r="KL53" s="30"/>
      <c r="KM53" s="30"/>
      <c r="KN53" s="30"/>
      <c r="KO53" s="30"/>
      <c r="KP53" s="30"/>
      <c r="KQ53" s="30"/>
      <c r="KR53" s="30"/>
      <c r="KS53" s="30"/>
      <c r="KT53" s="30"/>
      <c r="KU53" s="30"/>
      <c r="KV53" s="30"/>
      <c r="KW53" s="30"/>
      <c r="KX53" s="30"/>
      <c r="KY53" s="30"/>
      <c r="KZ53" s="30"/>
      <c r="LA53" s="30"/>
      <c r="LB53" s="30"/>
      <c r="LC53" s="30"/>
      <c r="LD53" s="30"/>
      <c r="LE53" s="30"/>
      <c r="LF53" s="30"/>
      <c r="LG53" s="30"/>
      <c r="LH53" s="30"/>
      <c r="LI53" s="30"/>
      <c r="LJ53" s="30"/>
      <c r="LK53" s="30"/>
    </row>
    <row r="54">
      <c r="A54" s="192"/>
      <c r="B54" s="134" t="s">
        <v>19</v>
      </c>
      <c r="C54" s="134" t="s">
        <v>20</v>
      </c>
      <c r="D54" s="134" t="s">
        <v>21</v>
      </c>
      <c r="E54" s="134" t="s">
        <v>22</v>
      </c>
      <c r="F54" s="134" t="s">
        <v>23</v>
      </c>
      <c r="G54" s="134" t="s">
        <v>24</v>
      </c>
      <c r="H54" s="134" t="s">
        <v>25</v>
      </c>
      <c r="I54" s="134" t="s">
        <v>26</v>
      </c>
      <c r="J54" s="134" t="s">
        <v>27</v>
      </c>
      <c r="K54" s="134" t="s">
        <v>28</v>
      </c>
      <c r="L54" s="134" t="s">
        <v>29</v>
      </c>
      <c r="M54" s="134" t="s">
        <v>30</v>
      </c>
      <c r="N54" s="134" t="s">
        <v>31</v>
      </c>
      <c r="O54" s="134"/>
      <c r="P54" s="134" t="s">
        <v>32</v>
      </c>
      <c r="Q54" s="134" t="s">
        <v>351</v>
      </c>
      <c r="R54" s="134" t="s">
        <v>34</v>
      </c>
      <c r="S54" s="134" t="s">
        <v>35</v>
      </c>
      <c r="T54" s="134" t="s">
        <v>36</v>
      </c>
      <c r="U54" s="135" t="s">
        <v>37</v>
      </c>
      <c r="V54" s="134" t="s">
        <v>38</v>
      </c>
      <c r="W54" s="135" t="s">
        <v>39</v>
      </c>
      <c r="X54" s="135" t="s">
        <v>40</v>
      </c>
      <c r="Y54" s="136"/>
      <c r="AB54" s="38" t="s">
        <v>41</v>
      </c>
      <c r="AC54" s="38" t="s">
        <v>42</v>
      </c>
      <c r="AD54" s="38" t="s">
        <v>43</v>
      </c>
      <c r="AE54" s="38" t="s">
        <v>44</v>
      </c>
      <c r="AF54" s="38" t="s">
        <v>45</v>
      </c>
      <c r="AG54" s="38" t="s">
        <v>46</v>
      </c>
      <c r="AH54" s="38" t="s">
        <v>47</v>
      </c>
      <c r="AI54" s="38" t="s">
        <v>48</v>
      </c>
      <c r="AJ54" s="38" t="s">
        <v>49</v>
      </c>
      <c r="AK54" s="38" t="s">
        <v>50</v>
      </c>
      <c r="AL54" s="38" t="s">
        <v>51</v>
      </c>
      <c r="AM54" s="38" t="s">
        <v>52</v>
      </c>
      <c r="AN54" s="38" t="s">
        <v>53</v>
      </c>
      <c r="AO54" s="38" t="s">
        <v>54</v>
      </c>
      <c r="AP54" s="38" t="s">
        <v>55</v>
      </c>
      <c r="AQ54" s="38" t="s">
        <v>56</v>
      </c>
      <c r="AR54" s="38" t="s">
        <v>57</v>
      </c>
      <c r="AS54" s="38" t="s">
        <v>352</v>
      </c>
      <c r="AT54" s="38" t="s">
        <v>353</v>
      </c>
      <c r="AU54" s="38" t="s">
        <v>58</v>
      </c>
      <c r="AV54" s="38" t="s">
        <v>59</v>
      </c>
      <c r="AW54" s="38" t="s">
        <v>60</v>
      </c>
      <c r="AX54" s="38"/>
      <c r="AY54" s="38" t="s">
        <v>61</v>
      </c>
      <c r="AZ54" s="38" t="s">
        <v>62</v>
      </c>
      <c r="BA54" s="38" t="s">
        <v>63</v>
      </c>
      <c r="BB54" s="38"/>
      <c r="BC54" s="38" t="s">
        <v>64</v>
      </c>
      <c r="BD54" s="40" t="s">
        <v>65</v>
      </c>
      <c r="BE54" s="38" t="s">
        <v>66</v>
      </c>
      <c r="BF54" s="38" t="s">
        <v>67</v>
      </c>
      <c r="BG54" s="38" t="s">
        <v>354</v>
      </c>
      <c r="BH54" s="38" t="s">
        <v>355</v>
      </c>
      <c r="BI54" s="38" t="s">
        <v>68</v>
      </c>
      <c r="BJ54" s="38" t="s">
        <v>69</v>
      </c>
      <c r="BK54" s="38" t="s">
        <v>70</v>
      </c>
      <c r="BL54" s="38" t="s">
        <v>71</v>
      </c>
      <c r="BM54" s="38" t="s">
        <v>72</v>
      </c>
      <c r="BN54" s="38" t="s">
        <v>73</v>
      </c>
      <c r="BO54" s="38" t="s">
        <v>74</v>
      </c>
      <c r="BP54" s="38" t="s">
        <v>75</v>
      </c>
      <c r="BQ54" s="38" t="s">
        <v>76</v>
      </c>
      <c r="BR54" s="38" t="s">
        <v>77</v>
      </c>
      <c r="BS54" s="38" t="s">
        <v>78</v>
      </c>
      <c r="BT54" s="38" t="s">
        <v>79</v>
      </c>
      <c r="BU54" s="38" t="s">
        <v>80</v>
      </c>
      <c r="BV54" s="38" t="s">
        <v>81</v>
      </c>
      <c r="BW54" s="38" t="s">
        <v>82</v>
      </c>
      <c r="BX54" s="38" t="s">
        <v>83</v>
      </c>
      <c r="BY54" s="38" t="s">
        <v>84</v>
      </c>
      <c r="BZ54" s="38" t="s">
        <v>85</v>
      </c>
      <c r="CA54" s="38" t="s">
        <v>86</v>
      </c>
      <c r="CB54" s="38" t="s">
        <v>87</v>
      </c>
      <c r="CC54" s="38" t="s">
        <v>88</v>
      </c>
      <c r="CD54" s="38" t="s">
        <v>89</v>
      </c>
      <c r="CF54" s="41"/>
      <c r="CG54" s="41" t="s">
        <v>90</v>
      </c>
      <c r="CH54" s="41" t="s">
        <v>91</v>
      </c>
      <c r="CI54" s="41" t="s">
        <v>92</v>
      </c>
      <c r="CJ54" s="41" t="s">
        <v>93</v>
      </c>
      <c r="CK54" s="41" t="s">
        <v>94</v>
      </c>
      <c r="CL54" s="41"/>
      <c r="CM54" s="41" t="s">
        <v>95</v>
      </c>
      <c r="CN54" s="41" t="s">
        <v>96</v>
      </c>
      <c r="CO54" s="41" t="s">
        <v>45</v>
      </c>
      <c r="CP54" s="41" t="s">
        <v>97</v>
      </c>
      <c r="CQ54" s="41" t="s">
        <v>98</v>
      </c>
      <c r="CR54" s="41" t="s">
        <v>99</v>
      </c>
      <c r="CS54" s="41" t="s">
        <v>48</v>
      </c>
      <c r="CT54" s="41" t="s">
        <v>100</v>
      </c>
      <c r="CU54" s="41" t="s">
        <v>101</v>
      </c>
      <c r="CV54" s="41" t="s">
        <v>102</v>
      </c>
      <c r="CW54" s="41" t="s">
        <v>103</v>
      </c>
      <c r="CX54" s="41" t="s">
        <v>67</v>
      </c>
      <c r="CY54" s="41" t="s">
        <v>104</v>
      </c>
      <c r="CZ54" s="41" t="s">
        <v>105</v>
      </c>
      <c r="DA54" s="41" t="s">
        <v>107</v>
      </c>
      <c r="DB54" s="41" t="s">
        <v>108</v>
      </c>
      <c r="DC54" s="41" t="s">
        <v>109</v>
      </c>
      <c r="DD54" s="41" t="s">
        <v>110</v>
      </c>
      <c r="DE54" s="41" t="s">
        <v>111</v>
      </c>
      <c r="DF54" s="41" t="s">
        <v>112</v>
      </c>
      <c r="DG54" s="41" t="s">
        <v>113</v>
      </c>
      <c r="DH54" s="41" t="s">
        <v>114</v>
      </c>
      <c r="DI54" s="41" t="s">
        <v>115</v>
      </c>
      <c r="DJ54" s="41" t="s">
        <v>116</v>
      </c>
      <c r="DK54" s="41" t="s">
        <v>117</v>
      </c>
      <c r="DL54" s="41" t="s">
        <v>118</v>
      </c>
      <c r="DM54" s="41" t="s">
        <v>119</v>
      </c>
      <c r="DQ54" s="43"/>
      <c r="DR54" s="43" t="s">
        <v>356</v>
      </c>
      <c r="DS54" s="44" t="s">
        <v>357</v>
      </c>
      <c r="DT54" s="43" t="s">
        <v>120</v>
      </c>
      <c r="DU54" s="43" t="s">
        <v>121</v>
      </c>
      <c r="DV54" s="43" t="s">
        <v>122</v>
      </c>
      <c r="DW54" s="43"/>
      <c r="DX54" s="43" t="s">
        <v>123</v>
      </c>
      <c r="DY54" s="43" t="s">
        <v>124</v>
      </c>
      <c r="DZ54" s="44" t="s">
        <v>125</v>
      </c>
      <c r="EA54" s="43" t="s">
        <v>126</v>
      </c>
      <c r="EB54" s="44" t="s">
        <v>358</v>
      </c>
      <c r="EC54" s="43" t="s">
        <v>359</v>
      </c>
      <c r="ED54" s="44" t="s">
        <v>360</v>
      </c>
      <c r="EE54" s="43" t="s">
        <v>127</v>
      </c>
      <c r="EF54" s="43" t="s">
        <v>128</v>
      </c>
      <c r="EG54" s="43" t="s">
        <v>129</v>
      </c>
      <c r="EH54" s="43" t="s">
        <v>130</v>
      </c>
      <c r="EI54" s="43" t="s">
        <v>131</v>
      </c>
      <c r="EJ54" s="43" t="s">
        <v>132</v>
      </c>
      <c r="EK54" s="43" t="s">
        <v>133</v>
      </c>
      <c r="EL54" s="43" t="s">
        <v>134</v>
      </c>
      <c r="EM54" s="43" t="s">
        <v>135</v>
      </c>
      <c r="EN54" s="44" t="s">
        <v>361</v>
      </c>
      <c r="EO54" s="43" t="s">
        <v>136</v>
      </c>
      <c r="EP54" s="43" t="s">
        <v>137</v>
      </c>
      <c r="EQ54" s="43" t="s">
        <v>138</v>
      </c>
      <c r="ER54" s="43" t="s">
        <v>139</v>
      </c>
      <c r="ES54" s="43" t="s">
        <v>140</v>
      </c>
      <c r="ET54" s="43" t="s">
        <v>141</v>
      </c>
      <c r="EU54" s="43"/>
      <c r="EV54" s="43" t="s">
        <v>143</v>
      </c>
      <c r="EW54" s="43" t="s">
        <v>144</v>
      </c>
      <c r="EX54" s="44" t="s">
        <v>145</v>
      </c>
      <c r="EY54" s="43" t="s">
        <v>146</v>
      </c>
      <c r="EZ54" s="43" t="s">
        <v>147</v>
      </c>
      <c r="FA54" s="43" t="s">
        <v>148</v>
      </c>
      <c r="FB54" s="44" t="s">
        <v>362</v>
      </c>
      <c r="FC54" s="43" t="s">
        <v>149</v>
      </c>
      <c r="FD54" s="43" t="s">
        <v>151</v>
      </c>
      <c r="FE54" s="44" t="s">
        <v>363</v>
      </c>
      <c r="FF54" s="43" t="s">
        <v>152</v>
      </c>
      <c r="FG54" s="43" t="s">
        <v>153</v>
      </c>
      <c r="FH54" s="43" t="s">
        <v>364</v>
      </c>
      <c r="FI54" s="43" t="s">
        <v>154</v>
      </c>
      <c r="FJ54" s="43" t="s">
        <v>155</v>
      </c>
      <c r="FK54" s="44" t="s">
        <v>156</v>
      </c>
      <c r="FL54" s="44" t="s">
        <v>157</v>
      </c>
      <c r="FM54" s="44" t="s">
        <v>158</v>
      </c>
      <c r="FN54" s="43" t="s">
        <v>159</v>
      </c>
      <c r="FO54" s="43" t="s">
        <v>160</v>
      </c>
      <c r="FP54" s="44" t="s">
        <v>365</v>
      </c>
      <c r="FQ54" s="43" t="s">
        <v>161</v>
      </c>
      <c r="FR54" s="43" t="s">
        <v>162</v>
      </c>
      <c r="FS54" s="44" t="s">
        <v>366</v>
      </c>
      <c r="FT54" s="44" t="s">
        <v>367</v>
      </c>
      <c r="FU54" s="43" t="s">
        <v>368</v>
      </c>
      <c r="FV54" s="43" t="s">
        <v>163</v>
      </c>
      <c r="FW54" s="43" t="s">
        <v>164</v>
      </c>
      <c r="FX54" s="46" t="s">
        <v>165</v>
      </c>
      <c r="FY54" s="43" t="s">
        <v>369</v>
      </c>
      <c r="FZ54" s="43" t="s">
        <v>167</v>
      </c>
      <c r="GA54" s="43" t="s">
        <v>168</v>
      </c>
      <c r="GB54" s="43" t="s">
        <v>169</v>
      </c>
      <c r="GC54" s="43" t="s">
        <v>170</v>
      </c>
      <c r="GD54" s="43" t="s">
        <v>171</v>
      </c>
      <c r="GE54" s="43" t="s">
        <v>172</v>
      </c>
      <c r="GF54" s="43" t="s">
        <v>173</v>
      </c>
      <c r="GG54" s="43" t="s">
        <v>174</v>
      </c>
      <c r="GH54" s="43" t="s">
        <v>175</v>
      </c>
      <c r="GI54" s="43" t="s">
        <v>176</v>
      </c>
      <c r="GJ54" s="47" t="s">
        <v>177</v>
      </c>
      <c r="GK54" s="43" t="s">
        <v>178</v>
      </c>
      <c r="GL54" s="43" t="s">
        <v>179</v>
      </c>
      <c r="GM54" s="43" t="s">
        <v>180</v>
      </c>
      <c r="GN54" s="43"/>
      <c r="GO54" s="43" t="s">
        <v>181</v>
      </c>
      <c r="GP54" s="44" t="s">
        <v>370</v>
      </c>
      <c r="GQ54" s="43" t="s">
        <v>182</v>
      </c>
      <c r="GR54" s="43" t="s">
        <v>183</v>
      </c>
      <c r="GS54" s="43" t="s">
        <v>184</v>
      </c>
      <c r="GT54" s="43" t="s">
        <v>185</v>
      </c>
      <c r="GU54" s="43" t="s">
        <v>186</v>
      </c>
      <c r="GV54" s="43" t="s">
        <v>187</v>
      </c>
      <c r="GW54" s="43" t="s">
        <v>188</v>
      </c>
      <c r="GX54" s="43" t="s">
        <v>189</v>
      </c>
      <c r="GY54" s="43" t="s">
        <v>190</v>
      </c>
      <c r="GZ54" s="43" t="s">
        <v>191</v>
      </c>
      <c r="HA54" s="44" t="s">
        <v>371</v>
      </c>
      <c r="HB54" s="44" t="s">
        <v>372</v>
      </c>
      <c r="HC54" s="43" t="s">
        <v>192</v>
      </c>
      <c r="HD54" s="44" t="s">
        <v>373</v>
      </c>
      <c r="HE54" s="44" t="s">
        <v>374</v>
      </c>
      <c r="HF54" s="47" t="s">
        <v>194</v>
      </c>
      <c r="HG54" s="43" t="s">
        <v>195</v>
      </c>
      <c r="HH54" s="43" t="s">
        <v>196</v>
      </c>
      <c r="HI54" s="43" t="s">
        <v>197</v>
      </c>
      <c r="HJ54" s="43" t="s">
        <v>198</v>
      </c>
      <c r="HK54" s="43" t="s">
        <v>199</v>
      </c>
      <c r="HL54" s="43" t="s">
        <v>200</v>
      </c>
      <c r="HM54" s="44" t="s">
        <v>201</v>
      </c>
      <c r="HN54" s="43" t="s">
        <v>202</v>
      </c>
      <c r="HO54" s="43" t="s">
        <v>203</v>
      </c>
      <c r="HP54" s="43" t="s">
        <v>204</v>
      </c>
      <c r="HQ54" s="43" t="s">
        <v>205</v>
      </c>
      <c r="HR54" s="43" t="s">
        <v>206</v>
      </c>
      <c r="HS54" s="43" t="s">
        <v>207</v>
      </c>
      <c r="HT54" s="43" t="s">
        <v>208</v>
      </c>
      <c r="HU54" s="43" t="s">
        <v>209</v>
      </c>
      <c r="HV54" s="43" t="s">
        <v>210</v>
      </c>
      <c r="HW54" s="43" t="s">
        <v>211</v>
      </c>
      <c r="HX54" s="43" t="s">
        <v>212</v>
      </c>
      <c r="HY54" s="43" t="s">
        <v>213</v>
      </c>
      <c r="HZ54" s="43" t="s">
        <v>214</v>
      </c>
      <c r="IA54" s="43" t="s">
        <v>215</v>
      </c>
      <c r="IB54" s="43" t="s">
        <v>216</v>
      </c>
      <c r="IC54" s="43" t="s">
        <v>217</v>
      </c>
      <c r="ID54" s="43" t="s">
        <v>218</v>
      </c>
      <c r="IE54" s="43" t="s">
        <v>219</v>
      </c>
      <c r="IF54" s="43" t="s">
        <v>220</v>
      </c>
      <c r="IG54" s="43" t="s">
        <v>221</v>
      </c>
      <c r="IH54" s="43" t="s">
        <v>222</v>
      </c>
      <c r="II54" s="44" t="s">
        <v>375</v>
      </c>
      <c r="IJ54" s="44" t="s">
        <v>376</v>
      </c>
      <c r="IK54" s="43" t="s">
        <v>223</v>
      </c>
      <c r="IL54" s="43" t="s">
        <v>224</v>
      </c>
      <c r="IM54" s="43" t="s">
        <v>225</v>
      </c>
      <c r="IN54" s="43" t="s">
        <v>226</v>
      </c>
      <c r="IO54" s="43" t="s">
        <v>228</v>
      </c>
      <c r="IP54" s="43" t="s">
        <v>229</v>
      </c>
      <c r="IQ54" s="43" t="s">
        <v>230</v>
      </c>
      <c r="IR54" s="44" t="s">
        <v>231</v>
      </c>
      <c r="IS54" s="43" t="s">
        <v>232</v>
      </c>
      <c r="IT54" s="43" t="s">
        <v>233</v>
      </c>
      <c r="IU54" s="43" t="s">
        <v>234</v>
      </c>
      <c r="IV54" s="43" t="s">
        <v>235</v>
      </c>
      <c r="IW54" s="43" t="s">
        <v>236</v>
      </c>
      <c r="IX54" s="43" t="s">
        <v>237</v>
      </c>
      <c r="IY54" s="44" t="s">
        <v>238</v>
      </c>
      <c r="IZ54" s="44" t="s">
        <v>239</v>
      </c>
      <c r="JA54" s="43" t="s">
        <v>240</v>
      </c>
      <c r="JB54" s="43" t="s">
        <v>241</v>
      </c>
      <c r="JC54" s="44" t="s">
        <v>242</v>
      </c>
      <c r="JD54" s="44" t="s">
        <v>243</v>
      </c>
      <c r="JE54" s="43" t="s">
        <v>244</v>
      </c>
      <c r="JF54" s="44" t="s">
        <v>377</v>
      </c>
      <c r="JG54" s="43" t="s">
        <v>378</v>
      </c>
      <c r="JH54" s="43" t="s">
        <v>245</v>
      </c>
      <c r="JI54" s="43" t="s">
        <v>246</v>
      </c>
      <c r="JJ54" s="44" t="s">
        <v>247</v>
      </c>
      <c r="JK54" s="43" t="s">
        <v>248</v>
      </c>
      <c r="JL54" s="43" t="s">
        <v>249</v>
      </c>
      <c r="JM54" s="43" t="s">
        <v>250</v>
      </c>
      <c r="JN54" s="43" t="s">
        <v>251</v>
      </c>
      <c r="JO54" s="43" t="s">
        <v>252</v>
      </c>
      <c r="JP54" s="43" t="s">
        <v>253</v>
      </c>
      <c r="JQ54" s="43" t="s">
        <v>254</v>
      </c>
      <c r="JR54" s="43" t="s">
        <v>255</v>
      </c>
      <c r="JS54" s="43" t="s">
        <v>256</v>
      </c>
      <c r="JT54" s="43" t="s">
        <v>257</v>
      </c>
      <c r="JU54" s="43"/>
      <c r="JV54" s="43" t="s">
        <v>258</v>
      </c>
      <c r="JW54" s="43" t="s">
        <v>259</v>
      </c>
      <c r="JX54" s="43" t="s">
        <v>260</v>
      </c>
      <c r="JY54" s="43" t="s">
        <v>261</v>
      </c>
      <c r="JZ54" s="43" t="s">
        <v>262</v>
      </c>
      <c r="KA54" s="43"/>
      <c r="KB54" s="43" t="s">
        <v>263</v>
      </c>
      <c r="KC54" s="43" t="s">
        <v>25</v>
      </c>
      <c r="KD54" s="43" t="s">
        <v>265</v>
      </c>
      <c r="KE54" s="43"/>
      <c r="KF54" s="43" t="s">
        <v>266</v>
      </c>
      <c r="KG54" s="43" t="s">
        <v>267</v>
      </c>
      <c r="KH54" s="43" t="s">
        <v>268</v>
      </c>
      <c r="KI54" s="43" t="s">
        <v>269</v>
      </c>
      <c r="KJ54" s="43" t="s">
        <v>270</v>
      </c>
      <c r="KK54" s="43" t="s">
        <v>271</v>
      </c>
      <c r="KL54" s="43" t="s">
        <v>272</v>
      </c>
      <c r="KM54" s="43" t="s">
        <v>273</v>
      </c>
      <c r="KN54" s="43" t="s">
        <v>274</v>
      </c>
      <c r="KO54" s="43"/>
      <c r="KP54" s="43" t="s">
        <v>275</v>
      </c>
      <c r="KQ54" s="43" t="s">
        <v>276</v>
      </c>
      <c r="KR54" s="43" t="s">
        <v>277</v>
      </c>
      <c r="KS54" s="43"/>
      <c r="KT54" s="43" t="s">
        <v>278</v>
      </c>
      <c r="KU54" s="44" t="s">
        <v>379</v>
      </c>
      <c r="KV54" s="43" t="s">
        <v>279</v>
      </c>
      <c r="KW54" s="43" t="s">
        <v>280</v>
      </c>
      <c r="KX54" s="43" t="s">
        <v>281</v>
      </c>
      <c r="KY54" s="43" t="s">
        <v>282</v>
      </c>
      <c r="KZ54" s="43" t="s">
        <v>283</v>
      </c>
      <c r="LA54" s="44" t="s">
        <v>380</v>
      </c>
      <c r="LB54" s="43" t="s">
        <v>284</v>
      </c>
      <c r="LC54" s="43" t="s">
        <v>285</v>
      </c>
      <c r="LD54" s="44" t="s">
        <v>381</v>
      </c>
      <c r="LE54" s="43" t="s">
        <v>286</v>
      </c>
      <c r="LF54" s="43"/>
      <c r="LG54" s="43" t="s">
        <v>287</v>
      </c>
      <c r="LH54" s="43" t="s">
        <v>33</v>
      </c>
      <c r="LI54" s="43" t="s">
        <v>288</v>
      </c>
      <c r="LJ54" s="43" t="s">
        <v>289</v>
      </c>
      <c r="LK54" s="139"/>
    </row>
    <row r="55">
      <c r="A55" s="49" t="s">
        <v>291</v>
      </c>
      <c r="B55" s="146">
        <v>4.72520048726802E10</v>
      </c>
      <c r="C55" s="146">
        <v>3.95005612580417E10</v>
      </c>
      <c r="D55" s="147">
        <f t="shared" ref="D55:D66" si="12">B55-C55</f>
        <v>7751443615</v>
      </c>
      <c r="E55" s="146"/>
      <c r="F55" s="146">
        <v>2.14820433694833E9</v>
      </c>
      <c r="G55" s="146">
        <v>1.52624453E8</v>
      </c>
      <c r="H55" s="146">
        <v>5.05396947E7</v>
      </c>
      <c r="I55" s="53">
        <f t="shared" ref="I55:I65" si="13">SUM(F55:H55)</f>
        <v>2351368485</v>
      </c>
      <c r="J55" s="53">
        <f t="shared" ref="J55:J65" si="14">D55-I55</f>
        <v>5400075130</v>
      </c>
      <c r="K55" s="146"/>
      <c r="L55" s="146">
        <v>2.0458079657249E8</v>
      </c>
      <c r="M55" s="146">
        <v>1.03195970131999E9</v>
      </c>
      <c r="N55" s="52">
        <f t="shared" ref="N55:N65" si="15">L55-M55</f>
        <v>-827378904.7</v>
      </c>
      <c r="O55" s="146"/>
      <c r="P55" s="53">
        <f t="shared" ref="P55:P65" si="16">J55+N55</f>
        <v>4572696225</v>
      </c>
      <c r="Q55" s="146"/>
      <c r="R55" s="146"/>
      <c r="S55" s="146"/>
      <c r="T55" s="53">
        <f t="shared" ref="T55:T65" si="17">P55-S55</f>
        <v>4572696225</v>
      </c>
      <c r="U55" s="27"/>
      <c r="V55" s="28"/>
      <c r="W55" s="27"/>
      <c r="X55" s="53">
        <f t="shared" ref="X55:X65" si="18">T55+W55</f>
        <v>4572696225</v>
      </c>
      <c r="Y55" s="27"/>
      <c r="AB55" s="27"/>
      <c r="AC55" s="27"/>
      <c r="AD55" s="28">
        <v>1.2626666563E10</v>
      </c>
      <c r="AE55" s="28">
        <v>5.0811719218E10</v>
      </c>
      <c r="AF55" s="28"/>
      <c r="AG55" s="28">
        <v>-1.00319905E8</v>
      </c>
      <c r="AH55" s="28">
        <v>8.491920776E9</v>
      </c>
      <c r="AI55" s="28">
        <v>8.8636029556E10</v>
      </c>
      <c r="AJ55" s="27"/>
      <c r="AK55" s="28"/>
      <c r="AL55" s="28">
        <v>2.354431162E9</v>
      </c>
      <c r="AM55" s="28">
        <v>1.0584647021E10</v>
      </c>
      <c r="AN55" s="62">
        <v>1.73405094392E11</v>
      </c>
      <c r="AO55" s="27"/>
      <c r="AP55" s="27" t="s">
        <v>295</v>
      </c>
      <c r="AQ55" s="28">
        <v>1.08345190885E11</v>
      </c>
      <c r="AR55" s="28">
        <v>4.849798649E9</v>
      </c>
      <c r="AS55" s="28"/>
      <c r="AT55" s="28"/>
      <c r="AU55" s="28">
        <v>1.361708691E9</v>
      </c>
      <c r="AV55" s="62">
        <v>1.14556698225E11</v>
      </c>
      <c r="AW55" s="62">
        <v>2.87961792618E11</v>
      </c>
      <c r="AX55" s="27"/>
      <c r="AY55" s="27"/>
      <c r="AZ55" s="27"/>
      <c r="BA55" s="28">
        <v>3.5305343431E10</v>
      </c>
      <c r="BB55" s="28"/>
      <c r="BC55" s="28">
        <v>5.57008923E8</v>
      </c>
      <c r="BD55" s="27" t="s">
        <v>295</v>
      </c>
      <c r="BE55" s="28">
        <v>6.396668048E9</v>
      </c>
      <c r="BF55" s="27" t="s">
        <v>295</v>
      </c>
      <c r="BG55" s="28"/>
      <c r="BH55" s="28"/>
      <c r="BI55" s="28">
        <v>2.225327351E9</v>
      </c>
      <c r="BJ55" s="27" t="s">
        <v>295</v>
      </c>
      <c r="BK55" s="28">
        <v>1.24382874005E11</v>
      </c>
      <c r="BL55" s="62">
        <v>1.68867221758E11</v>
      </c>
      <c r="BM55" s="27"/>
      <c r="BN55" s="27" t="s">
        <v>295</v>
      </c>
      <c r="BO55" s="28">
        <v>1.90865004E8</v>
      </c>
      <c r="BP55" s="27" t="s">
        <v>295</v>
      </c>
      <c r="BQ55" s="28">
        <v>5.983834871E9</v>
      </c>
      <c r="BR55" s="27" t="s">
        <v>295</v>
      </c>
      <c r="BS55" s="63">
        <v>6.174699875E9</v>
      </c>
      <c r="BT55" s="62">
        <v>1.75041921633E11</v>
      </c>
      <c r="BU55" s="27"/>
      <c r="BV55" s="28">
        <v>6.8245E10</v>
      </c>
      <c r="BW55" s="27" t="s">
        <v>295</v>
      </c>
      <c r="BX55" s="28">
        <v>4.572696225E9</v>
      </c>
      <c r="BY55" s="28">
        <v>3.8088897514E10</v>
      </c>
      <c r="BZ55" s="28">
        <v>-6.56444657E8</v>
      </c>
      <c r="CA55" s="27" t="s">
        <v>295</v>
      </c>
      <c r="CB55" s="28">
        <v>2.669721904E9</v>
      </c>
      <c r="CC55" s="62">
        <v>1.12919870986E11</v>
      </c>
      <c r="CD55" s="62">
        <v>2.87961792619E11</v>
      </c>
      <c r="CF55" s="49" t="s">
        <v>291</v>
      </c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P55" s="64"/>
      <c r="DQ55" s="49" t="s">
        <v>291</v>
      </c>
      <c r="DR55" s="28">
        <v>3.671670575E10</v>
      </c>
      <c r="DS55" s="28">
        <v>1.0535299123E10</v>
      </c>
      <c r="DT55" s="28" t="s">
        <v>386</v>
      </c>
      <c r="DU55" s="28" t="s">
        <v>386</v>
      </c>
      <c r="DV55" s="62">
        <v>4.7252004873E10</v>
      </c>
      <c r="DW55" s="28"/>
      <c r="DX55" s="28"/>
      <c r="DY55" s="28">
        <v>3.028134048E10</v>
      </c>
      <c r="DZ55" s="28">
        <v>8.709123266E9</v>
      </c>
      <c r="EA55" s="28">
        <v>1.37747E8</v>
      </c>
      <c r="EB55" s="28" t="s">
        <v>386</v>
      </c>
      <c r="EC55" s="28" t="s">
        <v>386</v>
      </c>
      <c r="ED55" s="28" t="s">
        <v>386</v>
      </c>
      <c r="EE55" s="28">
        <v>1.45058946E8</v>
      </c>
      <c r="EF55" s="28">
        <v>139998.0</v>
      </c>
      <c r="EG55" s="28">
        <v>4.5600698E7</v>
      </c>
      <c r="EH55" s="28">
        <v>4412286.0</v>
      </c>
      <c r="EI55" s="28" t="s">
        <v>386</v>
      </c>
      <c r="EJ55" s="28">
        <v>2980377.0</v>
      </c>
      <c r="EK55" s="28">
        <v>232055.0</v>
      </c>
      <c r="EL55" s="28">
        <v>1.8581232E7</v>
      </c>
      <c r="EM55" s="28">
        <v>3.0042266E7</v>
      </c>
      <c r="EN55" s="28" t="s">
        <v>386</v>
      </c>
      <c r="EO55" s="28">
        <v>2.9563266E7</v>
      </c>
      <c r="EP55" s="28">
        <v>-126312.0</v>
      </c>
      <c r="EQ55" s="28"/>
      <c r="ER55" s="28">
        <v>1.69286797E8</v>
      </c>
      <c r="ES55" s="28">
        <v>1.2475E7</v>
      </c>
      <c r="ET55" s="28">
        <v>7.0220114E8</v>
      </c>
      <c r="EU55" s="28"/>
      <c r="EV55" s="28">
        <v>82203.0</v>
      </c>
      <c r="EW55" s="28">
        <v>4.0301306E7</v>
      </c>
      <c r="EX55" s="28">
        <v>1754000.0</v>
      </c>
      <c r="EY55" s="28">
        <v>1.47839571E8</v>
      </c>
      <c r="EZ55" s="28">
        <v>2.2402639E8</v>
      </c>
      <c r="FA55" s="28">
        <v>3.3608777E7</v>
      </c>
      <c r="FB55" s="28">
        <v>3.031888E7</v>
      </c>
      <c r="FC55" s="28">
        <v>1.3519152E7</v>
      </c>
      <c r="FD55" s="28">
        <v>3.0712574E7</v>
      </c>
      <c r="FE55" s="28">
        <v>4.1170691E7</v>
      </c>
      <c r="FF55" s="28">
        <v>1172981.0</v>
      </c>
      <c r="FG55" s="28">
        <v>1.0000155E7</v>
      </c>
      <c r="FH55" s="28"/>
      <c r="FI55" s="28">
        <v>9950000.0</v>
      </c>
      <c r="FJ55" s="28">
        <v>5450485.0</v>
      </c>
      <c r="FK55" s="110"/>
      <c r="FL55" s="28"/>
      <c r="FM55" s="28"/>
      <c r="FN55" s="28"/>
      <c r="FO55" s="28">
        <v>1.7998675E7</v>
      </c>
      <c r="FP55" s="28"/>
      <c r="FQ55" s="28"/>
      <c r="FR55" s="28">
        <v>2.1905625E7</v>
      </c>
      <c r="FS55" s="28">
        <v>799000.0</v>
      </c>
      <c r="FT55" s="28">
        <v>1429000.0</v>
      </c>
      <c r="FU55" s="28">
        <v>2010000.0</v>
      </c>
      <c r="FV55" s="28">
        <v>4.7824855E7</v>
      </c>
      <c r="FW55" s="28"/>
      <c r="FX55" s="28"/>
      <c r="FY55" s="28"/>
      <c r="FZ55" s="28"/>
      <c r="GA55" s="28"/>
      <c r="GB55" s="28"/>
      <c r="GC55" s="28"/>
      <c r="GD55" s="28"/>
      <c r="GE55" s="28"/>
      <c r="GF55" s="28"/>
      <c r="GG55" s="28"/>
      <c r="GH55" s="28"/>
      <c r="GI55" s="28"/>
      <c r="GJ55" s="28"/>
      <c r="GK55" s="28"/>
      <c r="GL55" s="28"/>
      <c r="GM55" s="62">
        <v>4.0970532815E10</v>
      </c>
      <c r="GN55" s="28"/>
      <c r="GO55" s="28"/>
      <c r="GP55" s="28"/>
      <c r="GQ55" s="28">
        <v>7.1185302E7</v>
      </c>
      <c r="GR55" s="28"/>
      <c r="GS55" s="28">
        <v>1.3198005E7</v>
      </c>
      <c r="GT55" s="28">
        <v>2.1485538E7</v>
      </c>
      <c r="GU55" s="28">
        <v>7.2958023E7</v>
      </c>
      <c r="GV55" s="28">
        <v>2.9190083E7</v>
      </c>
      <c r="GW55" s="28">
        <v>1.5685925E7</v>
      </c>
      <c r="GX55" s="28">
        <v>1.74100508E8</v>
      </c>
      <c r="GY55" s="28">
        <v>1.31657205E8</v>
      </c>
      <c r="GZ55" s="28">
        <v>6.46896591E8</v>
      </c>
      <c r="HA55" s="28"/>
      <c r="HB55" s="28"/>
      <c r="HC55" s="28">
        <v>2.4496707E7</v>
      </c>
      <c r="HD55" s="28"/>
      <c r="HE55" s="28"/>
      <c r="HG55" s="28">
        <v>2.5123325E7</v>
      </c>
      <c r="HH55" s="28">
        <v>4.7709136E7</v>
      </c>
      <c r="HI55" s="28">
        <v>3.28008408E8</v>
      </c>
      <c r="HJ55" s="28">
        <v>4.1965846E7</v>
      </c>
      <c r="HK55" s="28"/>
      <c r="HL55" s="28"/>
      <c r="HM55" s="28"/>
      <c r="HN55" s="28"/>
      <c r="HO55" s="28">
        <v>3.0373E7</v>
      </c>
      <c r="HP55" s="28">
        <v>4053720.0</v>
      </c>
      <c r="HQ55" s="28">
        <v>1.46067363E8</v>
      </c>
      <c r="HR55" s="28">
        <v>1300000.0</v>
      </c>
      <c r="HS55" s="28"/>
      <c r="HT55" s="28">
        <v>1.1814788E8</v>
      </c>
      <c r="HU55" s="28">
        <v>3.4192385E7</v>
      </c>
      <c r="HV55" s="28"/>
      <c r="HW55" s="28" t="s">
        <v>386</v>
      </c>
      <c r="HX55" s="28">
        <v>1.1719431E7</v>
      </c>
      <c r="HY55" s="28">
        <v>1.018943E7</v>
      </c>
      <c r="HZ55" s="28">
        <v>2343451.0</v>
      </c>
      <c r="IA55" s="28">
        <v>1.608625E7</v>
      </c>
      <c r="IB55" s="28">
        <v>1517300.0</v>
      </c>
      <c r="IC55" s="28">
        <v>9159412.0</v>
      </c>
      <c r="ID55" s="28">
        <v>8375700.0</v>
      </c>
      <c r="IE55" s="28">
        <v>1.2581897E7</v>
      </c>
      <c r="IF55" s="28">
        <v>2414286.0</v>
      </c>
      <c r="IG55" s="28">
        <v>7901500.0</v>
      </c>
      <c r="IH55" s="28"/>
      <c r="II55" s="28"/>
      <c r="IJ55" s="28"/>
      <c r="IK55" s="28">
        <v>1.5171237E7</v>
      </c>
      <c r="IL55" s="28"/>
      <c r="IM55" s="28">
        <v>9686814.0</v>
      </c>
      <c r="IN55" s="28"/>
      <c r="IO55" s="28"/>
      <c r="IP55" s="28"/>
      <c r="IQ55" s="28"/>
      <c r="IR55" s="28"/>
      <c r="IS55" s="28"/>
      <c r="IT55" s="28"/>
      <c r="IU55" s="28"/>
      <c r="IV55" s="28"/>
      <c r="IW55" s="28"/>
      <c r="IX55" s="28"/>
      <c r="IY55" s="28"/>
      <c r="IZ55" s="28"/>
      <c r="JA55" s="28"/>
      <c r="JB55" s="28">
        <v>2000000.0</v>
      </c>
      <c r="JC55" s="28"/>
      <c r="JD55" s="28">
        <v>440000.0</v>
      </c>
      <c r="JE55" s="28">
        <v>5323356.0</v>
      </c>
      <c r="JF55" s="28">
        <v>5.2976074E7</v>
      </c>
      <c r="JG55" s="28"/>
      <c r="JH55" s="28"/>
      <c r="JI55" s="28"/>
      <c r="JJ55" s="28"/>
      <c r="JK55" s="28"/>
      <c r="JL55" s="28"/>
      <c r="JM55" s="28"/>
      <c r="JN55" s="28"/>
      <c r="JO55" s="28"/>
      <c r="JP55" s="28"/>
      <c r="JQ55" s="28"/>
      <c r="JR55" s="28"/>
      <c r="JS55" s="28"/>
      <c r="JT55" s="62">
        <v>2.145681087E9</v>
      </c>
      <c r="JU55" s="28"/>
      <c r="JV55" s="28"/>
      <c r="JW55" s="28">
        <v>1.26369376E8</v>
      </c>
      <c r="JX55" s="28">
        <v>2.00025E7</v>
      </c>
      <c r="JY55" s="28">
        <v>5000000.0</v>
      </c>
      <c r="JZ55" s="62">
        <v>1.51371876E8</v>
      </c>
      <c r="KA55" s="28"/>
      <c r="KB55" s="28"/>
      <c r="KC55" s="28">
        <v>5.5576849E7</v>
      </c>
      <c r="KD55" s="62">
        <v>5.5576849E7</v>
      </c>
      <c r="KE55" s="28"/>
      <c r="KF55" s="28"/>
      <c r="KG55" s="28">
        <v>5317659.0</v>
      </c>
      <c r="KH55" s="28">
        <v>1.701361E7</v>
      </c>
      <c r="KI55" s="28">
        <v>1.78662605E8</v>
      </c>
      <c r="KJ55" s="28">
        <v>2870500.0</v>
      </c>
      <c r="KK55" s="28">
        <v>24948.0</v>
      </c>
      <c r="KL55" s="28"/>
      <c r="KM55" s="28"/>
      <c r="KN55" s="62">
        <v>2.03889322E8</v>
      </c>
      <c r="KO55" s="28"/>
      <c r="KP55" s="28"/>
      <c r="KQ55" s="28">
        <v>4291018.0</v>
      </c>
      <c r="KR55" s="28">
        <v>9.84171013E8</v>
      </c>
      <c r="KS55" s="28"/>
      <c r="KT55" s="28">
        <v>1.0688853E7</v>
      </c>
      <c r="KU55" s="28"/>
      <c r="KV55" s="28">
        <v>2.36256E7</v>
      </c>
      <c r="KW55" s="28">
        <v>83117.0</v>
      </c>
      <c r="KX55" s="28"/>
      <c r="KY55" s="28">
        <v>9100100.0</v>
      </c>
      <c r="KZ55" s="28"/>
      <c r="LA55" s="28"/>
      <c r="LB55" s="28"/>
      <c r="LC55" s="28"/>
      <c r="LD55" s="28"/>
      <c r="LE55" s="62">
        <v>1.031959701E9</v>
      </c>
      <c r="LF55" s="28"/>
      <c r="LG55" s="28"/>
      <c r="LH55" s="28"/>
      <c r="LI55" s="28"/>
      <c r="LJ55" s="28">
        <f t="shared" ref="LJ55:LJ59" si="19">LE55+KD55+JZ55+JT55</f>
        <v>3384589513</v>
      </c>
      <c r="LK55" s="110"/>
    </row>
    <row r="56">
      <c r="A56" s="49" t="s">
        <v>296</v>
      </c>
      <c r="B56" s="146">
        <v>7.29757188297523E10</v>
      </c>
      <c r="C56" s="146">
        <v>5.95746087428094E10</v>
      </c>
      <c r="D56" s="147">
        <f t="shared" si="12"/>
        <v>13401110087</v>
      </c>
      <c r="E56" s="146"/>
      <c r="F56" s="146">
        <v>4.16077082673033E9</v>
      </c>
      <c r="G56" s="146">
        <v>2.70999451E8</v>
      </c>
      <c r="H56" s="146">
        <v>9.68699447E7</v>
      </c>
      <c r="I56" s="53">
        <f t="shared" si="13"/>
        <v>4528640222</v>
      </c>
      <c r="J56" s="53">
        <f t="shared" si="14"/>
        <v>8872469865</v>
      </c>
      <c r="K56" s="146"/>
      <c r="L56" s="146">
        <v>2.2904759681249E8</v>
      </c>
      <c r="M56" s="146">
        <v>2.38594634363999E9</v>
      </c>
      <c r="N56" s="52">
        <f t="shared" si="15"/>
        <v>-2156898747</v>
      </c>
      <c r="O56" s="146"/>
      <c r="P56" s="53">
        <f t="shared" si="16"/>
        <v>6715571118</v>
      </c>
      <c r="Q56" s="146"/>
      <c r="R56" s="146"/>
      <c r="S56" s="146"/>
      <c r="T56" s="53">
        <f t="shared" si="17"/>
        <v>6715571118</v>
      </c>
      <c r="U56" s="27"/>
      <c r="V56" s="28"/>
      <c r="W56" s="27"/>
      <c r="X56" s="53">
        <f t="shared" si="18"/>
        <v>6715571118</v>
      </c>
      <c r="Y56" s="27"/>
      <c r="AB56" s="27"/>
      <c r="AC56" s="27"/>
      <c r="AD56" s="28">
        <v>5.259679858E9</v>
      </c>
      <c r="AE56" s="28">
        <v>5.053555191E10</v>
      </c>
      <c r="AF56" s="28"/>
      <c r="AG56" s="28">
        <v>-1.00319905E8</v>
      </c>
      <c r="AH56" s="28">
        <v>9.134110581E9</v>
      </c>
      <c r="AI56" s="28">
        <v>8.4137970277E10</v>
      </c>
      <c r="AJ56" s="27"/>
      <c r="AK56" s="28"/>
      <c r="AL56" s="28">
        <v>9.303703904E9</v>
      </c>
      <c r="AM56" s="28">
        <v>9.810362398E9</v>
      </c>
      <c r="AN56" s="62">
        <v>1.68081059023E11</v>
      </c>
      <c r="AO56" s="27"/>
      <c r="AP56" s="27" t="s">
        <v>295</v>
      </c>
      <c r="AQ56" s="28">
        <v>1.08660844053E11</v>
      </c>
      <c r="AR56" s="28">
        <v>4.86470681E9</v>
      </c>
      <c r="AS56" s="28"/>
      <c r="AT56" s="28"/>
      <c r="AU56" s="28">
        <v>1.361708691E9</v>
      </c>
      <c r="AV56" s="62">
        <v>1.14887259553E11</v>
      </c>
      <c r="AW56" s="62">
        <v>2.82968318576E11</v>
      </c>
      <c r="AX56" s="27"/>
      <c r="AY56" s="27"/>
      <c r="AZ56" s="27"/>
      <c r="BA56" s="28">
        <v>3.3792928453E10</v>
      </c>
      <c r="BB56" s="28"/>
      <c r="BC56" s="28">
        <v>5.57008923E8</v>
      </c>
      <c r="BD56" s="27" t="s">
        <v>295</v>
      </c>
      <c r="BE56" s="28">
        <v>4.349255562E9</v>
      </c>
      <c r="BF56" s="28">
        <v>1.6335E8</v>
      </c>
      <c r="BG56" s="28"/>
      <c r="BH56" s="28"/>
      <c r="BI56" s="28">
        <v>2.231368104E9</v>
      </c>
      <c r="BJ56" s="27" t="s">
        <v>295</v>
      </c>
      <c r="BK56" s="28">
        <v>1.20682247783E11</v>
      </c>
      <c r="BL56" s="62">
        <v>1.61776158824E11</v>
      </c>
      <c r="BM56" s="27"/>
      <c r="BN56" s="27" t="s">
        <v>295</v>
      </c>
      <c r="BO56" s="28">
        <v>1.45579004E8</v>
      </c>
      <c r="BP56" s="27" t="s">
        <v>295</v>
      </c>
      <c r="BQ56" s="28">
        <v>5.983834871E9</v>
      </c>
      <c r="BR56" s="27" t="s">
        <v>295</v>
      </c>
      <c r="BS56" s="63">
        <v>6.129413875E9</v>
      </c>
      <c r="BT56" s="62">
        <v>1.67905572699E11</v>
      </c>
      <c r="BU56" s="27"/>
      <c r="BV56" s="28">
        <v>6.8245E10</v>
      </c>
      <c r="BW56" s="27" t="s">
        <v>295</v>
      </c>
      <c r="BX56" s="28">
        <v>6.715571118E9</v>
      </c>
      <c r="BY56" s="28">
        <v>3.8088897514E10</v>
      </c>
      <c r="BZ56" s="28">
        <v>-6.56444657E8</v>
      </c>
      <c r="CA56" s="27" t="s">
        <v>295</v>
      </c>
      <c r="CB56" s="28">
        <v>2.669721904E9</v>
      </c>
      <c r="CC56" s="62">
        <v>1.15062745879E11</v>
      </c>
      <c r="CD56" s="62">
        <v>2.82968318578E11</v>
      </c>
      <c r="CF56" s="49" t="s">
        <v>296</v>
      </c>
      <c r="CG56" s="27"/>
      <c r="CH56" s="28"/>
      <c r="CI56" s="27"/>
      <c r="CJ56" s="28"/>
      <c r="CK56" s="27"/>
      <c r="CL56" s="27"/>
      <c r="CM56" s="27"/>
      <c r="CN56" s="28"/>
      <c r="CO56" s="28"/>
      <c r="CP56" s="28"/>
      <c r="CQ56" s="28"/>
      <c r="CR56" s="28"/>
      <c r="CS56" s="28"/>
      <c r="CT56" s="27"/>
      <c r="CU56" s="28"/>
      <c r="CV56" s="28"/>
      <c r="CW56" s="28"/>
      <c r="CX56" s="27"/>
      <c r="CY56" s="27"/>
      <c r="CZ56" s="28"/>
      <c r="DA56" s="28"/>
      <c r="DB56" s="27"/>
      <c r="DC56" s="28"/>
      <c r="DD56" s="27"/>
      <c r="DE56" s="28"/>
      <c r="DF56" s="28"/>
      <c r="DG56" s="27"/>
      <c r="DH56" s="28"/>
      <c r="DI56" s="27"/>
      <c r="DJ56" s="28"/>
      <c r="DK56" s="28"/>
      <c r="DL56" s="28"/>
      <c r="DM56" s="28"/>
      <c r="DP56" s="64"/>
      <c r="DQ56" s="49" t="s">
        <v>296</v>
      </c>
      <c r="DR56" s="28">
        <v>4.156100788E10</v>
      </c>
      <c r="DS56" s="28">
        <v>3.122725808E10</v>
      </c>
      <c r="DT56" s="28"/>
      <c r="DU56" s="28"/>
      <c r="DV56" s="62">
        <v>7.278826596E10</v>
      </c>
      <c r="DW56" s="28"/>
      <c r="DX56" s="28"/>
      <c r="DY56" s="28">
        <v>3.0781212558E10</v>
      </c>
      <c r="DZ56" s="28">
        <v>2.5988957393E10</v>
      </c>
      <c r="EA56" s="28">
        <v>1.37747E8</v>
      </c>
      <c r="EB56" s="28">
        <v>7390800.0</v>
      </c>
      <c r="ED56" s="28"/>
      <c r="EE56" s="28">
        <v>2.89923674E8</v>
      </c>
      <c r="EF56" s="28">
        <v>242601.0</v>
      </c>
      <c r="EG56" s="28">
        <v>4.5666751E7</v>
      </c>
      <c r="EH56" s="28">
        <v>5731245.0</v>
      </c>
      <c r="EI56" s="28">
        <v>1455983.0</v>
      </c>
      <c r="EJ56" s="28">
        <v>3711921.0</v>
      </c>
      <c r="EK56" s="28">
        <v>1.743804E7</v>
      </c>
      <c r="EL56" s="28">
        <v>4.7071521E7</v>
      </c>
      <c r="EM56" s="28">
        <v>6.0417864E7</v>
      </c>
      <c r="EN56" s="28"/>
      <c r="EO56" s="28">
        <v>8.1432654E7</v>
      </c>
      <c r="EP56" s="110">
        <v>-126312.0</v>
      </c>
      <c r="EQ56" s="28"/>
      <c r="ER56" s="28">
        <v>3.72167117E8</v>
      </c>
      <c r="ES56" s="28">
        <v>6.896E7</v>
      </c>
      <c r="ET56" s="28">
        <v>2.415858703E9</v>
      </c>
      <c r="EU56" s="28"/>
      <c r="EV56" s="28">
        <v>1.643845E7</v>
      </c>
      <c r="EW56" s="28">
        <v>8.2388368E7</v>
      </c>
      <c r="EX56" s="28">
        <v>7145800.0</v>
      </c>
      <c r="EY56" s="28">
        <v>2.74882228E8</v>
      </c>
      <c r="EZ56" s="28">
        <v>4.72221982E8</v>
      </c>
      <c r="FA56" s="28">
        <v>5.8039123E7</v>
      </c>
      <c r="FB56" s="28">
        <v>5.2161179E7</v>
      </c>
      <c r="FC56" s="28">
        <v>3.7250273E7</v>
      </c>
      <c r="FD56" s="28">
        <v>6.570811E7</v>
      </c>
      <c r="FE56" s="28">
        <v>8.2979121E7</v>
      </c>
      <c r="FF56" s="28">
        <v>5567442.0</v>
      </c>
      <c r="FG56" s="28">
        <v>2.8127305E7</v>
      </c>
      <c r="FH56" s="28"/>
      <c r="FI56" s="28">
        <v>9950000.0</v>
      </c>
      <c r="FJ56" s="28">
        <v>1.1531607E7</v>
      </c>
      <c r="FK56" s="28"/>
      <c r="FL56" s="28">
        <v>2.0131988E7</v>
      </c>
      <c r="FM56" s="28">
        <v>5679320.0</v>
      </c>
      <c r="FN56" s="28"/>
      <c r="FO56" s="28">
        <v>2.4355735E7</v>
      </c>
      <c r="FP56" s="28"/>
      <c r="FQ56" s="28"/>
      <c r="FR56" s="28">
        <v>2.1905625E7</v>
      </c>
      <c r="FS56" s="28">
        <v>919000.0</v>
      </c>
      <c r="FT56" s="28">
        <v>1429000.0</v>
      </c>
      <c r="FU56" s="28">
        <v>2535000.0</v>
      </c>
      <c r="FV56" s="28">
        <v>3.70721585E8</v>
      </c>
      <c r="FW56" s="28"/>
      <c r="FX56" s="28"/>
      <c r="FY56" s="28"/>
      <c r="FZ56" s="28"/>
      <c r="GA56" s="28"/>
      <c r="GB56" s="28"/>
      <c r="GC56" s="28"/>
      <c r="GD56" s="28"/>
      <c r="GE56" s="28"/>
      <c r="GF56" s="28"/>
      <c r="GG56" s="28"/>
      <c r="GH56" s="28"/>
      <c r="GI56" s="28"/>
      <c r="GJ56" s="28"/>
      <c r="GK56" s="28"/>
      <c r="GL56" s="28"/>
      <c r="GM56" s="62">
        <v>6.1977327755E10</v>
      </c>
      <c r="GN56" s="28"/>
      <c r="GO56" s="28"/>
      <c r="GP56" s="28"/>
      <c r="GQ56" s="28">
        <v>8.5685302E7</v>
      </c>
      <c r="GR56" s="28"/>
      <c r="GS56" s="28">
        <v>1.4361505E7</v>
      </c>
      <c r="GT56" s="28">
        <v>2.2986538E7</v>
      </c>
      <c r="GU56" s="28">
        <v>1.45916045E8</v>
      </c>
      <c r="GV56" s="28">
        <v>5.8181808E7</v>
      </c>
      <c r="GW56" s="28">
        <v>3.137185E7</v>
      </c>
      <c r="GX56" s="28">
        <v>3.48201015E8</v>
      </c>
      <c r="GY56" s="28">
        <v>3.80391666E8</v>
      </c>
      <c r="GZ56" s="28">
        <v>1.182557688E9</v>
      </c>
      <c r="HB56" s="28"/>
      <c r="HC56" s="28">
        <v>4.6436037E7</v>
      </c>
      <c r="HD56" s="28"/>
      <c r="HE56" s="28"/>
      <c r="HF56" s="28"/>
      <c r="HG56" s="28">
        <v>5.0153122E7</v>
      </c>
      <c r="HH56" s="28">
        <v>9.9628714E7</v>
      </c>
      <c r="HI56" s="28">
        <v>3.54729331E8</v>
      </c>
      <c r="HJ56" s="110">
        <v>9.2994256E7</v>
      </c>
      <c r="HK56" s="28">
        <v>266200.0</v>
      </c>
      <c r="HL56" s="28">
        <v>6.3334998E7</v>
      </c>
      <c r="HM56" s="28"/>
      <c r="HN56" s="28"/>
      <c r="HO56" s="28"/>
      <c r="HP56" s="28">
        <v>1.3570538E7</v>
      </c>
      <c r="HQ56" s="28">
        <v>4.73819666E8</v>
      </c>
      <c r="HR56" s="28">
        <v>1.42E7</v>
      </c>
      <c r="HT56" s="28">
        <v>1.22086383E8</v>
      </c>
      <c r="HU56" s="28">
        <v>5.568477E7</v>
      </c>
      <c r="HV56" s="27"/>
      <c r="HW56" s="27"/>
      <c r="HX56" s="28">
        <v>1.1719431E7</v>
      </c>
      <c r="HY56" s="28">
        <v>1.261473E7</v>
      </c>
      <c r="HZ56" s="28">
        <v>4676778.0</v>
      </c>
      <c r="IA56" s="28">
        <v>2.017391E7</v>
      </c>
      <c r="IB56" s="28">
        <v>2673800.0</v>
      </c>
      <c r="IC56" s="28">
        <v>1.0732712E7</v>
      </c>
      <c r="ID56" s="28">
        <v>9768700.0</v>
      </c>
      <c r="IE56" s="28">
        <v>2.6605535E7</v>
      </c>
      <c r="IF56" s="28">
        <v>5463321.0</v>
      </c>
      <c r="IG56" s="28">
        <v>2.26586E7</v>
      </c>
      <c r="IH56" s="28">
        <v>4000000.0</v>
      </c>
      <c r="II56" s="28"/>
      <c r="IJ56" s="28"/>
      <c r="IK56" s="28">
        <v>6.3334324E7</v>
      </c>
      <c r="IL56" s="28">
        <v>1.3266525E7</v>
      </c>
      <c r="IM56" s="28">
        <v>8.6806503E7</v>
      </c>
      <c r="IN56" s="28"/>
      <c r="IO56" s="28">
        <v>7500000.0</v>
      </c>
      <c r="IP56" s="28">
        <v>1.184557E8</v>
      </c>
      <c r="IQ56" s="28">
        <v>700000.0</v>
      </c>
      <c r="IR56" s="28"/>
      <c r="IS56" s="28"/>
      <c r="IT56" s="28"/>
      <c r="IU56" s="28"/>
      <c r="IV56" s="28"/>
      <c r="IW56" s="28"/>
      <c r="IX56" s="28"/>
      <c r="IY56" s="28"/>
      <c r="IZ56" s="28"/>
      <c r="JA56" s="28"/>
      <c r="JB56" s="28">
        <v>5350000.0</v>
      </c>
      <c r="JC56" s="28"/>
      <c r="JD56" s="28">
        <v>440000.0</v>
      </c>
      <c r="JE56" s="28">
        <v>1.7159906E7</v>
      </c>
      <c r="JF56" s="28">
        <v>6.3439174E7</v>
      </c>
      <c r="JG56" s="28"/>
      <c r="JH56" s="28">
        <v>3125000.0</v>
      </c>
      <c r="JI56" s="28"/>
      <c r="JJ56" s="28"/>
      <c r="JK56" s="28"/>
      <c r="JL56" s="28"/>
      <c r="JM56" s="28"/>
      <c r="JN56" s="28"/>
      <c r="JO56" s="28"/>
      <c r="JP56" s="28"/>
      <c r="JQ56" s="28"/>
      <c r="JR56" s="28"/>
      <c r="JS56" s="28"/>
      <c r="JT56" s="62">
        <v>4.167222081E9</v>
      </c>
      <c r="JU56" s="28"/>
      <c r="JV56" s="28"/>
      <c r="JW56" s="28">
        <v>4.09260456E8</v>
      </c>
      <c r="JX56" s="28">
        <v>3.65025E7</v>
      </c>
      <c r="JY56" s="28">
        <v>1.4175E7</v>
      </c>
      <c r="JZ56" s="62">
        <v>4.59937956E8</v>
      </c>
      <c r="KA56" s="28"/>
      <c r="KB56" s="28"/>
      <c r="KC56" s="28">
        <v>1.07108978E8</v>
      </c>
      <c r="KD56" s="62">
        <v>1.07108978E8</v>
      </c>
      <c r="KE56" s="28"/>
      <c r="KF56" s="28"/>
      <c r="KG56" s="28">
        <v>1.5971161E7</v>
      </c>
      <c r="KH56" s="28">
        <v>2.911862E7</v>
      </c>
      <c r="KI56" s="28">
        <v>1.83241355E8</v>
      </c>
      <c r="KJ56" s="28">
        <v>2870500.0</v>
      </c>
      <c r="KK56" s="28">
        <v>24988.0</v>
      </c>
      <c r="KL56" s="28"/>
      <c r="KM56" s="28"/>
      <c r="KN56" s="62">
        <v>2.31226624E8</v>
      </c>
      <c r="KO56" s="28"/>
      <c r="KP56" s="28"/>
      <c r="KQ56" s="28">
        <v>1.0432195E7</v>
      </c>
      <c r="KR56" s="28">
        <v>1.99389204E9</v>
      </c>
      <c r="KS56" s="28"/>
      <c r="KT56" s="28">
        <v>2.1377706E7</v>
      </c>
      <c r="KU56" s="28"/>
      <c r="KV56" s="28">
        <v>4.993605E7</v>
      </c>
      <c r="KW56" s="28">
        <v>83250.0</v>
      </c>
      <c r="KX56" s="28"/>
      <c r="KY56" s="28">
        <v>1.02001E7</v>
      </c>
      <c r="KZ56" s="28">
        <v>3.0E8</v>
      </c>
      <c r="LA56" s="28"/>
      <c r="LB56" s="28"/>
      <c r="LC56" s="28"/>
      <c r="LD56" s="28"/>
      <c r="LE56" s="62">
        <v>2.385921341E9</v>
      </c>
      <c r="LF56" s="28"/>
      <c r="LG56" s="28"/>
      <c r="LH56" s="28"/>
      <c r="LI56" s="28"/>
      <c r="LJ56" s="28">
        <f t="shared" si="19"/>
        <v>7120190356</v>
      </c>
      <c r="LK56" s="110"/>
    </row>
    <row r="57">
      <c r="A57" s="49" t="s">
        <v>299</v>
      </c>
      <c r="B57" s="146">
        <v>8.40135984340316E10</v>
      </c>
      <c r="C57" s="146">
        <v>6.83740789607178E10</v>
      </c>
      <c r="D57" s="147">
        <f t="shared" si="12"/>
        <v>15639519473</v>
      </c>
      <c r="E57" s="146"/>
      <c r="F57" s="146">
        <v>6.99586682849033E9</v>
      </c>
      <c r="G57" s="146">
        <v>4.43824922E8</v>
      </c>
      <c r="H57" s="146">
        <v>1.070067497E8</v>
      </c>
      <c r="I57" s="53">
        <f t="shared" si="13"/>
        <v>7546698500</v>
      </c>
      <c r="J57" s="53">
        <f t="shared" si="14"/>
        <v>8092820973</v>
      </c>
      <c r="K57" s="146"/>
      <c r="L57" s="146">
        <v>3.6713581455249E8</v>
      </c>
      <c r="M57" s="146">
        <v>3.82135809163999E9</v>
      </c>
      <c r="N57" s="52">
        <f t="shared" si="15"/>
        <v>-3454222277</v>
      </c>
      <c r="O57" s="146"/>
      <c r="P57" s="53">
        <f t="shared" si="16"/>
        <v>4638598696</v>
      </c>
      <c r="Q57" s="146"/>
      <c r="R57" s="146"/>
      <c r="S57" s="146"/>
      <c r="T57" s="53">
        <f t="shared" si="17"/>
        <v>4638598696</v>
      </c>
      <c r="U57" s="27"/>
      <c r="V57" s="28"/>
      <c r="W57" s="27"/>
      <c r="X57" s="53">
        <f t="shared" si="18"/>
        <v>4638598696</v>
      </c>
      <c r="Y57" s="27"/>
      <c r="AB57" s="27"/>
      <c r="AC57" s="27"/>
      <c r="AD57" s="28">
        <v>2.389914442E10</v>
      </c>
      <c r="AE57" s="28">
        <v>3.90320517E10</v>
      </c>
      <c r="AF57" s="28"/>
      <c r="AG57" s="28">
        <v>-1.00319905E8</v>
      </c>
      <c r="AH57" s="28">
        <v>9.724235283E9</v>
      </c>
      <c r="AI57" s="28">
        <v>6.9803584632E10</v>
      </c>
      <c r="AJ57" s="27"/>
      <c r="AK57" s="28"/>
      <c r="AL57" s="28">
        <v>1.27595631E10</v>
      </c>
      <c r="AM57" s="28">
        <v>8.466909666E9</v>
      </c>
      <c r="AN57" s="62">
        <v>1.63585168896E11</v>
      </c>
      <c r="AO57" s="27"/>
      <c r="AP57" s="27" t="s">
        <v>295</v>
      </c>
      <c r="AQ57" s="28">
        <v>1.09638141974E11</v>
      </c>
      <c r="AR57" s="28">
        <v>4.84761497E9</v>
      </c>
      <c r="AS57" s="28"/>
      <c r="AT57" s="28"/>
      <c r="AU57" s="28">
        <v>1.361708691E9</v>
      </c>
      <c r="AV57" s="62">
        <v>1.15847465635E11</v>
      </c>
      <c r="AW57" s="62">
        <v>2.79432634532E11</v>
      </c>
      <c r="AX57" s="27"/>
      <c r="AY57" s="27"/>
      <c r="AZ57" s="27"/>
      <c r="BA57" s="28">
        <v>3.519573115E10</v>
      </c>
      <c r="BB57" s="28"/>
      <c r="BC57" s="28">
        <v>5.57008923E8</v>
      </c>
      <c r="BD57" s="27" t="s">
        <v>295</v>
      </c>
      <c r="BE57" s="28">
        <v>4.595814339E9</v>
      </c>
      <c r="BF57" s="27" t="s">
        <v>295</v>
      </c>
      <c r="BG57" s="28"/>
      <c r="BH57" s="28"/>
      <c r="BI57" s="28">
        <v>2.235990229E9</v>
      </c>
      <c r="BJ57" s="27" t="s">
        <v>295</v>
      </c>
      <c r="BK57" s="28">
        <v>1.17762025561E11</v>
      </c>
      <c r="BL57" s="62">
        <v>1.60346570201E11</v>
      </c>
      <c r="BM57" s="27"/>
      <c r="BN57" s="27" t="s">
        <v>295</v>
      </c>
      <c r="BO57" s="28">
        <v>1.21456004E8</v>
      </c>
      <c r="BP57" s="27" t="s">
        <v>295</v>
      </c>
      <c r="BQ57" s="28">
        <v>5.983834871E9</v>
      </c>
      <c r="BR57" s="27" t="s">
        <v>295</v>
      </c>
      <c r="BS57" s="63">
        <v>6.105290875E9</v>
      </c>
      <c r="BT57" s="62">
        <v>1.66451861076E11</v>
      </c>
      <c r="BU57" s="27"/>
      <c r="BV57" s="28">
        <v>6.8245E10</v>
      </c>
      <c r="BW57" s="27" t="s">
        <v>295</v>
      </c>
      <c r="BX57" s="28">
        <v>4.633598696E9</v>
      </c>
      <c r="BY57" s="28">
        <v>3.8088897514E10</v>
      </c>
      <c r="BZ57" s="28">
        <v>-6.56444657E8</v>
      </c>
      <c r="CA57" s="27" t="s">
        <v>295</v>
      </c>
      <c r="CB57" s="28">
        <v>2.669721904E9</v>
      </c>
      <c r="CC57" s="62">
        <v>1.12980773457E11</v>
      </c>
      <c r="CD57" s="62">
        <v>2.79432634533E11</v>
      </c>
      <c r="CF57" s="49" t="s">
        <v>299</v>
      </c>
      <c r="CG57" s="27"/>
      <c r="CH57" s="28"/>
      <c r="CI57" s="27"/>
      <c r="CJ57" s="28"/>
      <c r="CK57" s="27"/>
      <c r="CL57" s="27"/>
      <c r="CM57" s="27"/>
      <c r="CN57" s="28"/>
      <c r="CO57" s="28"/>
      <c r="CP57" s="28"/>
      <c r="CQ57" s="28"/>
      <c r="CR57" s="28"/>
      <c r="CS57" s="28"/>
      <c r="CT57" s="27"/>
      <c r="CU57" s="28"/>
      <c r="CV57" s="28"/>
      <c r="CW57" s="28"/>
      <c r="CX57" s="27"/>
      <c r="CY57" s="27"/>
      <c r="CZ57" s="28"/>
      <c r="DA57" s="28"/>
      <c r="DB57" s="27"/>
      <c r="DC57" s="28"/>
      <c r="DD57" s="27"/>
      <c r="DE57" s="28"/>
      <c r="DF57" s="28"/>
      <c r="DG57" s="27"/>
      <c r="DH57" s="28"/>
      <c r="DI57" s="27"/>
      <c r="DJ57" s="28"/>
      <c r="DK57" s="28"/>
      <c r="DL57" s="28"/>
      <c r="DM57" s="28"/>
      <c r="DP57" s="64"/>
      <c r="DQ57" s="49" t="s">
        <v>299</v>
      </c>
      <c r="DR57" s="28">
        <v>2.0566684881E10</v>
      </c>
      <c r="DS57" s="28">
        <v>6.353802553E10</v>
      </c>
      <c r="DT57" s="28"/>
      <c r="DU57" s="28"/>
      <c r="DV57" s="62">
        <v>8.410471041E10</v>
      </c>
      <c r="DW57" s="28"/>
      <c r="DX57" s="28"/>
      <c r="DY57" s="28">
        <v>8.030679682E9</v>
      </c>
      <c r="DZ57" s="28">
        <v>5.4390804716E10</v>
      </c>
      <c r="EA57" s="28">
        <v>2.76725E8</v>
      </c>
      <c r="EB57" s="28">
        <v>7390800.0</v>
      </c>
      <c r="EC57" s="28"/>
      <c r="ED57" s="28"/>
      <c r="EE57" s="28">
        <v>4.36080068E8</v>
      </c>
      <c r="EF57" s="28">
        <v>1.91661E7</v>
      </c>
      <c r="EG57" s="28">
        <v>4.5866751E7</v>
      </c>
      <c r="EH57" s="28">
        <v>5756244.0</v>
      </c>
      <c r="EI57" s="28">
        <v>1700512.0</v>
      </c>
      <c r="EJ57" s="28">
        <v>3711921.0</v>
      </c>
      <c r="EK57" s="28">
        <v>3.1398472E7</v>
      </c>
      <c r="EL57" s="28">
        <v>1.33014074E8</v>
      </c>
      <c r="EM57" s="28">
        <v>9.0793463E7</v>
      </c>
      <c r="EN57" s="28"/>
      <c r="EO57" s="28">
        <v>1.3989592E8</v>
      </c>
      <c r="EP57" s="28">
        <v>3.1518108E7</v>
      </c>
      <c r="EQ57" s="28"/>
      <c r="ER57" s="28">
        <v>5.22371774E8</v>
      </c>
      <c r="ES57" s="28">
        <v>7.866E7</v>
      </c>
      <c r="ET57" s="28">
        <v>4.767229905E9</v>
      </c>
      <c r="EU57" s="28"/>
      <c r="EV57" s="28">
        <v>2.031345E7</v>
      </c>
      <c r="EW57" s="28">
        <v>7.5015219E7</v>
      </c>
      <c r="EX57" s="28">
        <v>4.168155E7</v>
      </c>
      <c r="EY57" s="28">
        <v>3.93338435E8</v>
      </c>
      <c r="EZ57" s="28">
        <v>7.43099109E8</v>
      </c>
      <c r="FA57" s="28">
        <v>7.1758105E7</v>
      </c>
      <c r="FB57" s="28">
        <v>5.7821633E7</v>
      </c>
      <c r="FC57" s="28">
        <v>5.6827966E7</v>
      </c>
      <c r="FD57" s="28">
        <v>8.9042635E7</v>
      </c>
      <c r="FE57" s="28">
        <v>1.20571666E8</v>
      </c>
      <c r="FF57" s="28">
        <v>1.0348052E7</v>
      </c>
      <c r="FG57" s="28">
        <v>5.0619827E7</v>
      </c>
      <c r="FH57" s="28"/>
      <c r="FI57" s="28">
        <v>1.9194917E7</v>
      </c>
      <c r="FJ57" s="28">
        <v>2.9587756E7</v>
      </c>
      <c r="FK57" s="28"/>
      <c r="FL57" s="28">
        <v>2.0131988E7</v>
      </c>
      <c r="FM57" s="28">
        <v>5679320.0</v>
      </c>
      <c r="FN57" s="28"/>
      <c r="FO57" s="28">
        <v>2.7520285E7</v>
      </c>
      <c r="FP57" s="28"/>
      <c r="FQ57" s="28"/>
      <c r="FR57" s="28">
        <v>2.1905625E7</v>
      </c>
      <c r="FS57" s="28">
        <v>919000.0</v>
      </c>
      <c r="FT57" s="28">
        <v>1608000.0</v>
      </c>
      <c r="FU57" s="28">
        <v>6443000.0</v>
      </c>
      <c r="FV57" s="28">
        <v>3.70721585E8</v>
      </c>
      <c r="FW57" s="28">
        <v>7788057.0</v>
      </c>
      <c r="FX57" s="28"/>
      <c r="FY57" s="28"/>
      <c r="FZ57" s="28"/>
      <c r="GA57" s="28"/>
      <c r="GB57" s="28"/>
      <c r="GC57" s="28"/>
      <c r="GD57" s="28"/>
      <c r="GE57" s="28"/>
      <c r="GF57" s="28"/>
      <c r="GG57" s="28"/>
      <c r="GH57" s="28"/>
      <c r="GI57" s="28"/>
      <c r="GJ57" s="28"/>
      <c r="GK57" s="28"/>
      <c r="GL57" s="28"/>
      <c r="GM57" s="62">
        <v>7.1254700688E10</v>
      </c>
      <c r="GN57" s="28"/>
      <c r="GO57" s="28"/>
      <c r="GP57" s="28"/>
      <c r="GQ57" s="28">
        <v>5.24821535E8</v>
      </c>
      <c r="GR57" s="28"/>
      <c r="GS57" s="28">
        <v>2.49811E7</v>
      </c>
      <c r="GT57" s="28">
        <v>5.1088428E7</v>
      </c>
      <c r="GU57" s="28">
        <v>2.18874068E8</v>
      </c>
      <c r="GV57" s="28">
        <v>8.8485092E7</v>
      </c>
      <c r="GW57" s="28">
        <v>4.7057775E7</v>
      </c>
      <c r="GX57" s="28">
        <v>5.22505461E8</v>
      </c>
      <c r="GY57" s="28">
        <v>5.49754104E8</v>
      </c>
      <c r="GZ57" s="28">
        <v>1.832916766E9</v>
      </c>
      <c r="HA57" s="28"/>
      <c r="HB57" s="28"/>
      <c r="HC57" s="28">
        <v>6.2131419E7</v>
      </c>
      <c r="HD57" s="28"/>
      <c r="HE57" s="28"/>
      <c r="HF57" s="28"/>
      <c r="HG57" s="28">
        <v>7.7640915E7</v>
      </c>
      <c r="HH57" s="28">
        <v>1.55453671E8</v>
      </c>
      <c r="HI57" s="28">
        <v>3.78757822E8</v>
      </c>
      <c r="HJ57" s="28">
        <v>3.97569173E8</v>
      </c>
      <c r="HK57" s="28">
        <v>532600.0</v>
      </c>
      <c r="HL57" s="28">
        <v>1050000.0</v>
      </c>
      <c r="HM57" s="28"/>
      <c r="HN57" s="28"/>
      <c r="HO57" s="28">
        <v>8.3864952E7</v>
      </c>
      <c r="HP57" s="28">
        <v>2.5812298E7</v>
      </c>
      <c r="HQ57" s="28">
        <v>8.68573532E8</v>
      </c>
      <c r="HR57" s="28">
        <v>1.6365E7</v>
      </c>
      <c r="HS57" s="28"/>
      <c r="HT57" s="28">
        <v>5.250305E7</v>
      </c>
      <c r="HU57" s="28">
        <v>9.2720611E7</v>
      </c>
      <c r="HV57" s="28"/>
      <c r="HW57" s="28">
        <v>6097500.0</v>
      </c>
      <c r="HX57" s="28">
        <v>2.4920831E7</v>
      </c>
      <c r="HY57" s="28">
        <v>2.417605E7</v>
      </c>
      <c r="HZ57" s="28">
        <v>6581778.0</v>
      </c>
      <c r="IA57" s="28">
        <v>2.183491E7</v>
      </c>
      <c r="IB57" s="28">
        <v>3540800.0</v>
      </c>
      <c r="IC57" s="28">
        <v>1.4218712E7</v>
      </c>
      <c r="ID57" s="28">
        <v>1.349451E7</v>
      </c>
      <c r="IE57" s="28">
        <v>3.7901319E7</v>
      </c>
      <c r="IF57" s="28">
        <v>9611263.0</v>
      </c>
      <c r="IG57" s="28">
        <v>3.08199E7</v>
      </c>
      <c r="IH57" s="28">
        <v>5200000.0</v>
      </c>
      <c r="II57" s="28"/>
      <c r="IJ57" s="28">
        <v>6000000.0</v>
      </c>
      <c r="IK57" s="28">
        <v>9.0443398E7</v>
      </c>
      <c r="IL57" s="28">
        <v>1.3266525E7</v>
      </c>
      <c r="IM57" s="28">
        <v>1.73361676E8</v>
      </c>
      <c r="IN57" s="28"/>
      <c r="IO57" s="28">
        <v>5.0086901E7</v>
      </c>
      <c r="IP57" s="28">
        <v>1.184557E8</v>
      </c>
      <c r="IQ57" s="28">
        <v>700000.0</v>
      </c>
      <c r="IR57" s="28"/>
      <c r="IS57" s="28"/>
      <c r="IT57" s="28">
        <v>3.55E7</v>
      </c>
      <c r="IU57" s="28"/>
      <c r="IV57" s="28"/>
      <c r="IW57" s="28"/>
      <c r="IX57" s="28">
        <v>1.08825E7</v>
      </c>
      <c r="IY57" s="28"/>
      <c r="IZ57" s="28"/>
      <c r="JA57" s="28"/>
      <c r="JB57" s="28">
        <v>1.81E7</v>
      </c>
      <c r="JC57" s="28"/>
      <c r="JD57" s="28">
        <v>440000.0</v>
      </c>
      <c r="JE57" s="28">
        <v>4.1091122E7</v>
      </c>
      <c r="JF57" s="28">
        <v>1.32234474E8</v>
      </c>
      <c r="JG57" s="28"/>
      <c r="JH57" s="28">
        <v>6250000.0</v>
      </c>
      <c r="JI57" s="28"/>
      <c r="JJ57" s="28"/>
      <c r="JK57" s="28">
        <v>2.625E7</v>
      </c>
      <c r="JL57" s="28"/>
      <c r="JM57" s="28"/>
      <c r="JN57" s="28"/>
      <c r="JO57" s="28"/>
      <c r="JP57" s="28"/>
      <c r="JQ57" s="28"/>
      <c r="JR57" s="28"/>
      <c r="JS57" s="28"/>
      <c r="JT57" s="62">
        <v>6.994919241E9</v>
      </c>
      <c r="JU57" s="28"/>
      <c r="JV57" s="28"/>
      <c r="JW57" s="28">
        <v>7.63701624E8</v>
      </c>
      <c r="JX57" s="28">
        <v>5.8009E7</v>
      </c>
      <c r="JY57" s="28">
        <v>1.4175E7</v>
      </c>
      <c r="JZ57" s="62">
        <v>8.35885624E8</v>
      </c>
      <c r="KA57" s="28"/>
      <c r="KB57" s="28"/>
      <c r="KC57" s="28">
        <v>1.22929003E8</v>
      </c>
      <c r="KD57" s="62">
        <v>1.22929003E8</v>
      </c>
      <c r="KE57" s="28"/>
      <c r="KF57" s="28"/>
      <c r="KG57" s="28">
        <v>2.5828012E7</v>
      </c>
      <c r="KH57" s="28">
        <v>6.047647E7</v>
      </c>
      <c r="KI57" s="28">
        <v>2.60979323E8</v>
      </c>
      <c r="KJ57" s="28">
        <v>5005900.0</v>
      </c>
      <c r="KK57" s="28">
        <v>25137.0</v>
      </c>
      <c r="KL57" s="28"/>
      <c r="KM57" s="28">
        <v>1.2E7</v>
      </c>
      <c r="KN57" s="62">
        <v>3.64314842E8</v>
      </c>
      <c r="KO57" s="28"/>
      <c r="KP57" s="28"/>
      <c r="KQ57" s="28">
        <v>1.7311385E7</v>
      </c>
      <c r="KR57" s="28">
        <v>2.996592249E9</v>
      </c>
      <c r="KS57" s="28"/>
      <c r="KT57" s="28">
        <v>3.2066559E7</v>
      </c>
      <c r="KU57" s="28"/>
      <c r="KV57" s="28">
        <v>1.31730066E8</v>
      </c>
      <c r="KW57" s="28">
        <v>83913.0</v>
      </c>
      <c r="KX57" s="28"/>
      <c r="KY57" s="28">
        <v>1.08001E7</v>
      </c>
      <c r="KZ57" s="28">
        <v>6.31458819E8</v>
      </c>
      <c r="LA57" s="28">
        <v>1315000.0</v>
      </c>
      <c r="LB57" s="28"/>
      <c r="LC57" s="28"/>
      <c r="LD57" s="28"/>
      <c r="LE57" s="62">
        <v>3.821358092E9</v>
      </c>
      <c r="LF57" s="28"/>
      <c r="LG57" s="28"/>
      <c r="LH57" s="28"/>
      <c r="LI57" s="28"/>
      <c r="LJ57" s="28">
        <f t="shared" si="19"/>
        <v>11775091960</v>
      </c>
      <c r="LK57" s="110"/>
    </row>
    <row r="58">
      <c r="A58" s="49" t="s">
        <v>302</v>
      </c>
      <c r="B58" s="146">
        <v>1.04131474190158E11</v>
      </c>
      <c r="C58" s="146">
        <v>8.44462931599E10</v>
      </c>
      <c r="D58" s="147">
        <f t="shared" si="12"/>
        <v>19685181030</v>
      </c>
      <c r="E58" s="146"/>
      <c r="F58" s="146">
        <v>1.0219875003507E10</v>
      </c>
      <c r="G58" s="146">
        <v>7.87997674E8</v>
      </c>
      <c r="H58" s="146">
        <v>1.403693847E8</v>
      </c>
      <c r="I58" s="53">
        <f t="shared" si="13"/>
        <v>11148242062</v>
      </c>
      <c r="J58" s="53">
        <f t="shared" si="14"/>
        <v>8536938968</v>
      </c>
      <c r="K58" s="146"/>
      <c r="L58" s="146">
        <v>1.90475496788249E9</v>
      </c>
      <c r="M58" s="146">
        <v>4.93141706864499E9</v>
      </c>
      <c r="N58" s="52">
        <f t="shared" si="15"/>
        <v>-3026662101</v>
      </c>
      <c r="O58" s="146"/>
      <c r="P58" s="53">
        <f t="shared" si="16"/>
        <v>5510276867</v>
      </c>
      <c r="Q58" s="146"/>
      <c r="R58" s="146"/>
      <c r="S58" s="146"/>
      <c r="T58" s="53">
        <f t="shared" si="17"/>
        <v>5510276867</v>
      </c>
      <c r="U58" s="27"/>
      <c r="V58" s="28"/>
      <c r="W58" s="27"/>
      <c r="X58" s="53">
        <f t="shared" si="18"/>
        <v>5510276867</v>
      </c>
      <c r="Y58" s="27"/>
      <c r="AB58" s="27"/>
      <c r="AC58" s="27"/>
      <c r="AD58" s="28">
        <v>1.4943144612E10</v>
      </c>
      <c r="AE58" s="28">
        <v>3.8456572443E10</v>
      </c>
      <c r="AF58" s="28"/>
      <c r="AG58" s="28">
        <v>-1.00319905E8</v>
      </c>
      <c r="AH58" s="28">
        <v>9.293011078E9</v>
      </c>
      <c r="AI58" s="28">
        <v>6.5296751541E10</v>
      </c>
      <c r="AJ58" s="27"/>
      <c r="AK58" s="28"/>
      <c r="AL58" s="28">
        <v>1.4423069545E10</v>
      </c>
      <c r="AM58" s="28">
        <v>8.065197439E9</v>
      </c>
      <c r="AN58" s="62">
        <v>1.50377426752E11</v>
      </c>
      <c r="AO58" s="27"/>
      <c r="AP58" s="27" t="s">
        <v>295</v>
      </c>
      <c r="AQ58" s="28">
        <v>1.09529781729E11</v>
      </c>
      <c r="AR58" s="28">
        <v>4.863839047E9</v>
      </c>
      <c r="AS58" s="28"/>
      <c r="AT58" s="28"/>
      <c r="AU58" s="28">
        <v>1.361708691E9</v>
      </c>
      <c r="AV58" s="62">
        <v>1.15755329467E11</v>
      </c>
      <c r="AW58" s="62">
        <v>2.6613275622E11</v>
      </c>
      <c r="AX58" s="27"/>
      <c r="AY58" s="27"/>
      <c r="AZ58" s="27"/>
      <c r="BA58" s="28">
        <v>2.5089842485E10</v>
      </c>
      <c r="BB58" s="28"/>
      <c r="BC58" s="28">
        <v>4.59773194E8</v>
      </c>
      <c r="BD58" s="27" t="s">
        <v>295</v>
      </c>
      <c r="BE58" s="28">
        <v>3.746915251E9</v>
      </c>
      <c r="BF58" s="27" t="s">
        <v>295</v>
      </c>
      <c r="BG58" s="28"/>
      <c r="BH58" s="28"/>
      <c r="BI58" s="28">
        <v>2.238235448E9</v>
      </c>
      <c r="BJ58" s="28"/>
      <c r="BK58" s="28">
        <v>1.14657503339E11</v>
      </c>
      <c r="BL58" s="62">
        <v>1.46192269717E11</v>
      </c>
      <c r="BM58" s="27"/>
      <c r="BN58" s="27" t="s">
        <v>295</v>
      </c>
      <c r="BO58" s="28">
        <v>1.04200004E8</v>
      </c>
      <c r="BP58" s="27" t="s">
        <v>295</v>
      </c>
      <c r="BQ58" s="28">
        <v>5.983834871E9</v>
      </c>
      <c r="BR58" s="27" t="s">
        <v>295</v>
      </c>
      <c r="BS58" s="63">
        <v>6.088034875E9</v>
      </c>
      <c r="BT58" s="62">
        <v>1.52280304592E11</v>
      </c>
      <c r="BU58" s="27"/>
      <c r="BV58" s="28">
        <v>6.8245E10</v>
      </c>
      <c r="BW58" s="27" t="s">
        <v>295</v>
      </c>
      <c r="BX58" s="28">
        <v>5.505276867E9</v>
      </c>
      <c r="BY58" s="28">
        <v>3.8088897514E10</v>
      </c>
      <c r="BZ58" s="28">
        <v>-6.56444657E8</v>
      </c>
      <c r="CA58" s="27" t="s">
        <v>295</v>
      </c>
      <c r="CB58" s="28">
        <v>2.669721904E9</v>
      </c>
      <c r="CC58" s="62">
        <v>1.13852451628E11</v>
      </c>
      <c r="CD58" s="62">
        <v>2.6613275622E11</v>
      </c>
      <c r="CF58" s="49" t="s">
        <v>302</v>
      </c>
      <c r="CG58" s="27"/>
      <c r="CH58" s="28"/>
      <c r="CI58" s="27"/>
      <c r="CJ58" s="28"/>
      <c r="CK58" s="27"/>
      <c r="CL58" s="27"/>
      <c r="CM58" s="27"/>
      <c r="CN58" s="28"/>
      <c r="CO58" s="28"/>
      <c r="CP58" s="28"/>
      <c r="CQ58" s="28"/>
      <c r="CR58" s="28"/>
      <c r="CS58" s="28"/>
      <c r="CT58" s="27"/>
      <c r="CU58" s="28"/>
      <c r="CV58" s="28"/>
      <c r="CW58" s="28"/>
      <c r="CX58" s="27"/>
      <c r="CY58" s="27"/>
      <c r="CZ58" s="28"/>
      <c r="DA58" s="28"/>
      <c r="DB58" s="27"/>
      <c r="DC58" s="28"/>
      <c r="DD58" s="27"/>
      <c r="DE58" s="28"/>
      <c r="DF58" s="28"/>
      <c r="DG58" s="27"/>
      <c r="DH58" s="28"/>
      <c r="DI58" s="27"/>
      <c r="DJ58" s="28"/>
      <c r="DK58" s="28"/>
      <c r="DL58" s="28"/>
      <c r="DM58" s="28"/>
      <c r="DP58" s="64"/>
      <c r="DQ58" s="49" t="s">
        <v>302</v>
      </c>
      <c r="DR58" s="28">
        <v>2.178607725E10</v>
      </c>
      <c r="DS58" s="28">
        <v>8.2436509286E10</v>
      </c>
      <c r="DT58" s="28"/>
      <c r="DU58" s="28"/>
      <c r="DV58" s="62">
        <v>1.04222586535E11</v>
      </c>
      <c r="DW58" s="28"/>
      <c r="DX58" s="28"/>
      <c r="DY58" s="28">
        <v>6.89779138E9</v>
      </c>
      <c r="DZ58" s="28">
        <v>6.9504366123E10</v>
      </c>
      <c r="EA58" s="28">
        <v>2.76725E8</v>
      </c>
      <c r="EB58" s="28">
        <v>1.227085E7</v>
      </c>
      <c r="EC58" s="28"/>
      <c r="ED58" s="28"/>
      <c r="EE58" s="28">
        <v>5.82435223E8</v>
      </c>
      <c r="EF58" s="28">
        <v>2.7820789E7</v>
      </c>
      <c r="EG58" s="28">
        <v>4.5866751E7</v>
      </c>
      <c r="EH58" s="28">
        <v>5756244.0</v>
      </c>
      <c r="EI58" s="28">
        <v>2804316.0</v>
      </c>
      <c r="EJ58" s="28">
        <v>4959121.0</v>
      </c>
      <c r="EK58" s="28">
        <v>3.2407271E7</v>
      </c>
      <c r="EL58" s="28">
        <v>1.58149087E8</v>
      </c>
      <c r="EM58" s="28">
        <v>1.21169062E8</v>
      </c>
      <c r="EN58" s="28"/>
      <c r="EO58" s="28">
        <v>1.69459186E8</v>
      </c>
      <c r="EP58" s="28">
        <v>3.1518108E7</v>
      </c>
      <c r="EQ58" s="28"/>
      <c r="ER58" s="28">
        <v>7.2607117E8</v>
      </c>
      <c r="ES58" s="28">
        <v>1.1151E8</v>
      </c>
      <c r="ET58" s="28">
        <v>6.643731198E9</v>
      </c>
      <c r="EU58" s="28"/>
      <c r="EV58" s="28">
        <v>4.3647679E7</v>
      </c>
      <c r="EW58" s="28">
        <v>7.904585E7</v>
      </c>
      <c r="EX58" s="28">
        <v>4.8208214E7</v>
      </c>
      <c r="EY58" s="28">
        <v>5.06541042E8</v>
      </c>
      <c r="EZ58" s="28">
        <v>1.00312779E9</v>
      </c>
      <c r="FA58" s="28">
        <v>7.2092073E7</v>
      </c>
      <c r="FB58" s="28">
        <v>7.2994001E7</v>
      </c>
      <c r="FC58" s="28">
        <v>8.2749517E7</v>
      </c>
      <c r="FD58" s="28">
        <v>1.50780156E8</v>
      </c>
      <c r="FE58" s="28">
        <v>1.58722358E8</v>
      </c>
      <c r="FF58" s="28">
        <v>1.2289352E7</v>
      </c>
      <c r="FG58" s="28">
        <v>5.9729406E7</v>
      </c>
      <c r="FH58" s="28"/>
      <c r="FI58" s="28">
        <v>2.2456917E7</v>
      </c>
      <c r="FJ58" s="28">
        <v>1.02732021E8</v>
      </c>
      <c r="FK58" s="28"/>
      <c r="FL58" s="28">
        <v>3.0057388E7</v>
      </c>
      <c r="FM58" s="28">
        <v>1.5784347E7</v>
      </c>
      <c r="FN58" s="28"/>
      <c r="FO58" s="28">
        <v>4.183317E7</v>
      </c>
      <c r="FP58" s="28"/>
      <c r="FQ58" s="28"/>
      <c r="FR58" s="28"/>
      <c r="FS58" s="28">
        <v>7658100.0</v>
      </c>
      <c r="FT58" s="28">
        <v>1608000.0</v>
      </c>
      <c r="FU58" s="28">
        <v>1.1317E7</v>
      </c>
      <c r="FV58" s="28">
        <v>1.0939188E8</v>
      </c>
      <c r="FW58" s="28">
        <v>1.4650107E7</v>
      </c>
      <c r="FX58" s="28"/>
      <c r="FY58" s="28"/>
      <c r="FZ58" s="28"/>
      <c r="GA58" s="28"/>
      <c r="GB58" s="28"/>
      <c r="GC58" s="28"/>
      <c r="GD58" s="28"/>
      <c r="GE58" s="28"/>
      <c r="GF58" s="28"/>
      <c r="GG58" s="28"/>
      <c r="GH58" s="28"/>
      <c r="GI58" s="28"/>
      <c r="GJ58" s="28"/>
      <c r="GK58" s="28"/>
      <c r="GL58" s="28"/>
      <c r="GM58" s="62">
        <v>8.8002227246E10</v>
      </c>
      <c r="GN58" s="28"/>
      <c r="GO58" s="28"/>
      <c r="GP58" s="28"/>
      <c r="GQ58" s="28">
        <v>5.29593479E8</v>
      </c>
      <c r="GR58" s="28">
        <v>448100.0</v>
      </c>
      <c r="GS58" s="28">
        <v>3.17266E7</v>
      </c>
      <c r="GT58" s="28">
        <v>6.6621688E7</v>
      </c>
      <c r="GU58" s="28">
        <v>2.9183209E8</v>
      </c>
      <c r="GV58" s="28">
        <v>1.19794863E8</v>
      </c>
      <c r="GW58" s="28">
        <v>6.27437E7</v>
      </c>
      <c r="GX58" s="28">
        <v>6.97069582E8</v>
      </c>
      <c r="GY58" s="28">
        <v>7.98488566E8</v>
      </c>
      <c r="GZ58" s="28">
        <v>2.373804002E9</v>
      </c>
      <c r="HA58" s="28"/>
      <c r="HB58" s="28"/>
      <c r="HC58" s="28">
        <v>8.6828731E7</v>
      </c>
      <c r="HD58" s="28"/>
      <c r="HE58" s="28"/>
      <c r="HF58" s="28">
        <v>1.132314778E9</v>
      </c>
      <c r="HG58" s="28">
        <v>1.04148914E8</v>
      </c>
      <c r="HH58" s="28">
        <v>2.13596622E8</v>
      </c>
      <c r="HI58" s="28">
        <v>3.87970422E8</v>
      </c>
      <c r="HJ58" s="28">
        <v>4.36371805E8</v>
      </c>
      <c r="HK58" s="28">
        <v>6610200.0</v>
      </c>
      <c r="HL58" s="28">
        <v>1050000.0</v>
      </c>
      <c r="HM58" s="28"/>
      <c r="HN58" s="28">
        <v>4145328.0</v>
      </c>
      <c r="HO58" s="28">
        <v>1.10830952E8</v>
      </c>
      <c r="HP58" s="28">
        <v>3.1904448E7</v>
      </c>
      <c r="HQ58" s="28">
        <v>9.49722165E8</v>
      </c>
      <c r="HR58" s="28">
        <v>2.25025E7</v>
      </c>
      <c r="HS58" s="28"/>
      <c r="HT58" s="28">
        <v>1.20751569E8</v>
      </c>
      <c r="HU58" s="28">
        <v>1.46112996E8</v>
      </c>
      <c r="HV58" s="28"/>
      <c r="HW58" s="28">
        <v>6097500.0</v>
      </c>
      <c r="HX58" s="28">
        <v>4.7664831E7</v>
      </c>
      <c r="HY58" s="28">
        <v>3.1273812E7</v>
      </c>
      <c r="HZ58" s="28">
        <v>9009274.0</v>
      </c>
      <c r="IA58" s="28">
        <v>1.411891E7</v>
      </c>
      <c r="IB58" s="28">
        <v>4315800.0</v>
      </c>
      <c r="IC58" s="28">
        <v>1.8931862E7</v>
      </c>
      <c r="ID58" s="28">
        <v>1.933291E7</v>
      </c>
      <c r="IE58" s="28">
        <v>5.000521E7</v>
      </c>
      <c r="IF58" s="28">
        <v>1.1989622E7</v>
      </c>
      <c r="IG58" s="28">
        <v>4.5867E7</v>
      </c>
      <c r="IH58" s="28">
        <v>7200000.0</v>
      </c>
      <c r="II58" s="28"/>
      <c r="IJ58" s="28">
        <v>6000000.0</v>
      </c>
      <c r="IK58" s="28">
        <v>9.9290582E7</v>
      </c>
      <c r="IL58" s="28">
        <v>1.5250975E7</v>
      </c>
      <c r="IM58" s="28">
        <v>2.6058661E8</v>
      </c>
      <c r="IN58" s="28"/>
      <c r="IO58" s="28">
        <v>5.3079829E7</v>
      </c>
      <c r="IP58" s="28">
        <v>1.184557E8</v>
      </c>
      <c r="IQ58" s="28">
        <v>1400000.0</v>
      </c>
      <c r="IR58" s="28"/>
      <c r="IS58" s="28">
        <v>1.330989E7</v>
      </c>
      <c r="IT58" s="28">
        <v>3.55E7</v>
      </c>
      <c r="IU58" s="28"/>
      <c r="IV58" s="28"/>
      <c r="IW58" s="28"/>
      <c r="IX58" s="28">
        <v>1.08825E7</v>
      </c>
      <c r="IY58" s="28"/>
      <c r="IZ58" s="28">
        <v>7625000.0</v>
      </c>
      <c r="JA58" s="28"/>
      <c r="JB58" s="28">
        <v>2.21E7</v>
      </c>
      <c r="JC58" s="28">
        <v>3.54814357E8</v>
      </c>
      <c r="JD58" s="28">
        <v>1.244E7</v>
      </c>
      <c r="JE58" s="28">
        <v>4.4097554E7</v>
      </c>
      <c r="JF58" s="28">
        <v>1.42638074E8</v>
      </c>
      <c r="JG58" s="28"/>
      <c r="JH58" s="28">
        <v>6250000.0</v>
      </c>
      <c r="JI58" s="28"/>
      <c r="JJ58" s="28"/>
      <c r="JK58" s="28">
        <v>2.625E7</v>
      </c>
      <c r="JL58" s="28"/>
      <c r="JM58" s="28"/>
      <c r="JN58" s="28"/>
      <c r="JO58" s="28"/>
      <c r="JP58" s="28"/>
      <c r="JQ58" s="28"/>
      <c r="JR58" s="28"/>
      <c r="JS58" s="28"/>
      <c r="JT58" s="62">
        <v>1.0222761902E10</v>
      </c>
      <c r="JU58" s="28"/>
      <c r="JV58" s="28"/>
      <c r="JW58" s="28">
        <v>1.415447795E9</v>
      </c>
      <c r="JX58" s="28">
        <v>7.9509E7</v>
      </c>
      <c r="JY58" s="28">
        <v>1.4175E7</v>
      </c>
      <c r="JZ58" s="62">
        <v>1.509131795E9</v>
      </c>
      <c r="KA58" s="28"/>
      <c r="KB58" s="28"/>
      <c r="KC58" s="28">
        <v>1.65253423E8</v>
      </c>
      <c r="KD58" s="62">
        <v>1.65253423E8</v>
      </c>
      <c r="KE58" s="28"/>
      <c r="KF58" s="28"/>
      <c r="KG58" s="28">
        <v>3.4814379E7</v>
      </c>
      <c r="KH58" s="28">
        <v>1.589109152E9</v>
      </c>
      <c r="KI58" s="28">
        <v>2.60979323E8</v>
      </c>
      <c r="KJ58" s="28">
        <v>5005900.0</v>
      </c>
      <c r="KK58" s="28">
        <v>25241.0</v>
      </c>
      <c r="KL58" s="28"/>
      <c r="KM58" s="28">
        <v>1.2E7</v>
      </c>
      <c r="KN58" s="62">
        <v>1.901933995E9</v>
      </c>
      <c r="KO58" s="28"/>
      <c r="KP58" s="28"/>
      <c r="KQ58" s="28">
        <v>2.3756324E7</v>
      </c>
      <c r="KR58" s="28">
        <v>3.945720061E9</v>
      </c>
      <c r="KS58" s="28"/>
      <c r="KT58" s="28">
        <v>7.8172079E7</v>
      </c>
      <c r="KU58" s="28"/>
      <c r="KV58" s="28">
        <v>2.39609917E8</v>
      </c>
      <c r="KW58" s="28">
        <v>84769.0</v>
      </c>
      <c r="KX58" s="28"/>
      <c r="KY58" s="28">
        <v>1.08001E7</v>
      </c>
      <c r="KZ58" s="28">
        <v>6.31458819E8</v>
      </c>
      <c r="LA58" s="28">
        <v>1815000.0</v>
      </c>
      <c r="LB58" s="28"/>
      <c r="LC58" s="28"/>
      <c r="LD58" s="28"/>
      <c r="LE58" s="62">
        <v>4.931417069E9</v>
      </c>
      <c r="LF58" s="28"/>
      <c r="LG58" s="28"/>
      <c r="LH58" s="28"/>
      <c r="LI58" s="28"/>
      <c r="LJ58" s="28">
        <f t="shared" si="19"/>
        <v>16828564189</v>
      </c>
      <c r="LK58" s="110"/>
    </row>
    <row r="59">
      <c r="A59" s="49" t="s">
        <v>304</v>
      </c>
      <c r="B59" s="146">
        <v>1.19664121778986E11</v>
      </c>
      <c r="C59" s="146">
        <v>9.56420484105489E10</v>
      </c>
      <c r="D59" s="147">
        <f t="shared" si="12"/>
        <v>24022073368</v>
      </c>
      <c r="E59" s="146"/>
      <c r="F59" s="146">
        <v>1.30249198347703E10</v>
      </c>
      <c r="G59" s="146">
        <v>2.209792569E9</v>
      </c>
      <c r="H59" s="146">
        <v>1.114552847E8</v>
      </c>
      <c r="I59" s="53">
        <f t="shared" si="13"/>
        <v>15346167688</v>
      </c>
      <c r="J59" s="53">
        <f t="shared" si="14"/>
        <v>8675905680</v>
      </c>
      <c r="K59" s="146"/>
      <c r="L59" s="146">
        <v>2.14301193135749E9</v>
      </c>
      <c r="M59" s="146">
        <v>6.16566611046999E9</v>
      </c>
      <c r="N59" s="52">
        <f t="shared" si="15"/>
        <v>-4022654179</v>
      </c>
      <c r="O59" s="146"/>
      <c r="P59" s="53">
        <f t="shared" si="16"/>
        <v>4653251501</v>
      </c>
      <c r="Q59" s="146"/>
      <c r="R59" s="146"/>
      <c r="S59" s="146"/>
      <c r="T59" s="53">
        <f t="shared" si="17"/>
        <v>4653251501</v>
      </c>
      <c r="U59" s="27"/>
      <c r="V59" s="28"/>
      <c r="W59" s="27"/>
      <c r="X59" s="53">
        <f t="shared" si="18"/>
        <v>4653251501</v>
      </c>
      <c r="Y59" s="27"/>
      <c r="AB59" s="27"/>
      <c r="AC59" s="27"/>
      <c r="AD59" s="28">
        <v>1.277712271E9</v>
      </c>
      <c r="AE59" s="28">
        <v>6.500946532E10</v>
      </c>
      <c r="AF59" s="28"/>
      <c r="AG59" s="28">
        <v>-1.00319905E8</v>
      </c>
      <c r="AH59" s="28">
        <v>8.346091567E9</v>
      </c>
      <c r="AI59" s="28">
        <v>5.637609405E10</v>
      </c>
      <c r="AJ59" s="27"/>
      <c r="AK59" s="28"/>
      <c r="AL59" s="28">
        <v>6.603882834E9</v>
      </c>
      <c r="AM59" s="28">
        <v>7.630873196E9</v>
      </c>
      <c r="AN59" s="62">
        <v>1.45143799333E11</v>
      </c>
      <c r="AO59" s="27"/>
      <c r="AP59" s="27" t="s">
        <v>295</v>
      </c>
      <c r="AQ59" s="28">
        <v>1.08486721301E11</v>
      </c>
      <c r="AR59" s="28">
        <v>4.841755125E9</v>
      </c>
      <c r="AS59" s="28"/>
      <c r="AT59" s="28"/>
      <c r="AU59" s="28">
        <v>1.361708691E9</v>
      </c>
      <c r="AV59" s="62">
        <v>1.14690185116E11</v>
      </c>
      <c r="AW59" s="62">
        <v>2.5983398445E11</v>
      </c>
      <c r="AX59" s="27"/>
      <c r="AY59" s="27"/>
      <c r="AZ59" s="27"/>
      <c r="BA59" s="28">
        <v>2.3330519035E10</v>
      </c>
      <c r="BB59" s="28"/>
      <c r="BC59" s="28">
        <v>3.78012091E8</v>
      </c>
      <c r="BD59" s="27" t="s">
        <v>295</v>
      </c>
      <c r="BE59" s="28">
        <v>4.79027152E9</v>
      </c>
      <c r="BF59" s="27" t="s">
        <v>295</v>
      </c>
      <c r="BG59" s="28"/>
      <c r="BH59" s="28"/>
      <c r="BI59" s="28">
        <v>2.23989555E9</v>
      </c>
      <c r="BJ59" s="27"/>
      <c r="BK59" s="28">
        <v>1.09949081117E11</v>
      </c>
      <c r="BL59" s="62">
        <v>1.40687779313E11</v>
      </c>
      <c r="BM59" s="27"/>
      <c r="BN59" s="27" t="s">
        <v>295</v>
      </c>
      <c r="BO59" s="28">
        <v>8.6944004E7</v>
      </c>
      <c r="BP59" s="27" t="s">
        <v>295</v>
      </c>
      <c r="BQ59" s="28">
        <v>5.983834871E9</v>
      </c>
      <c r="BR59" s="27" t="s">
        <v>295</v>
      </c>
      <c r="BS59" s="63">
        <v>6.070778875E9</v>
      </c>
      <c r="BT59" s="62">
        <v>1.46758558188E11</v>
      </c>
      <c r="BU59" s="27"/>
      <c r="BV59" s="28">
        <v>6.8245E10</v>
      </c>
      <c r="BW59" s="27" t="s">
        <v>295</v>
      </c>
      <c r="BX59" s="28">
        <v>4.648251501E9</v>
      </c>
      <c r="BY59" s="28">
        <v>3.8168897514E10</v>
      </c>
      <c r="BZ59" s="28">
        <v>-6.56444657E8</v>
      </c>
      <c r="CA59" s="27" t="s">
        <v>295</v>
      </c>
      <c r="CB59" s="28">
        <v>2.669721904E9</v>
      </c>
      <c r="CC59" s="62">
        <v>1.13075426262E11</v>
      </c>
      <c r="CD59" s="62">
        <v>2.5983398445E11</v>
      </c>
      <c r="CF59" s="49" t="s">
        <v>304</v>
      </c>
      <c r="CG59" s="27"/>
      <c r="CH59" s="28"/>
      <c r="CI59" s="27"/>
      <c r="CJ59" s="28"/>
      <c r="CK59" s="27"/>
      <c r="CL59" s="27"/>
      <c r="CM59" s="27"/>
      <c r="CN59" s="28"/>
      <c r="CO59" s="28"/>
      <c r="CP59" s="28"/>
      <c r="CQ59" s="28"/>
      <c r="CR59" s="28"/>
      <c r="CS59" s="28"/>
      <c r="CT59" s="27"/>
      <c r="CU59" s="28"/>
      <c r="CV59" s="28"/>
      <c r="CW59" s="28"/>
      <c r="CX59" s="27"/>
      <c r="CY59" s="27"/>
      <c r="CZ59" s="28"/>
      <c r="DA59" s="28"/>
      <c r="DB59" s="27"/>
      <c r="DC59" s="28"/>
      <c r="DD59" s="27"/>
      <c r="DE59" s="28"/>
      <c r="DF59" s="28"/>
      <c r="DG59" s="27"/>
      <c r="DH59" s="28"/>
      <c r="DI59" s="27"/>
      <c r="DJ59" s="28"/>
      <c r="DK59" s="28"/>
      <c r="DL59" s="28"/>
      <c r="DM59" s="28"/>
      <c r="DP59" s="64"/>
      <c r="DQ59" s="49" t="s">
        <v>304</v>
      </c>
      <c r="DR59" s="28"/>
      <c r="DS59" s="28"/>
      <c r="DT59" s="28"/>
      <c r="DU59" s="28"/>
      <c r="DV59" s="62"/>
      <c r="DW59" s="28"/>
      <c r="DX59" s="28"/>
      <c r="DY59" s="28"/>
      <c r="DZ59" s="28"/>
      <c r="EA59" s="28"/>
      <c r="EB59" s="28"/>
      <c r="EC59" s="28"/>
      <c r="ED59" s="28"/>
      <c r="EE59" s="28"/>
      <c r="EF59" s="28"/>
      <c r="EG59" s="28"/>
      <c r="EH59" s="28"/>
      <c r="EI59" s="28"/>
      <c r="EJ59" s="28"/>
      <c r="EK59" s="28"/>
      <c r="EL59" s="28"/>
      <c r="EM59" s="28"/>
      <c r="EN59" s="28"/>
      <c r="EO59" s="28"/>
      <c r="EP59" s="28"/>
      <c r="EQ59" s="28"/>
      <c r="ER59" s="28"/>
      <c r="ES59" s="28"/>
      <c r="ET59" s="28"/>
      <c r="EU59" s="28"/>
      <c r="EV59" s="28"/>
      <c r="EW59" s="28"/>
      <c r="EX59" s="28"/>
      <c r="EY59" s="28"/>
      <c r="EZ59" s="28"/>
      <c r="FA59" s="28"/>
      <c r="FB59" s="28"/>
      <c r="FC59" s="28"/>
      <c r="FD59" s="28"/>
      <c r="FE59" s="28"/>
      <c r="FF59" s="28"/>
      <c r="FG59" s="28"/>
      <c r="FH59" s="28"/>
      <c r="FI59" s="28"/>
      <c r="FJ59" s="28"/>
      <c r="FK59" s="28"/>
      <c r="FL59" s="28"/>
      <c r="FM59" s="28"/>
      <c r="FN59" s="28"/>
      <c r="FO59" s="28"/>
      <c r="FP59" s="28"/>
      <c r="FQ59" s="28"/>
      <c r="FR59" s="28"/>
      <c r="FS59" s="28"/>
      <c r="FT59" s="28"/>
      <c r="FU59" s="28"/>
      <c r="FV59" s="28"/>
      <c r="FW59" s="28"/>
      <c r="FX59" s="28"/>
      <c r="FY59" s="28"/>
      <c r="FZ59" s="28"/>
      <c r="GA59" s="28"/>
      <c r="GB59" s="28"/>
      <c r="GC59" s="28"/>
      <c r="GD59" s="28"/>
      <c r="GE59" s="28"/>
      <c r="GF59" s="28"/>
      <c r="GG59" s="28"/>
      <c r="GH59" s="28"/>
      <c r="GI59" s="28"/>
      <c r="GJ59" s="28"/>
      <c r="GK59" s="28"/>
      <c r="GL59" s="28"/>
      <c r="GM59" s="62"/>
      <c r="GN59" s="28"/>
      <c r="GO59" s="28"/>
      <c r="GP59" s="28"/>
      <c r="GQ59" s="28"/>
      <c r="GR59" s="28"/>
      <c r="GS59" s="28"/>
      <c r="GT59" s="28"/>
      <c r="GU59" s="28"/>
      <c r="GV59" s="28"/>
      <c r="GW59" s="28"/>
      <c r="GX59" s="28"/>
      <c r="GY59" s="28"/>
      <c r="GZ59" s="28"/>
      <c r="HA59" s="28"/>
      <c r="HB59" s="28"/>
      <c r="HC59" s="28"/>
      <c r="HD59" s="28"/>
      <c r="HE59" s="28"/>
      <c r="HF59" s="28"/>
      <c r="HG59" s="28"/>
      <c r="HH59" s="28"/>
      <c r="HI59" s="28"/>
      <c r="HJ59" s="28"/>
      <c r="HK59" s="28"/>
      <c r="HL59" s="28"/>
      <c r="HM59" s="28"/>
      <c r="HN59" s="28"/>
      <c r="HO59" s="28"/>
      <c r="HP59" s="28"/>
      <c r="HQ59" s="28"/>
      <c r="HR59" s="28"/>
      <c r="HS59" s="28"/>
      <c r="HT59" s="28"/>
      <c r="HU59" s="28"/>
      <c r="HV59" s="28"/>
      <c r="HW59" s="28"/>
      <c r="HX59" s="28"/>
      <c r="HY59" s="28"/>
      <c r="HZ59" s="28"/>
      <c r="IA59" s="28"/>
      <c r="IB59" s="28"/>
      <c r="IC59" s="28"/>
      <c r="ID59" s="28"/>
      <c r="IE59" s="28"/>
      <c r="IF59" s="28"/>
      <c r="IG59" s="28"/>
      <c r="IH59" s="28"/>
      <c r="II59" s="28"/>
      <c r="IJ59" s="28"/>
      <c r="IK59" s="28"/>
      <c r="IL59" s="28"/>
      <c r="IM59" s="28"/>
      <c r="IN59" s="28"/>
      <c r="IO59" s="28"/>
      <c r="IP59" s="28"/>
      <c r="IQ59" s="28"/>
      <c r="IR59" s="28"/>
      <c r="IS59" s="28"/>
      <c r="IT59" s="28"/>
      <c r="IU59" s="28"/>
      <c r="IV59" s="28"/>
      <c r="IW59" s="28"/>
      <c r="IX59" s="28"/>
      <c r="IY59" s="28"/>
      <c r="IZ59" s="28"/>
      <c r="JA59" s="28"/>
      <c r="JB59" s="28"/>
      <c r="JC59" s="28"/>
      <c r="JD59" s="28"/>
      <c r="JE59" s="28"/>
      <c r="JF59" s="28"/>
      <c r="JG59" s="28"/>
      <c r="JH59" s="28"/>
      <c r="JI59" s="28"/>
      <c r="JJ59" s="28"/>
      <c r="JK59" s="28"/>
      <c r="JL59" s="28"/>
      <c r="JM59" s="28"/>
      <c r="JN59" s="28"/>
      <c r="JO59" s="28"/>
      <c r="JP59" s="28"/>
      <c r="JQ59" s="28"/>
      <c r="JR59" s="28"/>
      <c r="JS59" s="28"/>
      <c r="JT59" s="62"/>
      <c r="JU59" s="28"/>
      <c r="JV59" s="28"/>
      <c r="JW59" s="28"/>
      <c r="JX59" s="28"/>
      <c r="JY59" s="28"/>
      <c r="JZ59" s="62"/>
      <c r="KA59" s="28"/>
      <c r="KB59" s="28"/>
      <c r="KC59" s="28"/>
      <c r="KD59" s="62"/>
      <c r="KE59" s="28"/>
      <c r="KF59" s="28"/>
      <c r="KG59" s="28"/>
      <c r="KH59" s="28"/>
      <c r="KI59" s="28"/>
      <c r="KJ59" s="28"/>
      <c r="KK59" s="28"/>
      <c r="KL59" s="28"/>
      <c r="KM59" s="28"/>
      <c r="KN59" s="62"/>
      <c r="KO59" s="28"/>
      <c r="KP59" s="28"/>
      <c r="KQ59" s="28"/>
      <c r="KR59" s="28">
        <v>4.852593255E9</v>
      </c>
      <c r="KS59" s="28"/>
      <c r="KT59" s="28"/>
      <c r="KU59" s="28"/>
      <c r="KV59" s="28"/>
      <c r="KW59" s="28"/>
      <c r="KX59" s="28"/>
      <c r="KY59" s="28"/>
      <c r="KZ59" s="28"/>
      <c r="LA59" s="28"/>
      <c r="LB59" s="28"/>
      <c r="LC59" s="28"/>
      <c r="LD59" s="28"/>
      <c r="LE59" s="62"/>
      <c r="LF59" s="28"/>
      <c r="LG59" s="28"/>
      <c r="LH59" s="28"/>
      <c r="LI59" s="28"/>
      <c r="LJ59" s="28">
        <f t="shared" si="19"/>
        <v>0</v>
      </c>
      <c r="LK59" s="110"/>
    </row>
    <row r="60">
      <c r="A60" s="49" t="s">
        <v>313</v>
      </c>
      <c r="B60" s="146">
        <v>1.371762638595E11</v>
      </c>
      <c r="C60" s="146">
        <v>1.0963664737637E11</v>
      </c>
      <c r="D60" s="147">
        <f t="shared" si="12"/>
        <v>27539616483</v>
      </c>
      <c r="E60" s="146"/>
      <c r="F60" s="146">
        <v>1.44657133163537E10</v>
      </c>
      <c r="G60" s="146">
        <v>2.644427977E9</v>
      </c>
      <c r="H60" s="146">
        <v>1.54131622E8</v>
      </c>
      <c r="I60" s="53">
        <f t="shared" si="13"/>
        <v>17264272915</v>
      </c>
      <c r="J60" s="53">
        <f t="shared" si="14"/>
        <v>10275343568</v>
      </c>
      <c r="K60" s="146"/>
      <c r="L60" s="146">
        <v>2.172990663E9</v>
      </c>
      <c r="M60" s="146">
        <v>7.314174501E9</v>
      </c>
      <c r="N60" s="52">
        <f t="shared" si="15"/>
        <v>-5141183838</v>
      </c>
      <c r="O60" s="146"/>
      <c r="P60" s="53">
        <f t="shared" si="16"/>
        <v>5134159730</v>
      </c>
      <c r="Q60" s="146"/>
      <c r="R60" s="146"/>
      <c r="S60" s="146"/>
      <c r="T60" s="53">
        <f t="shared" si="17"/>
        <v>5134159730</v>
      </c>
      <c r="U60" s="27"/>
      <c r="V60" s="28"/>
      <c r="W60" s="27"/>
      <c r="X60" s="53">
        <f t="shared" si="18"/>
        <v>5134159730</v>
      </c>
      <c r="Y60" s="27"/>
      <c r="AB60" s="27"/>
      <c r="AC60" s="27"/>
      <c r="AD60" s="28">
        <v>9.282558949E9</v>
      </c>
      <c r="AE60" s="28">
        <v>6.4342179664E10</v>
      </c>
      <c r="AF60" s="28"/>
      <c r="AG60" s="28">
        <v>-1.00319905E8</v>
      </c>
      <c r="AH60" s="28">
        <v>8.55397909E9</v>
      </c>
      <c r="AI60" s="28">
        <v>5.3146940174E10</v>
      </c>
      <c r="AJ60" s="27"/>
      <c r="AK60" s="28"/>
      <c r="AL60" s="28">
        <v>3.728106741E9</v>
      </c>
      <c r="AM60" s="28">
        <v>5.606778405E9</v>
      </c>
      <c r="AN60" s="62">
        <v>1.44560223118E11</v>
      </c>
      <c r="AO60" s="27"/>
      <c r="AP60" s="27" t="s">
        <v>295</v>
      </c>
      <c r="AQ60" s="28">
        <v>1.09344547471E11</v>
      </c>
      <c r="AR60" s="28">
        <v>4.819671202E9</v>
      </c>
      <c r="AS60" s="28"/>
      <c r="AT60" s="28"/>
      <c r="AU60" s="28">
        <v>1.361708691E9</v>
      </c>
      <c r="AV60" s="62">
        <v>1.15525927364E11</v>
      </c>
      <c r="AW60" s="62">
        <v>2.60086150481E11</v>
      </c>
      <c r="AX60" s="27"/>
      <c r="AY60" s="27"/>
      <c r="AZ60" s="27"/>
      <c r="BA60" s="28">
        <v>2.3389050206E10</v>
      </c>
      <c r="BB60" s="27"/>
      <c r="BC60" s="27" t="s">
        <v>295</v>
      </c>
      <c r="BD60" s="27" t="s">
        <v>295</v>
      </c>
      <c r="BE60" s="28">
        <v>2.929239813E9</v>
      </c>
      <c r="BF60" s="28">
        <v>1.7972973E7</v>
      </c>
      <c r="BG60" s="28"/>
      <c r="BH60" s="28"/>
      <c r="BI60" s="28">
        <v>2.249178731E9</v>
      </c>
      <c r="BJ60" s="27"/>
      <c r="BK60" s="28">
        <v>1.11970858895E11</v>
      </c>
      <c r="BL60" s="62">
        <v>1.40556300617E11</v>
      </c>
      <c r="BM60" s="27"/>
      <c r="BN60" s="27" t="s">
        <v>295</v>
      </c>
      <c r="BO60" s="28">
        <v>6.9680504E7</v>
      </c>
      <c r="BP60" s="28"/>
      <c r="BQ60" s="28">
        <v>5.983834871E9</v>
      </c>
      <c r="BR60" s="27"/>
      <c r="BS60" s="63">
        <v>6.053515375E9</v>
      </c>
      <c r="BT60" s="62">
        <v>1.46609815992E11</v>
      </c>
      <c r="BU60" s="27"/>
      <c r="BV60" s="28">
        <v>6.8245E10</v>
      </c>
      <c r="BW60" s="27" t="s">
        <v>295</v>
      </c>
      <c r="BX60" s="28">
        <v>5.12915973E9</v>
      </c>
      <c r="BY60" s="28">
        <v>3.8088897514E10</v>
      </c>
      <c r="BZ60" s="28">
        <v>-6.56444657E8</v>
      </c>
      <c r="CA60" s="27" t="s">
        <v>295</v>
      </c>
      <c r="CB60" s="28">
        <v>2.669721904E9</v>
      </c>
      <c r="CC60" s="62">
        <v>1.13476334491E11</v>
      </c>
      <c r="CD60" s="62">
        <v>2.60086150483E11</v>
      </c>
      <c r="CF60" s="49" t="s">
        <v>313</v>
      </c>
      <c r="CG60" s="27"/>
      <c r="CH60" s="98"/>
      <c r="CI60" s="98"/>
      <c r="CJ60" s="98"/>
      <c r="CK60" s="98"/>
      <c r="CL60" s="27"/>
      <c r="CM60" s="27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27"/>
      <c r="DC60" s="98"/>
      <c r="DD60" s="98"/>
      <c r="DE60" s="98"/>
      <c r="DF60" s="98"/>
      <c r="DG60" s="27"/>
      <c r="DH60" s="98"/>
      <c r="DI60" s="98"/>
      <c r="DJ60" s="98"/>
      <c r="DK60" s="98"/>
      <c r="DL60" s="98"/>
      <c r="DM60" s="98"/>
      <c r="DP60" s="64"/>
      <c r="DQ60" s="49" t="s">
        <v>313</v>
      </c>
      <c r="DR60" s="28"/>
      <c r="DS60" s="28"/>
      <c r="DT60" s="28"/>
      <c r="DU60" s="28"/>
      <c r="DV60" s="62"/>
      <c r="DW60" s="28"/>
      <c r="DX60" s="28"/>
      <c r="DY60" s="28"/>
      <c r="DZ60" s="28"/>
      <c r="EA60" s="28"/>
      <c r="EB60" s="28"/>
      <c r="EC60" s="28"/>
      <c r="ED60" s="28"/>
      <c r="EE60" s="28"/>
      <c r="EF60" s="28"/>
      <c r="EG60" s="28"/>
      <c r="EH60" s="28"/>
      <c r="EI60" s="28"/>
      <c r="EJ60" s="28"/>
      <c r="EK60" s="28"/>
      <c r="EL60" s="28"/>
      <c r="EM60" s="28"/>
      <c r="EN60" s="28"/>
      <c r="EO60" s="28"/>
      <c r="EP60" s="28"/>
      <c r="EQ60" s="28"/>
      <c r="ER60" s="28"/>
      <c r="ES60" s="28"/>
      <c r="ET60" s="28"/>
      <c r="EU60" s="28"/>
      <c r="EV60" s="28"/>
      <c r="EW60" s="28"/>
      <c r="EX60" s="28"/>
      <c r="EY60" s="28"/>
      <c r="EZ60" s="28"/>
      <c r="FA60" s="28"/>
      <c r="FB60" s="28"/>
      <c r="FC60" s="28"/>
      <c r="FD60" s="28"/>
      <c r="FE60" s="28"/>
      <c r="FF60" s="28"/>
      <c r="FG60" s="28"/>
      <c r="FH60" s="28"/>
      <c r="FI60" s="28"/>
      <c r="FJ60" s="28"/>
      <c r="FK60" s="28"/>
      <c r="FL60" s="28"/>
      <c r="FM60" s="28"/>
      <c r="FN60" s="28"/>
      <c r="FO60" s="28"/>
      <c r="FP60" s="28"/>
      <c r="FQ60" s="28"/>
      <c r="FR60" s="28"/>
      <c r="FS60" s="28"/>
      <c r="FT60" s="28"/>
      <c r="FU60" s="28"/>
      <c r="FV60" s="28"/>
      <c r="FW60" s="28"/>
      <c r="FX60" s="28"/>
      <c r="FY60" s="28"/>
      <c r="FZ60" s="28"/>
      <c r="GA60" s="28"/>
      <c r="GB60" s="28"/>
      <c r="GC60" s="28"/>
      <c r="GD60" s="28"/>
      <c r="GE60" s="28"/>
      <c r="GF60" s="28"/>
      <c r="GG60" s="28"/>
      <c r="GH60" s="28"/>
      <c r="GI60" s="28"/>
      <c r="GJ60" s="28"/>
      <c r="GK60" s="28"/>
      <c r="GL60" s="28"/>
      <c r="GM60" s="62"/>
      <c r="GN60" s="28"/>
      <c r="GO60" s="28"/>
      <c r="GP60" s="28"/>
      <c r="LE60" s="27"/>
      <c r="LF60" s="27"/>
      <c r="LG60" s="27"/>
      <c r="LH60" s="27"/>
      <c r="LI60" s="27"/>
      <c r="LJ60" s="27"/>
      <c r="LK60" s="110"/>
    </row>
    <row r="61">
      <c r="A61" s="49" t="s">
        <v>316</v>
      </c>
      <c r="B61" s="146">
        <v>1.53676084638756E11</v>
      </c>
      <c r="C61" s="146">
        <v>1.23270191308567E11</v>
      </c>
      <c r="D61" s="147">
        <f t="shared" si="12"/>
        <v>30405893330</v>
      </c>
      <c r="E61" s="146"/>
      <c r="F61" s="146">
        <v>1.6274541034173E10</v>
      </c>
      <c r="G61" s="146">
        <v>2.998872307E9</v>
      </c>
      <c r="H61" s="146">
        <v>3.849194217E8</v>
      </c>
      <c r="I61" s="53">
        <f t="shared" si="13"/>
        <v>19658332763</v>
      </c>
      <c r="J61" s="53">
        <f t="shared" si="14"/>
        <v>10747560567</v>
      </c>
      <c r="K61" s="146"/>
      <c r="L61" s="146">
        <v>2.20353022233749E9</v>
      </c>
      <c r="M61" s="146">
        <v>8.50512664443699E9</v>
      </c>
      <c r="N61" s="52">
        <f t="shared" si="15"/>
        <v>-6301596422</v>
      </c>
      <c r="O61" s="146"/>
      <c r="P61" s="53">
        <f t="shared" si="16"/>
        <v>4445964145</v>
      </c>
      <c r="Q61" s="146"/>
      <c r="R61" s="146"/>
      <c r="S61" s="146"/>
      <c r="T61" s="53">
        <f t="shared" si="17"/>
        <v>4445964145</v>
      </c>
      <c r="U61" s="27"/>
      <c r="V61" s="28"/>
      <c r="W61" s="27"/>
      <c r="X61" s="53">
        <f t="shared" si="18"/>
        <v>4445964145</v>
      </c>
      <c r="Y61" s="27"/>
      <c r="AB61" s="67"/>
      <c r="AC61" s="67"/>
      <c r="AD61" s="92">
        <v>9.707484302E9</v>
      </c>
      <c r="AE61" s="92">
        <v>4.7857623182E10</v>
      </c>
      <c r="AF61" s="92"/>
      <c r="AG61" s="92">
        <v>-1.00319905E8</v>
      </c>
      <c r="AH61" s="92">
        <v>8.277072882E9</v>
      </c>
      <c r="AI61" s="92">
        <v>5.4064469311E10</v>
      </c>
      <c r="AJ61" s="92"/>
      <c r="AK61" s="92"/>
      <c r="AL61" s="92">
        <v>5.13141945E9</v>
      </c>
      <c r="AM61" s="92">
        <v>6.36186475E9</v>
      </c>
      <c r="AN61" s="95">
        <v>1.31299613971E11</v>
      </c>
      <c r="AO61" s="92"/>
      <c r="AP61" s="92" t="s">
        <v>295</v>
      </c>
      <c r="AQ61" s="92">
        <v>1.1244205509E11</v>
      </c>
      <c r="AR61" s="92">
        <v>4.797587279E9</v>
      </c>
      <c r="AS61" s="92"/>
      <c r="AT61" s="92"/>
      <c r="AU61" s="92">
        <v>1.361708691E9</v>
      </c>
      <c r="AV61" s="95">
        <v>1.18601351061E11</v>
      </c>
      <c r="AW61" s="95">
        <v>2.49900965032E11</v>
      </c>
      <c r="AX61" s="92"/>
      <c r="AY61" s="92"/>
      <c r="AZ61" s="92"/>
      <c r="BA61" s="92">
        <v>1.711033979E10</v>
      </c>
      <c r="BB61" s="92"/>
      <c r="BC61" s="92">
        <v>0.0</v>
      </c>
      <c r="BD61" s="92" t="s">
        <v>295</v>
      </c>
      <c r="BE61" s="92">
        <v>2.363787873E9</v>
      </c>
      <c r="BF61" s="92">
        <v>1.65E7</v>
      </c>
      <c r="BG61" s="92"/>
      <c r="BH61" s="92"/>
      <c r="BI61" s="92">
        <v>2.263494684E9</v>
      </c>
      <c r="BJ61" s="92" t="s">
        <v>295</v>
      </c>
      <c r="BK61" s="92">
        <v>1.11970858895E11</v>
      </c>
      <c r="BL61" s="95">
        <v>1.33724981242E11</v>
      </c>
      <c r="BM61" s="92"/>
      <c r="BN61" s="92">
        <v>4.986517807E9</v>
      </c>
      <c r="BO61" s="92">
        <v>5.2424504E7</v>
      </c>
      <c r="BP61" s="92" t="s">
        <v>295</v>
      </c>
      <c r="BQ61" s="92">
        <v>5.983834871E9</v>
      </c>
      <c r="BR61" s="92" t="s">
        <v>295</v>
      </c>
      <c r="BS61" s="96">
        <v>1.1022777182E10</v>
      </c>
      <c r="BT61" s="95">
        <v>1.44747758424E11</v>
      </c>
      <c r="BU61" s="92"/>
      <c r="BV61" s="92">
        <v>6.8245E10</v>
      </c>
      <c r="BW61" s="92" t="s">
        <v>295</v>
      </c>
      <c r="BX61" s="92">
        <v>4.440964145E9</v>
      </c>
      <c r="BY61" s="92">
        <v>3.8088897514E10</v>
      </c>
      <c r="BZ61" s="92">
        <v>-6.56444657E8</v>
      </c>
      <c r="CA61" s="92" t="s">
        <v>295</v>
      </c>
      <c r="CB61" s="28">
        <v>2.669721904E9</v>
      </c>
      <c r="CC61" s="62">
        <v>1.12788138906E11</v>
      </c>
      <c r="CD61" s="62">
        <v>2.5753589733E11</v>
      </c>
      <c r="CF61" s="49" t="s">
        <v>316</v>
      </c>
      <c r="CG61" s="27"/>
      <c r="CH61" s="98"/>
      <c r="CI61" s="98"/>
      <c r="CJ61" s="98"/>
      <c r="CK61" s="98"/>
      <c r="CL61" s="27"/>
      <c r="CM61" s="27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27"/>
      <c r="DC61" s="98"/>
      <c r="DD61" s="98"/>
      <c r="DE61" s="98"/>
      <c r="DF61" s="98"/>
      <c r="DG61" s="27"/>
      <c r="DH61" s="98"/>
      <c r="DI61" s="98"/>
      <c r="DJ61" s="98"/>
      <c r="DK61" s="98"/>
      <c r="DL61" s="98"/>
      <c r="DM61" s="98"/>
      <c r="DP61" s="64"/>
      <c r="DQ61" s="49" t="s">
        <v>316</v>
      </c>
      <c r="DR61" s="28"/>
      <c r="DS61" s="28"/>
      <c r="DT61" s="28">
        <v>-7.882E7</v>
      </c>
      <c r="DU61" s="28">
        <v>-243750.0</v>
      </c>
      <c r="DV61" s="62">
        <v>1.53797596984E11</v>
      </c>
      <c r="DW61" s="28"/>
      <c r="DX61" s="28"/>
      <c r="DY61" s="28">
        <v>1.08006541675E11</v>
      </c>
      <c r="DZ61" s="28"/>
      <c r="EA61" s="28">
        <v>4.60785E8</v>
      </c>
      <c r="EB61" s="28">
        <v>3.99417E7</v>
      </c>
      <c r="EC61" s="28"/>
      <c r="ED61" s="28"/>
      <c r="EE61" s="28">
        <v>1.025761034E9</v>
      </c>
      <c r="EF61" s="28">
        <v>4.7486547E7</v>
      </c>
      <c r="EG61" s="28">
        <v>6.3037593E7</v>
      </c>
      <c r="EH61" s="28">
        <v>2.7687823E7</v>
      </c>
      <c r="EI61" s="28">
        <v>2.3200173E7</v>
      </c>
      <c r="EJ61" s="28">
        <v>2.5307012E7</v>
      </c>
      <c r="EK61" s="28">
        <v>5.4402203E7</v>
      </c>
      <c r="EL61" s="28">
        <v>9.2172226E7</v>
      </c>
      <c r="EM61" s="28">
        <v>2.12946196E8</v>
      </c>
      <c r="EN61" s="28"/>
      <c r="EO61" s="28">
        <v>3.07699014E8</v>
      </c>
      <c r="EP61" s="28">
        <v>-6806106.0</v>
      </c>
      <c r="EQ61" s="28"/>
      <c r="ER61" s="28">
        <v>1.345144443E9</v>
      </c>
      <c r="ES61" s="28">
        <v>2.561075E8</v>
      </c>
      <c r="ET61" s="28">
        <v>1.1601398206E10</v>
      </c>
      <c r="EU61" s="28"/>
      <c r="EV61" s="28">
        <v>7.3558741E7</v>
      </c>
      <c r="EW61" s="28">
        <v>6.1289761E7</v>
      </c>
      <c r="EX61" s="28">
        <v>1.5707036E8</v>
      </c>
      <c r="EY61" s="28">
        <v>8.44772762E8</v>
      </c>
      <c r="EZ61" s="28">
        <v>1.813032835E9</v>
      </c>
      <c r="FA61" s="28">
        <v>9.3915671E7</v>
      </c>
      <c r="FB61" s="28"/>
      <c r="FC61" s="28">
        <v>1.364232E8</v>
      </c>
      <c r="FD61" s="28">
        <v>3.11962877E8</v>
      </c>
      <c r="FE61" s="28">
        <v>2.35288037E8</v>
      </c>
      <c r="FF61" s="28">
        <v>1.900541222E9</v>
      </c>
      <c r="FG61" s="28">
        <v>1.5442738E8</v>
      </c>
      <c r="FI61" s="28">
        <v>3.5744917E7</v>
      </c>
      <c r="FJ61" s="28">
        <v>1.70334253E8</v>
      </c>
      <c r="FL61" s="28">
        <v>1.04167814E8</v>
      </c>
      <c r="FM61" s="28">
        <v>1.32163891E8</v>
      </c>
      <c r="FN61" s="28"/>
      <c r="FO61" s="28">
        <v>1.00849006E8</v>
      </c>
      <c r="FP61" s="28"/>
      <c r="FQ61" s="193">
        <v>1.93281E14</v>
      </c>
      <c r="FR61" s="28"/>
      <c r="FS61" s="28"/>
      <c r="FT61" s="110">
        <v>1608000.0</v>
      </c>
      <c r="FU61" s="110">
        <v>1.1317E7</v>
      </c>
      <c r="FV61" s="110">
        <v>1.14234895E8</v>
      </c>
      <c r="FW61" s="110">
        <v>4.6837341E7</v>
      </c>
      <c r="FX61" s="28"/>
      <c r="FY61" s="28"/>
      <c r="FZ61" s="28"/>
      <c r="GA61" s="28"/>
      <c r="GB61" s="28"/>
      <c r="GC61" s="28"/>
      <c r="GD61" s="28"/>
      <c r="GE61" s="28"/>
      <c r="GF61" s="28"/>
      <c r="GG61" s="28"/>
      <c r="GH61" s="28"/>
      <c r="GI61" s="28"/>
      <c r="GJ61" s="28"/>
      <c r="GK61" s="28"/>
      <c r="GL61" s="28"/>
      <c r="GM61" s="62">
        <v>1.30082545483E11</v>
      </c>
      <c r="GN61" s="28"/>
      <c r="GO61" s="28"/>
      <c r="GP61" s="28"/>
      <c r="GQ61" s="28">
        <v>5.88347906E8</v>
      </c>
      <c r="GR61" s="28">
        <v>3.9406433E7</v>
      </c>
      <c r="GS61" s="28">
        <v>4.2480282E7</v>
      </c>
      <c r="GT61" s="28">
        <v>1.00494252E8</v>
      </c>
      <c r="GU61" s="28">
        <v>5.14310325E8</v>
      </c>
      <c r="GV61" s="28">
        <v>2.15841953E8</v>
      </c>
      <c r="GW61" s="28">
        <v>1.08508599E8</v>
      </c>
      <c r="GX61" s="28">
        <v>1.229225784E9</v>
      </c>
      <c r="GY61" s="28">
        <v>1.506986719E9</v>
      </c>
      <c r="GZ61" s="28">
        <v>4.12751534E9</v>
      </c>
      <c r="HA61" s="28"/>
      <c r="HB61" s="28"/>
      <c r="HC61" s="28">
        <v>1.37516422E8</v>
      </c>
      <c r="HD61" s="28"/>
      <c r="HE61" s="28"/>
      <c r="HF61" s="28">
        <v>1.132314778E9</v>
      </c>
      <c r="HG61" s="28">
        <v>1.89950077E8</v>
      </c>
      <c r="HH61" s="28">
        <v>3.94830706E8</v>
      </c>
      <c r="HI61" s="28">
        <v>7.887858E7</v>
      </c>
      <c r="HJ61" s="28">
        <v>7.74886067E8</v>
      </c>
      <c r="HK61" s="28">
        <v>4491653.0</v>
      </c>
      <c r="HL61" s="28">
        <v>6947500.0</v>
      </c>
      <c r="HM61" s="28"/>
      <c r="HN61" s="28">
        <v>1.6581312E7</v>
      </c>
      <c r="HO61" s="28">
        <v>1.92435016E8</v>
      </c>
      <c r="HP61" s="28">
        <v>4.5129588E7</v>
      </c>
      <c r="HQ61" s="28">
        <v>1.572084274E9</v>
      </c>
      <c r="HR61" s="28">
        <v>3.66337E7</v>
      </c>
      <c r="HS61" s="28"/>
      <c r="HT61" s="28">
        <v>1.72057126E8</v>
      </c>
      <c r="HU61" s="28">
        <v>2.80390151E8</v>
      </c>
      <c r="HV61" s="28">
        <v>3.446547E7</v>
      </c>
      <c r="HW61" s="28">
        <v>1.135975E8</v>
      </c>
      <c r="HX61" s="28">
        <v>3.10092694E8</v>
      </c>
      <c r="HY61" s="28">
        <v>1.41175335E8</v>
      </c>
      <c r="HZ61" s="28">
        <v>2.2105116E7</v>
      </c>
      <c r="IA61" s="28">
        <v>1.8926917E7</v>
      </c>
      <c r="IB61" s="28">
        <v>8340800.0</v>
      </c>
      <c r="IC61" s="28">
        <v>5.9236631E7</v>
      </c>
      <c r="ID61" s="28">
        <v>3.5835607E7</v>
      </c>
      <c r="IE61" s="28">
        <v>8.5788932E7</v>
      </c>
      <c r="IF61" s="28">
        <v>2.071234E7</v>
      </c>
      <c r="IG61" s="28">
        <v>1.02752056E8</v>
      </c>
      <c r="IH61" s="28">
        <v>1.9802721E7</v>
      </c>
      <c r="II61" s="28"/>
      <c r="IJ61" s="28"/>
      <c r="IK61" s="28">
        <v>1.4018909E8</v>
      </c>
      <c r="IL61" s="28">
        <v>1.8533975E7</v>
      </c>
      <c r="IM61" s="28">
        <v>7.4678877E8</v>
      </c>
      <c r="IN61" s="28"/>
      <c r="IO61" s="28">
        <v>1.57125755E8</v>
      </c>
      <c r="IP61" s="28">
        <v>1.184557E8</v>
      </c>
      <c r="IQ61" s="28">
        <v>2688000.0</v>
      </c>
      <c r="IR61" s="28"/>
      <c r="IS61" s="28">
        <v>2.7626235E7</v>
      </c>
      <c r="IT61" s="28">
        <v>1.06196209E8</v>
      </c>
      <c r="IU61" s="28"/>
      <c r="IV61" s="28">
        <v>9.728E7</v>
      </c>
      <c r="IW61" s="28"/>
      <c r="IX61" s="28">
        <v>3.54825E7</v>
      </c>
      <c r="IY61" s="28"/>
      <c r="IZ61" s="28"/>
      <c r="JA61" s="28"/>
      <c r="JB61" s="28">
        <v>6.8205E7</v>
      </c>
      <c r="JC61" s="28">
        <v>3.54814357E8</v>
      </c>
      <c r="JD61" s="28">
        <v>1.244E7</v>
      </c>
      <c r="JE61" s="28">
        <v>5.8532239E7</v>
      </c>
      <c r="JF61" s="28"/>
      <c r="JG61" s="28"/>
      <c r="JH61" s="28">
        <v>3.0905833E7</v>
      </c>
      <c r="JI61" s="28">
        <v>310000.0</v>
      </c>
      <c r="JJ61" s="28">
        <v>6500000.0</v>
      </c>
      <c r="JK61" s="28">
        <v>3.225E7</v>
      </c>
      <c r="JL61" s="28"/>
      <c r="JM61" s="28"/>
      <c r="JN61" s="28"/>
      <c r="JO61" s="28"/>
      <c r="JP61" s="28"/>
      <c r="JQ61" s="28"/>
      <c r="JR61" s="28"/>
      <c r="JS61" s="28"/>
      <c r="JT61" s="62">
        <v>1.6495400325E10</v>
      </c>
      <c r="JU61" s="28"/>
      <c r="JV61" s="28"/>
      <c r="JW61" s="28">
        <v>1.839947921E9</v>
      </c>
      <c r="JX61" s="28">
        <v>1.29509E8</v>
      </c>
      <c r="JY61" s="28">
        <v>2.51985E7</v>
      </c>
      <c r="JZ61" s="62">
        <v>1.994655421E9</v>
      </c>
      <c r="KA61" s="28"/>
      <c r="KB61" s="28"/>
      <c r="KC61" s="28">
        <v>4.13519909E8</v>
      </c>
      <c r="KD61" s="62">
        <v>4.13519909E8</v>
      </c>
      <c r="KE61" s="28"/>
      <c r="KF61" s="28"/>
      <c r="KG61" s="28">
        <v>5.1501721E7</v>
      </c>
      <c r="KH61" s="28">
        <v>1.657035617E9</v>
      </c>
      <c r="KI61" s="28">
        <v>4.73439697E8</v>
      </c>
      <c r="KJ61" s="28">
        <v>6705900.0</v>
      </c>
      <c r="KK61" s="28">
        <v>26314.0</v>
      </c>
      <c r="KL61" s="28"/>
      <c r="KM61" s="28">
        <v>1.2E7</v>
      </c>
      <c r="KN61" s="62">
        <v>2.20070925E9</v>
      </c>
      <c r="KO61" s="28"/>
      <c r="KP61" s="28"/>
      <c r="KQ61" s="28">
        <v>3.8671127E7</v>
      </c>
      <c r="KR61" s="28">
        <v>6.706224303E9</v>
      </c>
      <c r="KS61" s="28"/>
      <c r="KT61" s="28">
        <v>3.19943377E8</v>
      </c>
      <c r="KU61" s="28">
        <v>1.0E8</v>
      </c>
      <c r="KV61" s="28">
        <v>3.37312433E8</v>
      </c>
      <c r="KW61" s="28">
        <v>5582.0</v>
      </c>
      <c r="KX61" s="28"/>
      <c r="KY61" s="28">
        <v>1.08001E7</v>
      </c>
      <c r="KZ61" s="28">
        <v>8.8E8</v>
      </c>
      <c r="LA61" s="28">
        <v>1815000.0</v>
      </c>
      <c r="LB61" s="28">
        <v>1.0326E8</v>
      </c>
      <c r="LC61" s="28"/>
      <c r="LD61" s="28"/>
      <c r="LE61" s="62">
        <v>8.498031922E9</v>
      </c>
      <c r="LF61" s="28"/>
      <c r="LG61" s="28"/>
      <c r="LH61" s="28"/>
      <c r="LI61" s="28"/>
      <c r="LJ61" s="28">
        <f t="shared" ref="LJ61:LJ66" si="20">LE61+KD61+JZ61+JT61</f>
        <v>27401607577</v>
      </c>
      <c r="LK61" s="110"/>
    </row>
    <row r="62">
      <c r="A62" s="49" t="s">
        <v>318</v>
      </c>
      <c r="B62" s="146">
        <v>1.89230964068314E11</v>
      </c>
      <c r="C62" s="146">
        <v>1.51498148524749E11</v>
      </c>
      <c r="D62" s="147">
        <f t="shared" si="12"/>
        <v>37732815544</v>
      </c>
      <c r="E62" s="146"/>
      <c r="F62" s="146">
        <v>1.83217296288297E10</v>
      </c>
      <c r="G62" s="146">
        <v>3.234791625E9</v>
      </c>
      <c r="H62" s="146">
        <v>4.741574217E8</v>
      </c>
      <c r="I62" s="53">
        <f t="shared" si="13"/>
        <v>22030678676</v>
      </c>
      <c r="J62" s="53">
        <f t="shared" si="14"/>
        <v>15702136868</v>
      </c>
      <c r="K62" s="146"/>
      <c r="L62" s="146">
        <v>2.38622043518344E9</v>
      </c>
      <c r="M62" s="146">
        <v>9.73794539576365E9</v>
      </c>
      <c r="N62" s="52">
        <f t="shared" si="15"/>
        <v>-7351724961</v>
      </c>
      <c r="O62" s="146"/>
      <c r="P62" s="53">
        <f t="shared" si="16"/>
        <v>8350411907</v>
      </c>
      <c r="Q62" s="146"/>
      <c r="R62" s="146"/>
      <c r="S62" s="146"/>
      <c r="T62" s="53">
        <f t="shared" si="17"/>
        <v>8350411907</v>
      </c>
      <c r="U62" s="27"/>
      <c r="V62" s="28"/>
      <c r="W62" s="27"/>
      <c r="X62" s="53">
        <f t="shared" si="18"/>
        <v>8350411907</v>
      </c>
      <c r="Y62" s="27"/>
      <c r="AB62" s="27"/>
      <c r="AC62" s="27"/>
      <c r="AD62" s="28">
        <v>8.714244528E9</v>
      </c>
      <c r="AE62" s="28">
        <v>4.2098796324E10</v>
      </c>
      <c r="AF62" s="28"/>
      <c r="AG62" s="28">
        <v>-1.00319905E8</v>
      </c>
      <c r="AH62" s="28">
        <v>8.793905498E9</v>
      </c>
      <c r="AI62" s="28">
        <v>6.2063383425E10</v>
      </c>
      <c r="AJ62" s="27"/>
      <c r="AK62" s="28"/>
      <c r="AL62" s="28">
        <v>7.925004232E9</v>
      </c>
      <c r="AM62" s="28">
        <v>9.878624436E9</v>
      </c>
      <c r="AN62" s="62">
        <v>1.39373638538E11</v>
      </c>
      <c r="AO62" s="27"/>
      <c r="AP62" s="27" t="s">
        <v>295</v>
      </c>
      <c r="AQ62" s="28">
        <v>1.14755418765E11</v>
      </c>
      <c r="AR62" s="28">
        <v>4.80683669E9</v>
      </c>
      <c r="AS62" s="28"/>
      <c r="AT62" s="28"/>
      <c r="AU62" s="28">
        <v>1.361708691E9</v>
      </c>
      <c r="AV62" s="62">
        <v>1.20923964146E11</v>
      </c>
      <c r="AW62" s="62">
        <v>2.60297602684E11</v>
      </c>
      <c r="AX62" s="27"/>
      <c r="AY62" s="27"/>
      <c r="AZ62" s="27"/>
      <c r="BA62" s="28">
        <v>2.1500769351E10</v>
      </c>
      <c r="BB62" s="27"/>
      <c r="BC62" s="27" t="s">
        <v>295</v>
      </c>
      <c r="BD62" s="27" t="s">
        <v>295</v>
      </c>
      <c r="BE62" s="28">
        <v>4.870153694E9</v>
      </c>
      <c r="BF62" s="28">
        <v>5.9945946E7</v>
      </c>
      <c r="BG62" s="28"/>
      <c r="BH62" s="28"/>
      <c r="BI62" s="28">
        <v>2.195168548E9</v>
      </c>
      <c r="BJ62" s="27" t="s">
        <v>295</v>
      </c>
      <c r="BK62" s="28">
        <v>1.03973704301E11</v>
      </c>
      <c r="BL62" s="62">
        <v>1.32599741839E11</v>
      </c>
      <c r="BM62" s="27"/>
      <c r="BN62" s="28">
        <v>4.986517807E9</v>
      </c>
      <c r="BO62" s="28">
        <v>3.49215E7</v>
      </c>
      <c r="BP62" s="27" t="s">
        <v>295</v>
      </c>
      <c r="BQ62" s="28">
        <v>5.983834871E9</v>
      </c>
      <c r="BR62" s="27" t="s">
        <v>295</v>
      </c>
      <c r="BS62" s="63">
        <v>1.1005274178E10</v>
      </c>
      <c r="BT62" s="62">
        <v>1.43605016017E11</v>
      </c>
      <c r="BU62" s="27"/>
      <c r="BV62" s="28">
        <v>6.8245E10</v>
      </c>
      <c r="BW62" s="27" t="s">
        <v>295</v>
      </c>
      <c r="BX62" s="28">
        <v>8.345411907E9</v>
      </c>
      <c r="BY62" s="28">
        <v>3.8088897514E10</v>
      </c>
      <c r="BZ62" s="28">
        <v>-6.56444657E8</v>
      </c>
      <c r="CA62" s="27" t="s">
        <v>295</v>
      </c>
      <c r="CB62" s="28">
        <v>2.669721904E9</v>
      </c>
      <c r="CC62" s="62">
        <v>1.16692586668E11</v>
      </c>
      <c r="CD62" s="62">
        <v>2.60297602686E11</v>
      </c>
      <c r="CF62" s="49" t="s">
        <v>318</v>
      </c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P62" s="64"/>
      <c r="DQ62" s="49" t="s">
        <v>318</v>
      </c>
      <c r="DR62" s="28">
        <v>1.89440525163E11</v>
      </c>
      <c r="DS62" s="28"/>
      <c r="DT62" s="28">
        <v>-2.09317345E8</v>
      </c>
      <c r="DU62" s="28">
        <v>-243750.0</v>
      </c>
      <c r="DV62" s="62">
        <v>1.89230964068E11</v>
      </c>
      <c r="DW62" s="28"/>
      <c r="DX62" s="28"/>
      <c r="DY62" s="28">
        <v>1.34809653663E11</v>
      </c>
      <c r="DZ62" s="28"/>
      <c r="EA62" s="28">
        <v>4.60785E8</v>
      </c>
      <c r="EB62" s="28">
        <v>5.11422E7</v>
      </c>
      <c r="EC62" s="28"/>
      <c r="ED62" s="28"/>
      <c r="EE62" s="28">
        <v>1.175858044E9</v>
      </c>
      <c r="EF62" s="28">
        <v>4.8989272E7</v>
      </c>
      <c r="EG62" s="28">
        <v>6.5747982E7</v>
      </c>
      <c r="EH62" s="28">
        <v>3.3048598E7</v>
      </c>
      <c r="EI62" s="28">
        <v>2.3988066E7</v>
      </c>
      <c r="EJ62" s="28">
        <v>2.7076624E7</v>
      </c>
      <c r="EK62" s="28">
        <v>6.1178842E7</v>
      </c>
      <c r="EL62" s="28">
        <v>1.467422E8</v>
      </c>
      <c r="EM62" s="28">
        <v>2.43554284E8</v>
      </c>
      <c r="EO62" s="28">
        <v>3.49921463E8</v>
      </c>
      <c r="EP62" s="28">
        <v>-3051700.0</v>
      </c>
      <c r="EQ62" s="28"/>
      <c r="ER62" s="28">
        <v>1.570184385E9</v>
      </c>
      <c r="ES62" s="28">
        <v>3.17385E8</v>
      </c>
      <c r="ET62" s="28">
        <v>1.358276764E10</v>
      </c>
      <c r="EU62" s="28"/>
      <c r="EV62" s="28">
        <v>7.6215816E7</v>
      </c>
      <c r="EW62" s="28">
        <v>7.6649778E7</v>
      </c>
      <c r="EX62" s="28">
        <v>1.78805258E8</v>
      </c>
      <c r="EY62" s="28">
        <v>9.56663898E8</v>
      </c>
      <c r="EZ62" s="28">
        <v>2.090504104E9</v>
      </c>
      <c r="FA62" s="28">
        <v>1.00482409E8</v>
      </c>
      <c r="FB62" s="28">
        <v>-1603658.0</v>
      </c>
      <c r="FC62" s="28">
        <v>1.50134575E8</v>
      </c>
      <c r="FD62" s="28">
        <v>3.79556183E8</v>
      </c>
      <c r="FE62" s="28">
        <v>2.7489842E8</v>
      </c>
      <c r="FF62" s="28">
        <v>1.901106928E9</v>
      </c>
      <c r="FG62" s="28">
        <v>1.81959996E8</v>
      </c>
      <c r="FH62" s="28"/>
      <c r="FI62" s="28">
        <v>6.3119917E7</v>
      </c>
      <c r="FJ62" s="28">
        <v>2.17282513E8</v>
      </c>
      <c r="FK62" s="28"/>
      <c r="FL62" s="28">
        <v>1.08805069E8</v>
      </c>
      <c r="FM62" s="28">
        <v>1.35547007E8</v>
      </c>
      <c r="FN62" s="28"/>
      <c r="FO62" s="28">
        <v>1.27788021E8</v>
      </c>
      <c r="FP62" s="28"/>
      <c r="FQ62" s="28">
        <v>6.0273382E7</v>
      </c>
      <c r="FR62" s="28"/>
      <c r="FS62" s="28"/>
      <c r="FT62" s="28">
        <v>1608000.0</v>
      </c>
      <c r="FU62" s="28">
        <v>1.1317E7</v>
      </c>
      <c r="FV62" s="28">
        <v>1.70752939E8</v>
      </c>
      <c r="FW62" s="28">
        <v>6.1858945E7</v>
      </c>
      <c r="FX62" s="28"/>
      <c r="FY62" s="28">
        <v>5951250.0</v>
      </c>
      <c r="FZ62" s="28"/>
      <c r="GA62" s="28"/>
      <c r="GB62" s="28"/>
      <c r="GC62" s="28"/>
      <c r="GD62" s="28"/>
      <c r="GE62" s="28"/>
      <c r="GF62" s="28"/>
      <c r="GG62" s="28"/>
      <c r="GH62" s="28"/>
      <c r="GI62" s="28"/>
      <c r="GJ62" s="28"/>
      <c r="GK62" s="28"/>
      <c r="GL62" s="28"/>
      <c r="GM62" s="62">
        <v>1.60294649313E11</v>
      </c>
      <c r="GN62" s="28"/>
      <c r="GO62" s="28"/>
      <c r="GP62" s="28"/>
      <c r="GQ62" s="28">
        <v>6.24156979E8</v>
      </c>
      <c r="GR62" s="28">
        <v>1.17323099E8</v>
      </c>
      <c r="GS62" s="28">
        <v>4.4134982E7</v>
      </c>
      <c r="GT62" s="28">
        <v>1.03843252E8</v>
      </c>
      <c r="GU62" s="28">
        <v>5.95112097E8</v>
      </c>
      <c r="GV62" s="28">
        <v>2.48669519E8</v>
      </c>
      <c r="GW62" s="28">
        <v>1.24192209E8</v>
      </c>
      <c r="GX62" s="28">
        <v>1.415499098E9</v>
      </c>
      <c r="GY62" s="28">
        <v>1.793186414E9</v>
      </c>
      <c r="GZ62" s="28">
        <v>4.673042304E9</v>
      </c>
      <c r="HC62" s="28">
        <v>1.54566635E8</v>
      </c>
      <c r="HD62" s="28"/>
      <c r="HE62" s="28"/>
      <c r="HF62" s="28">
        <v>1.132314778E9</v>
      </c>
      <c r="HG62" s="28">
        <v>2.19038735E8</v>
      </c>
      <c r="HH62" s="28">
        <v>4.60611321E8</v>
      </c>
      <c r="HI62" s="28">
        <v>8.210358E7</v>
      </c>
      <c r="HJ62" s="28">
        <v>9.28229683E8</v>
      </c>
      <c r="HK62" s="28">
        <v>4491653.0</v>
      </c>
      <c r="HL62" s="28">
        <v>6947500.0</v>
      </c>
      <c r="HM62" s="28"/>
      <c r="HN62" s="28">
        <v>2.072664E7</v>
      </c>
      <c r="HO62" s="28">
        <v>2.41441439E8</v>
      </c>
      <c r="HP62" s="28">
        <v>6.2997496E7</v>
      </c>
      <c r="HQ62" s="28">
        <v>1.639899751E9</v>
      </c>
      <c r="HR62" s="28">
        <v>3.66337E7</v>
      </c>
      <c r="HT62" s="28">
        <v>1.90001574E8</v>
      </c>
      <c r="HU62" s="28">
        <v>2.86290151E8</v>
      </c>
      <c r="HV62" s="28">
        <v>3.473171E7</v>
      </c>
      <c r="HW62" s="28">
        <v>1.135975E8</v>
      </c>
      <c r="HX62" s="28">
        <v>3.10092694E8</v>
      </c>
      <c r="HY62" s="28">
        <v>1.4479529E8</v>
      </c>
      <c r="HZ62" s="28">
        <v>2.4264404E7</v>
      </c>
      <c r="IA62" s="28">
        <v>2.4589437E7</v>
      </c>
      <c r="IB62" s="28">
        <v>9272800.0</v>
      </c>
      <c r="IC62" s="28">
        <v>6.0342831E7</v>
      </c>
      <c r="ID62" s="28">
        <v>4.0327407E7</v>
      </c>
      <c r="IE62" s="28">
        <v>9.7728095E7</v>
      </c>
      <c r="IF62" s="28">
        <v>2.4445434E7</v>
      </c>
      <c r="IG62" s="28">
        <v>1.16008056E8</v>
      </c>
      <c r="IH62" s="28">
        <v>2.2802721E7</v>
      </c>
      <c r="II62" s="28"/>
      <c r="IJ62" s="28"/>
      <c r="IK62" s="28">
        <v>1.70685124E8</v>
      </c>
      <c r="IL62" s="28">
        <v>2.0117317E7</v>
      </c>
      <c r="IM62" s="28">
        <v>8.34318008E8</v>
      </c>
      <c r="IN62" s="28"/>
      <c r="IO62" s="28">
        <v>2.96835755E8</v>
      </c>
      <c r="IP62" s="28">
        <v>1.184557E8</v>
      </c>
      <c r="IQ62" s="28">
        <v>2848000.0</v>
      </c>
      <c r="IR62" s="28"/>
      <c r="IS62" s="28">
        <v>2.7626235E7</v>
      </c>
      <c r="IT62" s="28">
        <v>1.8020702E8</v>
      </c>
      <c r="IU62" s="28"/>
      <c r="IV62" s="28">
        <v>9.728E7</v>
      </c>
      <c r="IW62" s="28"/>
      <c r="IX62" s="28">
        <v>3.54825E7</v>
      </c>
      <c r="IY62" s="28"/>
      <c r="IZ62" s="28"/>
      <c r="JA62" s="28"/>
      <c r="JB62" s="28">
        <v>9.5967E7</v>
      </c>
      <c r="JC62" s="28">
        <v>3.54814357E8</v>
      </c>
      <c r="JD62" s="28">
        <v>1.244E7</v>
      </c>
      <c r="JE62" s="28">
        <v>6.2125161E7</v>
      </c>
      <c r="JF62" s="28"/>
      <c r="JG62" s="28"/>
      <c r="JH62" s="28">
        <v>3.7460417E7</v>
      </c>
      <c r="JI62" s="28">
        <v>2410000.0</v>
      </c>
      <c r="JJ62" s="28">
        <v>6500000.0</v>
      </c>
      <c r="JK62" s="28">
        <v>3.225E7</v>
      </c>
      <c r="JL62" s="28"/>
      <c r="JM62" s="28"/>
      <c r="JN62" s="28"/>
      <c r="JO62" s="28"/>
      <c r="JP62" s="28"/>
      <c r="JQ62" s="28"/>
      <c r="JR62" s="28"/>
      <c r="JS62" s="28"/>
      <c r="JT62" s="62">
        <v>1.8616275562E10</v>
      </c>
      <c r="JU62" s="28"/>
      <c r="JV62" s="28"/>
      <c r="JW62" s="28">
        <v>2.167237703E9</v>
      </c>
      <c r="JX62" s="28">
        <v>1.6487482E8</v>
      </c>
      <c r="JY62" s="28">
        <v>2.51985E7</v>
      </c>
      <c r="JZ62" s="62">
        <v>2.357311023E9</v>
      </c>
      <c r="KA62" s="28"/>
      <c r="KB62" s="28"/>
      <c r="KC62" s="28">
        <v>5.25971423E8</v>
      </c>
      <c r="KD62" s="62">
        <v>5.25971423E8</v>
      </c>
      <c r="KE62" s="28"/>
      <c r="KF62" s="28"/>
      <c r="KG62" s="28">
        <v>5.5690098E7</v>
      </c>
      <c r="KH62" s="28">
        <v>1.671759152E9</v>
      </c>
      <c r="KI62" s="28">
        <v>6.37217777E8</v>
      </c>
      <c r="KJ62" s="28">
        <v>6705900.0</v>
      </c>
      <c r="KK62" s="28">
        <v>26536.0</v>
      </c>
      <c r="KM62" s="28">
        <v>1.2E7</v>
      </c>
      <c r="KN62" s="62">
        <v>2.383399462E9</v>
      </c>
      <c r="KO62" s="28"/>
      <c r="KP62" s="28"/>
      <c r="KQ62" s="28">
        <v>4.4147829E7</v>
      </c>
      <c r="KR62" s="194">
        <v>8.505102979E9</v>
      </c>
      <c r="KS62" s="28"/>
      <c r="KT62" s="28">
        <v>3.570529E8</v>
      </c>
      <c r="KU62" s="28">
        <v>1.0E8</v>
      </c>
      <c r="KV62" s="28">
        <v>5.74422704E8</v>
      </c>
      <c r="KW62" s="28">
        <v>7821.0</v>
      </c>
      <c r="KX62" s="28"/>
      <c r="KY62" s="28">
        <v>100.0</v>
      </c>
      <c r="KZ62" s="28">
        <v>8.8E8</v>
      </c>
      <c r="LA62" s="28"/>
      <c r="LB62" s="28">
        <v>1.0326E8</v>
      </c>
      <c r="LC62" s="28"/>
      <c r="LD62" s="28">
        <v>8306250.0</v>
      </c>
      <c r="LE62" s="62"/>
      <c r="LF62" s="28"/>
      <c r="LG62" s="28"/>
      <c r="LH62" s="28"/>
      <c r="LI62" s="28"/>
      <c r="LJ62" s="28">
        <f t="shared" si="20"/>
        <v>21499558008</v>
      </c>
      <c r="LK62" s="110"/>
    </row>
    <row r="63">
      <c r="A63" s="49" t="s">
        <v>3</v>
      </c>
      <c r="B63" s="146">
        <v>2.0983519168381E11</v>
      </c>
      <c r="C63" s="146">
        <v>1.65477611983847E11</v>
      </c>
      <c r="D63" s="147">
        <f t="shared" si="12"/>
        <v>44357579700</v>
      </c>
      <c r="E63" s="146"/>
      <c r="F63" s="146">
        <v>2.0818445104288E10</v>
      </c>
      <c r="G63" s="146">
        <v>3.4684226570032E9</v>
      </c>
      <c r="H63" s="146">
        <v>5.144765217E8</v>
      </c>
      <c r="I63" s="53">
        <f t="shared" si="13"/>
        <v>24801344283</v>
      </c>
      <c r="J63" s="53">
        <f t="shared" si="14"/>
        <v>19556235417</v>
      </c>
      <c r="K63" s="146"/>
      <c r="L63" s="146">
        <v>3.40067799570344E9</v>
      </c>
      <c r="M63" s="146">
        <v>1.16603529717631E10</v>
      </c>
      <c r="N63" s="52">
        <f t="shared" si="15"/>
        <v>-8259674976</v>
      </c>
      <c r="O63" s="146"/>
      <c r="P63" s="53">
        <f t="shared" si="16"/>
        <v>11296560441</v>
      </c>
      <c r="Q63" s="146"/>
      <c r="R63" s="146"/>
      <c r="S63" s="146"/>
      <c r="T63" s="53">
        <f t="shared" si="17"/>
        <v>11296560441</v>
      </c>
      <c r="U63" s="27"/>
      <c r="V63" s="28"/>
      <c r="W63" s="27"/>
      <c r="X63" s="53">
        <f t="shared" si="18"/>
        <v>11296560441</v>
      </c>
      <c r="Y63" s="27"/>
      <c r="AB63" s="27"/>
      <c r="AC63" s="27"/>
      <c r="AD63" s="28">
        <v>1.3962356696E10</v>
      </c>
      <c r="AE63" s="28">
        <v>6.0984624343E10</v>
      </c>
      <c r="AF63" s="28"/>
      <c r="AG63" s="28">
        <v>-1.00319905E8</v>
      </c>
      <c r="AH63" s="28">
        <v>9.076377408E9</v>
      </c>
      <c r="AI63" s="28">
        <v>4.8284077916E10</v>
      </c>
      <c r="AJ63" s="27"/>
      <c r="AK63" s="28"/>
      <c r="AL63" s="28">
        <v>3.302491968E9</v>
      </c>
      <c r="AM63" s="28">
        <v>9.481367099E9</v>
      </c>
      <c r="AN63" s="62">
        <v>1.44990975525E11</v>
      </c>
      <c r="AO63" s="27"/>
      <c r="AP63" s="27" t="s">
        <v>295</v>
      </c>
      <c r="AQ63" s="28">
        <v>1.1588689478E11</v>
      </c>
      <c r="AR63" s="28">
        <v>4.7840861E9</v>
      </c>
      <c r="AS63" s="28"/>
      <c r="AT63" s="28"/>
      <c r="AU63" s="28">
        <v>1.361708691E9</v>
      </c>
      <c r="AV63" s="62">
        <v>1.22032689571E11</v>
      </c>
      <c r="AW63" s="62">
        <v>2.67023665096E11</v>
      </c>
      <c r="AX63" s="27"/>
      <c r="AY63" s="27"/>
      <c r="AZ63" s="27"/>
      <c r="BA63" s="28">
        <v>1.2940759169E10</v>
      </c>
      <c r="BB63" s="27"/>
      <c r="BC63" s="27" t="s">
        <v>295</v>
      </c>
      <c r="BD63" s="27" t="s">
        <v>295</v>
      </c>
      <c r="BE63" s="28">
        <v>5.461165165E9</v>
      </c>
      <c r="BF63" s="28">
        <v>6.1449999E7</v>
      </c>
      <c r="BG63" s="28"/>
      <c r="BH63" s="28"/>
      <c r="BI63" s="28">
        <v>1.559438405E9</v>
      </c>
      <c r="BJ63" s="27" t="s">
        <v>295</v>
      </c>
      <c r="BK63" s="28">
        <v>1.14347942004E11</v>
      </c>
      <c r="BL63" s="62">
        <v>1.34370754742E11</v>
      </c>
      <c r="BM63" s="27"/>
      <c r="BN63" s="28">
        <v>6.999992283E9</v>
      </c>
      <c r="BO63" s="28">
        <v>2.9923E7</v>
      </c>
      <c r="BP63" s="27" t="s">
        <v>295</v>
      </c>
      <c r="BQ63" s="28">
        <v>5.983834871E9</v>
      </c>
      <c r="BR63" s="27" t="s">
        <v>295</v>
      </c>
      <c r="BS63" s="63">
        <v>1.3013750154E10</v>
      </c>
      <c r="BT63" s="62">
        <v>1.47384504896E11</v>
      </c>
      <c r="BU63" s="27"/>
      <c r="BV63" s="28">
        <v>6.8245E10</v>
      </c>
      <c r="BW63" s="27" t="s">
        <v>295</v>
      </c>
      <c r="BX63" s="28">
        <v>1.1291985441E10</v>
      </c>
      <c r="BY63" s="28">
        <v>3.8088897514E10</v>
      </c>
      <c r="BZ63" s="28">
        <v>-6.56444657E8</v>
      </c>
      <c r="CA63" s="27" t="s">
        <v>295</v>
      </c>
      <c r="CB63" s="28">
        <v>2.669721904E9</v>
      </c>
      <c r="CC63" s="62">
        <v>1.19639160202E11</v>
      </c>
      <c r="CD63" s="62">
        <v>2.67023665098E11</v>
      </c>
      <c r="CF63" s="49" t="s">
        <v>3</v>
      </c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P63" s="64"/>
      <c r="DQ63" s="49" t="s">
        <v>3</v>
      </c>
      <c r="DR63" s="28">
        <v>2.10139904128E11</v>
      </c>
      <c r="DS63" s="28"/>
      <c r="DT63" s="28">
        <v>-3.25268694E8</v>
      </c>
      <c r="DU63" s="28">
        <v>-243750.0</v>
      </c>
      <c r="DV63" s="62">
        <v>2.09814391684E11</v>
      </c>
      <c r="DW63" s="28"/>
      <c r="DX63" s="28"/>
      <c r="DY63" s="28">
        <v>1.46946922402E11</v>
      </c>
      <c r="DZ63" s="28"/>
      <c r="EA63" s="28">
        <v>4.60785E8</v>
      </c>
      <c r="EB63" s="28">
        <v>6.04694E7</v>
      </c>
      <c r="ED63" s="28"/>
      <c r="EE63" s="28">
        <v>1.327505513E9</v>
      </c>
      <c r="EF63" s="28">
        <v>6.1143776E7</v>
      </c>
      <c r="EG63" s="28">
        <v>6.9230143E7</v>
      </c>
      <c r="EH63" s="28">
        <v>3.3686023E7</v>
      </c>
      <c r="EI63" s="28">
        <v>2.5282084E7</v>
      </c>
      <c r="EJ63" s="28">
        <v>3.5408079E7</v>
      </c>
      <c r="EK63" s="28">
        <v>6.5696365E7</v>
      </c>
      <c r="EL63" s="28">
        <v>1.53322044E8</v>
      </c>
      <c r="EM63" s="28">
        <v>2.74568087E8</v>
      </c>
      <c r="EN63" s="28"/>
      <c r="EO63" s="28">
        <v>3.73574524E8</v>
      </c>
      <c r="EP63" s="28">
        <v>5.89853E7</v>
      </c>
      <c r="EQ63" s="28"/>
      <c r="ER63" s="28">
        <v>2.621134545E9</v>
      </c>
      <c r="ES63" s="28">
        <v>4.51980625E8</v>
      </c>
      <c r="ET63" s="28">
        <v>1.5133496567E10</v>
      </c>
      <c r="EU63" s="28"/>
      <c r="EV63" s="28">
        <v>8.1019595E7</v>
      </c>
      <c r="EW63" s="28">
        <v>7.7924939E7</v>
      </c>
      <c r="EX63" s="28">
        <v>1.98616193E8</v>
      </c>
      <c r="EY63" s="28">
        <v>1.068630684E9</v>
      </c>
      <c r="EZ63" s="28">
        <v>1.579233779E9</v>
      </c>
      <c r="FA63" s="28">
        <v>1.0552751E8</v>
      </c>
      <c r="FC63" s="28">
        <v>1.71434292E8</v>
      </c>
      <c r="FD63" s="28">
        <v>4.43050239E8</v>
      </c>
      <c r="FE63" s="28">
        <v>3.32891102E8</v>
      </c>
      <c r="FF63" s="28">
        <v>1.96849265E9</v>
      </c>
      <c r="FG63" s="28">
        <v>2.20764479E8</v>
      </c>
      <c r="FH63" s="28"/>
      <c r="FI63" s="28">
        <v>7.2399917E7</v>
      </c>
      <c r="FJ63" s="28">
        <v>2.55984431E8</v>
      </c>
      <c r="FK63" s="28"/>
      <c r="FL63" s="28">
        <v>1.34343047E8</v>
      </c>
      <c r="FM63" s="28">
        <v>1.54989623E8</v>
      </c>
      <c r="FN63" s="28"/>
      <c r="FO63" s="28">
        <v>1.67705334E8</v>
      </c>
      <c r="FP63" s="28"/>
      <c r="FQ63" s="28">
        <v>363382.0</v>
      </c>
      <c r="FR63" s="28"/>
      <c r="FS63" s="28"/>
      <c r="FT63" s="28">
        <v>1608000.0</v>
      </c>
      <c r="FU63" s="28">
        <v>1.1317E7</v>
      </c>
      <c r="FV63" s="28">
        <v>1.79755439E8</v>
      </c>
      <c r="FW63" s="28">
        <v>2.13913197E8</v>
      </c>
      <c r="FX63" s="28"/>
      <c r="FY63" s="28">
        <v>7951250.0</v>
      </c>
      <c r="FZ63" s="28"/>
      <c r="GA63" s="28"/>
      <c r="GB63" s="28"/>
      <c r="GC63" s="28"/>
      <c r="GD63" s="28"/>
      <c r="GE63" s="28"/>
      <c r="GF63" s="28"/>
      <c r="GG63" s="28"/>
      <c r="GH63" s="28"/>
      <c r="GI63" s="28"/>
      <c r="GJ63" s="28"/>
      <c r="GK63" s="28"/>
      <c r="GL63" s="28"/>
      <c r="GM63" s="62">
        <v>1.75601106557E11</v>
      </c>
      <c r="GN63" s="28"/>
      <c r="GO63" s="28"/>
      <c r="GP63" s="28"/>
      <c r="GQ63" s="28">
        <v>8.80348949E8</v>
      </c>
      <c r="GR63" s="28">
        <v>1.16874999E8</v>
      </c>
      <c r="GS63" s="28">
        <v>5.3890326E7</v>
      </c>
      <c r="GT63" s="28">
        <v>1.41227053E8</v>
      </c>
      <c r="GU63" s="28">
        <v>6.73509351E8</v>
      </c>
      <c r="GV63" s="28">
        <v>2.82125338E8</v>
      </c>
      <c r="GW63" s="28">
        <v>1.39875818E8</v>
      </c>
      <c r="GX63" s="28">
        <v>1.601752638E9</v>
      </c>
      <c r="GY63" s="28">
        <v>2.041760876E9</v>
      </c>
      <c r="GZ63" s="28">
        <v>5.261121037E9</v>
      </c>
      <c r="HA63" s="28"/>
      <c r="HB63" s="28"/>
      <c r="HC63" s="28">
        <v>1.70424189E8</v>
      </c>
      <c r="HD63" s="28"/>
      <c r="HE63" s="28"/>
      <c r="HF63" s="28">
        <v>1.132314778E9</v>
      </c>
      <c r="HG63" s="28">
        <v>2.4790186E8</v>
      </c>
      <c r="HH63" s="28">
        <v>5.24319139E8</v>
      </c>
      <c r="HI63" s="28">
        <v>2.8239748E8</v>
      </c>
      <c r="HJ63" s="28">
        <v>1.019379677E9</v>
      </c>
      <c r="HK63" s="28">
        <v>4780253.0</v>
      </c>
      <c r="HL63" s="28">
        <v>2.63026E7</v>
      </c>
      <c r="HM63" s="28"/>
      <c r="HN63" s="28">
        <v>2.4871968E7</v>
      </c>
      <c r="HO63" s="28">
        <v>2.82570271E8</v>
      </c>
      <c r="HP63" s="28">
        <v>7.3607713E7</v>
      </c>
      <c r="HQ63" s="28">
        <v>1.758806854E9</v>
      </c>
      <c r="HR63" s="28">
        <v>3.92337E7</v>
      </c>
      <c r="HS63" s="28"/>
      <c r="HT63" s="28">
        <v>2.35660767E8</v>
      </c>
      <c r="HU63" s="28">
        <v>3.12590151E8</v>
      </c>
      <c r="HV63" s="28">
        <v>3.473171E7</v>
      </c>
      <c r="HW63" s="28">
        <v>1.135975E8</v>
      </c>
      <c r="HX63" s="28">
        <v>3.10092694E8</v>
      </c>
      <c r="HY63" s="28">
        <v>6.7050575E7</v>
      </c>
      <c r="HZ63" s="28">
        <v>2.7568362E7</v>
      </c>
      <c r="IA63" s="28">
        <v>2.8383937E7</v>
      </c>
      <c r="IB63" s="28">
        <v>1.1108799E7</v>
      </c>
      <c r="IC63" s="28">
        <v>6.3206731E7</v>
      </c>
      <c r="ID63" s="28">
        <v>4.9066137E7</v>
      </c>
      <c r="IE63" s="28">
        <v>1.08942026E8</v>
      </c>
      <c r="IF63" s="28">
        <v>2.8489391E7</v>
      </c>
      <c r="IG63" s="28">
        <v>1.32000356E8</v>
      </c>
      <c r="IH63" s="28">
        <v>2.2932721E7</v>
      </c>
      <c r="II63" s="28"/>
      <c r="IJ63" s="28"/>
      <c r="IK63" s="28">
        <v>1.98318281E8</v>
      </c>
      <c r="IL63" s="28">
        <v>2.4962353E7</v>
      </c>
      <c r="IM63" s="28">
        <v>9.23004833E8</v>
      </c>
      <c r="IN63" s="28"/>
      <c r="IO63" s="28">
        <v>4.46168375E8</v>
      </c>
      <c r="IP63" s="28">
        <v>1.184557E8</v>
      </c>
      <c r="IQ63" s="28">
        <v>3550500.0</v>
      </c>
      <c r="IR63" s="28"/>
      <c r="IS63" s="28">
        <v>2.7626235E7</v>
      </c>
      <c r="IT63" s="28">
        <v>2.06783597E8</v>
      </c>
      <c r="IU63" s="28"/>
      <c r="IV63" s="28">
        <v>9.728E7</v>
      </c>
      <c r="IW63" s="28"/>
      <c r="IX63" s="28">
        <v>3.54825E7</v>
      </c>
      <c r="IY63" s="28"/>
      <c r="IZ63" s="28"/>
      <c r="JA63" s="28"/>
      <c r="JB63" s="28">
        <v>8.06628E7</v>
      </c>
      <c r="JC63" s="28">
        <v>3.54814357E8</v>
      </c>
      <c r="JD63" s="28">
        <v>1.244E7</v>
      </c>
      <c r="JE63" s="28">
        <v>6.4775432E7</v>
      </c>
      <c r="JF63" s="28"/>
      <c r="JG63" s="28"/>
      <c r="JH63" s="28">
        <v>4.4015E7</v>
      </c>
      <c r="JI63" s="28">
        <v>7619550.0</v>
      </c>
      <c r="JJ63" s="28">
        <v>6500000.0</v>
      </c>
      <c r="JK63" s="28">
        <v>3.225E7</v>
      </c>
      <c r="JL63" s="28"/>
      <c r="JM63" s="28"/>
      <c r="JN63" s="28"/>
      <c r="JO63" s="28"/>
      <c r="JP63" s="28"/>
      <c r="JQ63" s="28"/>
      <c r="JR63" s="28"/>
      <c r="JS63" s="28"/>
      <c r="JT63" s="62">
        <v>2.4399115984E10</v>
      </c>
      <c r="JU63" s="28"/>
      <c r="JV63" s="28"/>
      <c r="JW63" s="28">
        <v>2.423479739E9</v>
      </c>
      <c r="JX63" s="28">
        <v>1.8837482E8</v>
      </c>
      <c r="JY63" s="28">
        <v>3.15247E7</v>
      </c>
      <c r="JZ63" s="62">
        <v>2.643379259E9</v>
      </c>
      <c r="KA63" s="28"/>
      <c r="KB63" s="28"/>
      <c r="KC63" s="28">
        <v>5.25196562E8</v>
      </c>
      <c r="KD63" s="62">
        <v>5.25196562E8</v>
      </c>
      <c r="KE63" s="28"/>
      <c r="KF63" s="28"/>
      <c r="KG63" s="28">
        <v>5.845298E7</v>
      </c>
      <c r="KH63" s="28">
        <v>1.911875099E9</v>
      </c>
      <c r="KI63" s="28">
        <v>1.311131014E9</v>
      </c>
      <c r="KJ63" s="28">
        <v>1.07833E7</v>
      </c>
      <c r="KK63" s="28">
        <v>87240.0</v>
      </c>
      <c r="KL63" s="28"/>
      <c r="KM63" s="28">
        <v>1.2E7</v>
      </c>
      <c r="KN63" s="62">
        <v>3.304329632E9</v>
      </c>
      <c r="KO63" s="28"/>
      <c r="KP63" s="28"/>
      <c r="KQ63" s="28">
        <v>5.1658725E7</v>
      </c>
      <c r="KR63" s="28">
        <v>8.505102979E9</v>
      </c>
      <c r="KT63" s="28">
        <v>3.98462423E8</v>
      </c>
      <c r="KU63" s="28">
        <v>1.0E8</v>
      </c>
      <c r="KV63" s="28">
        <v>1.455400079E9</v>
      </c>
      <c r="KW63" s="28">
        <v>9129.0</v>
      </c>
      <c r="KX63" s="28"/>
      <c r="KY63" s="28"/>
      <c r="KZ63" s="28">
        <v>8.8E8</v>
      </c>
      <c r="LB63" s="28">
        <v>1.0326E8</v>
      </c>
      <c r="LC63" s="28"/>
      <c r="LD63" s="28">
        <v>8306250.0</v>
      </c>
      <c r="LE63" s="62">
        <v>1.1502199584E10</v>
      </c>
      <c r="LF63" s="28"/>
      <c r="LG63" s="28"/>
      <c r="LH63" s="28"/>
      <c r="LI63" s="28"/>
      <c r="LJ63" s="28">
        <f t="shared" si="20"/>
        <v>39069891389</v>
      </c>
      <c r="LK63" s="110"/>
    </row>
    <row r="64">
      <c r="A64" s="49" t="s">
        <v>322</v>
      </c>
      <c r="B64" s="146">
        <v>2.31366277024522E11</v>
      </c>
      <c r="C64" s="146">
        <v>1.82470856845647E11</v>
      </c>
      <c r="D64" s="147">
        <f t="shared" si="12"/>
        <v>48895420179</v>
      </c>
      <c r="E64" s="146"/>
      <c r="F64" s="146">
        <v>2.32417397348264E10</v>
      </c>
      <c r="G64" s="146">
        <v>4.0284631260032E9</v>
      </c>
      <c r="H64" s="146">
        <v>5.895006577E8</v>
      </c>
      <c r="I64" s="53">
        <f t="shared" si="13"/>
        <v>27859703519</v>
      </c>
      <c r="J64" s="53">
        <f t="shared" si="14"/>
        <v>21035716660</v>
      </c>
      <c r="K64" s="146"/>
      <c r="L64" s="146">
        <v>4.99029805055676E9</v>
      </c>
      <c r="M64" s="146">
        <v>1.43011506268831E10</v>
      </c>
      <c r="N64" s="52">
        <f t="shared" si="15"/>
        <v>-9310852576</v>
      </c>
      <c r="O64" s="146"/>
      <c r="P64" s="53">
        <f t="shared" si="16"/>
        <v>11724864084</v>
      </c>
      <c r="Q64" s="146"/>
      <c r="R64" s="146"/>
      <c r="S64" s="146"/>
      <c r="T64" s="53">
        <f t="shared" si="17"/>
        <v>11724864084</v>
      </c>
      <c r="U64" s="27"/>
      <c r="V64" s="28"/>
      <c r="W64" s="27"/>
      <c r="X64" s="53">
        <f t="shared" si="18"/>
        <v>11724864084</v>
      </c>
      <c r="Y64" s="27"/>
      <c r="AB64" s="27"/>
      <c r="AC64" s="27"/>
      <c r="AD64" s="28">
        <v>2.8529710039E10</v>
      </c>
      <c r="AE64" s="28">
        <v>4.6007563485E10</v>
      </c>
      <c r="AF64" s="28"/>
      <c r="AG64" s="28">
        <v>-1.00319905E8</v>
      </c>
      <c r="AH64" s="28">
        <v>1.0170623902E10</v>
      </c>
      <c r="AI64" s="28">
        <v>4.0327695593E10</v>
      </c>
      <c r="AJ64" s="27"/>
      <c r="AK64" s="28"/>
      <c r="AL64" s="28">
        <v>2.868744909E9</v>
      </c>
      <c r="AM64" s="28">
        <v>7.226467375E9</v>
      </c>
      <c r="AN64" s="62">
        <v>1.35030485397E11</v>
      </c>
      <c r="AO64" s="27"/>
      <c r="AP64" s="27" t="s">
        <v>295</v>
      </c>
      <c r="AQ64" s="28">
        <v>1.1653673301E11</v>
      </c>
      <c r="AR64" s="28">
        <v>4.761335511E9</v>
      </c>
      <c r="AS64" s="28"/>
      <c r="AT64" s="28"/>
      <c r="AU64" s="28">
        <v>1.361708691E9</v>
      </c>
      <c r="AV64" s="62">
        <v>1.22659777212E11</v>
      </c>
      <c r="AW64" s="62">
        <v>2.5769026261E11</v>
      </c>
      <c r="AX64" s="27"/>
      <c r="AY64" s="27"/>
      <c r="AZ64" s="27"/>
      <c r="BA64" s="28">
        <v>7.95678171E9</v>
      </c>
      <c r="BB64" s="27"/>
      <c r="BC64" s="27"/>
      <c r="BD64" s="27"/>
      <c r="BE64" s="28">
        <v>2.991886489E9</v>
      </c>
      <c r="BF64" s="28">
        <v>2.66447333E8</v>
      </c>
      <c r="BG64" s="28"/>
      <c r="BH64" s="28"/>
      <c r="BI64" s="28">
        <v>1.546355538E9</v>
      </c>
      <c r="BJ64" s="27"/>
      <c r="BK64" s="28">
        <v>1.11945719707E11</v>
      </c>
      <c r="BL64" s="62">
        <v>1.24707190777E11</v>
      </c>
      <c r="BM64" s="27"/>
      <c r="BN64" s="28">
        <v>6.906848618E9</v>
      </c>
      <c r="BO64" s="28">
        <v>2.49245E7</v>
      </c>
      <c r="BP64" s="27"/>
      <c r="BQ64" s="28">
        <v>5.983834871E9</v>
      </c>
      <c r="BR64" s="27" t="s">
        <v>295</v>
      </c>
      <c r="BS64" s="63">
        <v>1.2915607989E10</v>
      </c>
      <c r="BT64" s="62">
        <v>1.37622798766E11</v>
      </c>
      <c r="BU64" s="27"/>
      <c r="BV64" s="28">
        <v>6.8245E10</v>
      </c>
      <c r="BW64" s="27" t="s">
        <v>295</v>
      </c>
      <c r="BX64" s="28">
        <v>1.1720289084E10</v>
      </c>
      <c r="BY64" s="28">
        <v>3.8088897514E10</v>
      </c>
      <c r="BZ64" s="28">
        <v>-6.56444657E8</v>
      </c>
      <c r="CA64" s="27" t="s">
        <v>295</v>
      </c>
      <c r="CB64" s="28">
        <v>2.669721904E9</v>
      </c>
      <c r="CC64" s="62">
        <v>1.20067463845E11</v>
      </c>
      <c r="CD64" s="62">
        <v>2.57690262611E11</v>
      </c>
      <c r="CF64" s="49" t="s">
        <v>322</v>
      </c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P64" s="64"/>
      <c r="DQ64" s="49" t="s">
        <v>322</v>
      </c>
      <c r="DR64" s="28"/>
      <c r="DS64" s="28"/>
      <c r="DT64" s="28"/>
      <c r="DU64" s="28"/>
      <c r="DV64" s="62"/>
      <c r="DW64" s="28"/>
      <c r="DX64" s="28"/>
      <c r="DY64" s="28"/>
      <c r="DZ64" s="28"/>
      <c r="EA64" s="28"/>
      <c r="EB64" s="28"/>
      <c r="EC64" s="28"/>
      <c r="ED64" s="28"/>
      <c r="EE64" s="28"/>
      <c r="EF64" s="28"/>
      <c r="EG64" s="28"/>
      <c r="EH64" s="28"/>
      <c r="EI64" s="28"/>
      <c r="EJ64" s="28"/>
      <c r="EK64" s="28"/>
      <c r="EL64" s="28"/>
      <c r="EM64" s="28"/>
      <c r="EN64" s="28"/>
      <c r="EO64" s="28"/>
      <c r="EP64" s="28"/>
      <c r="EQ64" s="28"/>
      <c r="ER64" s="28"/>
      <c r="ES64" s="28"/>
      <c r="ET64" s="28"/>
      <c r="EU64" s="28"/>
      <c r="EV64" s="28"/>
      <c r="EW64" s="28"/>
      <c r="EX64" s="28"/>
      <c r="EY64" s="28"/>
      <c r="EZ64" s="28"/>
      <c r="FA64" s="28"/>
      <c r="FB64" s="28"/>
      <c r="FC64" s="28"/>
      <c r="FD64" s="28"/>
      <c r="FE64" s="28"/>
      <c r="FF64" s="28"/>
      <c r="FG64" s="28"/>
      <c r="FH64" s="28"/>
      <c r="FI64" s="28"/>
      <c r="FJ64" s="28"/>
      <c r="FK64" s="28"/>
      <c r="FL64" s="28"/>
      <c r="FM64" s="28"/>
      <c r="FN64" s="28"/>
      <c r="FO64" s="28"/>
      <c r="FP64" s="28"/>
      <c r="FQ64" s="28"/>
      <c r="FR64" s="28"/>
      <c r="FS64" s="28"/>
      <c r="FT64" s="28"/>
      <c r="FU64" s="28"/>
      <c r="FV64" s="28"/>
      <c r="FW64" s="28"/>
      <c r="FX64" s="28"/>
      <c r="FY64" s="28"/>
      <c r="FZ64" s="28"/>
      <c r="GA64" s="28"/>
      <c r="GB64" s="28"/>
      <c r="GC64" s="28"/>
      <c r="GD64" s="28"/>
      <c r="GE64" s="28"/>
      <c r="GF64" s="28"/>
      <c r="GG64" s="28"/>
      <c r="GH64" s="28"/>
      <c r="GI64" s="28"/>
      <c r="GJ64" s="28"/>
      <c r="GK64" s="28"/>
      <c r="GL64" s="28"/>
      <c r="GM64" s="62"/>
      <c r="GN64" s="28"/>
      <c r="GO64" s="28"/>
      <c r="GP64" s="28"/>
      <c r="GQ64" s="28"/>
      <c r="GR64" s="28"/>
      <c r="GS64" s="28"/>
      <c r="GT64" s="28"/>
      <c r="GU64" s="28"/>
      <c r="GV64" s="28"/>
      <c r="GW64" s="28"/>
      <c r="GX64" s="28"/>
      <c r="GY64" s="28"/>
      <c r="GZ64" s="28"/>
      <c r="HA64" s="28"/>
      <c r="HB64" s="28"/>
      <c r="HC64" s="28"/>
      <c r="HD64" s="28"/>
      <c r="HE64" s="28"/>
      <c r="HF64" s="28"/>
      <c r="HG64" s="28"/>
      <c r="HH64" s="28"/>
      <c r="HI64" s="28"/>
      <c r="HJ64" s="28"/>
      <c r="HK64" s="28"/>
      <c r="HL64" s="28"/>
      <c r="HM64" s="28"/>
      <c r="HN64" s="28"/>
      <c r="HO64" s="28"/>
      <c r="HP64" s="28"/>
      <c r="HQ64" s="28"/>
      <c r="HR64" s="28"/>
      <c r="HS64" s="28"/>
      <c r="HT64" s="28"/>
      <c r="HU64" s="28"/>
      <c r="HV64" s="28"/>
      <c r="HW64" s="28"/>
      <c r="HX64" s="28"/>
      <c r="HY64" s="28"/>
      <c r="HZ64" s="28"/>
      <c r="IA64" s="28"/>
      <c r="IB64" s="28"/>
      <c r="IC64" s="28"/>
      <c r="ID64" s="28"/>
      <c r="IE64" s="28"/>
      <c r="IF64" s="28"/>
      <c r="IG64" s="28"/>
      <c r="IH64" s="28"/>
      <c r="II64" s="28"/>
      <c r="IJ64" s="28"/>
      <c r="IK64" s="28"/>
      <c r="IL64" s="28"/>
      <c r="IM64" s="28"/>
      <c r="IN64" s="28"/>
      <c r="IO64" s="28"/>
      <c r="IP64" s="28"/>
      <c r="IQ64" s="28"/>
      <c r="IR64" s="28"/>
      <c r="IS64" s="28"/>
      <c r="IT64" s="28"/>
      <c r="IU64" s="28"/>
      <c r="IV64" s="28"/>
      <c r="IW64" s="28"/>
      <c r="IX64" s="28"/>
      <c r="IY64" s="28"/>
      <c r="IZ64" s="28"/>
      <c r="JA64" s="28"/>
      <c r="JB64" s="28"/>
      <c r="JC64" s="28"/>
      <c r="JD64" s="28"/>
      <c r="JE64" s="28"/>
      <c r="JF64" s="28"/>
      <c r="JG64" s="28"/>
      <c r="JH64" s="28"/>
      <c r="JI64" s="28"/>
      <c r="JJ64" s="28"/>
      <c r="JK64" s="28"/>
      <c r="JL64" s="28"/>
      <c r="JM64" s="28"/>
      <c r="JN64" s="28"/>
      <c r="JO64" s="28"/>
      <c r="JP64" s="28"/>
      <c r="JQ64" s="28"/>
      <c r="JR64" s="28"/>
      <c r="JS64" s="28"/>
      <c r="JT64" s="62"/>
      <c r="JU64" s="28"/>
      <c r="JV64" s="28"/>
      <c r="JW64" s="28"/>
      <c r="JX64" s="28"/>
      <c r="JY64" s="28"/>
      <c r="JZ64" s="62"/>
      <c r="KA64" s="28"/>
      <c r="KB64" s="28"/>
      <c r="KC64" s="28"/>
      <c r="KD64" s="62"/>
      <c r="KE64" s="28"/>
      <c r="KF64" s="28"/>
      <c r="KG64" s="28"/>
      <c r="KH64" s="28"/>
      <c r="KI64" s="28"/>
      <c r="KJ64" s="28"/>
      <c r="KK64" s="28"/>
      <c r="KL64" s="28"/>
      <c r="KM64" s="28"/>
      <c r="KN64" s="62"/>
      <c r="KO64" s="28"/>
      <c r="KP64" s="28"/>
      <c r="KQ64" s="28"/>
      <c r="KR64" s="28">
        <v>1.0431484129E10</v>
      </c>
      <c r="KS64" s="28"/>
      <c r="KT64" s="28"/>
      <c r="KU64" s="28"/>
      <c r="KV64" s="28"/>
      <c r="KW64" s="28"/>
      <c r="KX64" s="28"/>
      <c r="KY64" s="28"/>
      <c r="KZ64" s="28"/>
      <c r="LA64" s="28"/>
      <c r="LB64" s="28"/>
      <c r="LC64" s="28"/>
      <c r="LD64" s="28"/>
      <c r="LE64" s="62"/>
      <c r="LF64" s="28"/>
      <c r="LG64" s="28"/>
      <c r="LH64" s="28"/>
      <c r="LI64" s="28"/>
      <c r="LJ64" s="28">
        <f t="shared" si="20"/>
        <v>0</v>
      </c>
      <c r="LK64" s="110"/>
    </row>
    <row r="65">
      <c r="A65" s="49" t="s">
        <v>323</v>
      </c>
      <c r="B65" s="146">
        <v>2.43205169021571E11</v>
      </c>
      <c r="C65" s="146">
        <v>1.92855117486214E11</v>
      </c>
      <c r="D65" s="147">
        <f t="shared" si="12"/>
        <v>50350051535</v>
      </c>
      <c r="E65" s="146"/>
      <c r="F65" s="146">
        <v>2.55447056299747E10</v>
      </c>
      <c r="G65" s="146">
        <v>4.4108666010032E9</v>
      </c>
      <c r="H65" s="146">
        <v>6.272465427E8</v>
      </c>
      <c r="I65" s="53">
        <f t="shared" si="13"/>
        <v>30582818774</v>
      </c>
      <c r="J65" s="53">
        <f t="shared" si="14"/>
        <v>19767232762</v>
      </c>
      <c r="K65" s="146"/>
      <c r="L65" s="146">
        <v>7.14339029494676E9</v>
      </c>
      <c r="M65" s="146">
        <v>1.56765956226316E10</v>
      </c>
      <c r="N65" s="52">
        <f t="shared" si="15"/>
        <v>-8533205328</v>
      </c>
      <c r="O65" s="146"/>
      <c r="P65" s="53">
        <f t="shared" si="16"/>
        <v>11234027434</v>
      </c>
      <c r="Q65" s="146"/>
      <c r="R65" s="146"/>
      <c r="S65" s="146"/>
      <c r="T65" s="53">
        <f t="shared" si="17"/>
        <v>11234027434</v>
      </c>
      <c r="U65" s="27"/>
      <c r="V65" s="28"/>
      <c r="W65" s="27"/>
      <c r="X65" s="53">
        <f t="shared" si="18"/>
        <v>11234027434</v>
      </c>
      <c r="Y65" s="27"/>
      <c r="AB65" s="27"/>
      <c r="AC65" s="27"/>
      <c r="AD65" s="28">
        <v>2.0534450597E10</v>
      </c>
      <c r="AE65" s="28">
        <v>3.5517471629E10</v>
      </c>
      <c r="AF65" s="28"/>
      <c r="AG65" s="28">
        <v>-1.00319905E8</v>
      </c>
      <c r="AH65" s="28">
        <v>1.122491442E10</v>
      </c>
      <c r="AI65" s="28">
        <v>4.644304851E10</v>
      </c>
      <c r="AJ65" s="27"/>
      <c r="AK65" s="28"/>
      <c r="AL65" s="28">
        <v>5.383126703E9</v>
      </c>
      <c r="AM65" s="28">
        <v>7.497396016E9</v>
      </c>
      <c r="AN65" s="62">
        <v>1.2650008797E11</v>
      </c>
      <c r="AO65" s="27"/>
      <c r="AP65" s="27" t="s">
        <v>295</v>
      </c>
      <c r="AQ65" s="28">
        <v>1.16975846931E11</v>
      </c>
      <c r="AR65" s="28">
        <v>4.768753672E9</v>
      </c>
      <c r="AS65" s="28"/>
      <c r="AT65" s="28"/>
      <c r="AU65" s="28">
        <v>1.361708691E9</v>
      </c>
      <c r="AV65" s="62">
        <v>1.23106309293E11</v>
      </c>
      <c r="AW65" s="62">
        <v>2.49606397263E11</v>
      </c>
      <c r="AX65" s="27"/>
      <c r="AY65" s="27"/>
      <c r="AZ65" s="27"/>
      <c r="BA65" s="28">
        <v>6.837045463E9</v>
      </c>
      <c r="BB65" s="27"/>
      <c r="BC65" s="27" t="s">
        <v>295</v>
      </c>
      <c r="BD65" s="27" t="s">
        <v>295</v>
      </c>
      <c r="BE65" s="28">
        <v>1.982081266E9</v>
      </c>
      <c r="BF65" s="28">
        <v>2.11886936E8</v>
      </c>
      <c r="BG65" s="28"/>
      <c r="BH65" s="28"/>
      <c r="BI65" s="28">
        <v>2.8107609E7</v>
      </c>
      <c r="BJ65" s="27" t="s">
        <v>295</v>
      </c>
      <c r="BK65" s="28">
        <v>1.06135497635E11</v>
      </c>
      <c r="BL65" s="62">
        <v>1.15194618909E11</v>
      </c>
      <c r="BM65" s="27"/>
      <c r="BN65" s="28">
        <v>8.826815289E9</v>
      </c>
      <c r="BO65" s="28">
        <v>1.9926E7</v>
      </c>
      <c r="BP65" s="27" t="s">
        <v>295</v>
      </c>
      <c r="BQ65" s="28">
        <v>5.983834871E9</v>
      </c>
      <c r="BR65" s="27" t="s">
        <v>295</v>
      </c>
      <c r="BS65" s="63">
        <v>1.483057616E10</v>
      </c>
      <c r="BT65" s="62">
        <v>1.3002519507E11</v>
      </c>
      <c r="BU65" s="27"/>
      <c r="BV65" s="28">
        <v>6.8245E10</v>
      </c>
      <c r="BW65" s="27" t="s">
        <v>295</v>
      </c>
      <c r="BX65" s="28">
        <v>1.1234027434E10</v>
      </c>
      <c r="BY65" s="28">
        <v>3.8088897514E10</v>
      </c>
      <c r="BZ65" s="28">
        <v>-6.56444657E8</v>
      </c>
      <c r="CA65" s="27" t="s">
        <v>295</v>
      </c>
      <c r="CB65" s="28">
        <v>2.669721904E9</v>
      </c>
      <c r="CC65" s="62">
        <v>1.19581202195E11</v>
      </c>
      <c r="CD65" s="62">
        <v>2.49606397265E11</v>
      </c>
      <c r="CF65" s="49" t="s">
        <v>323</v>
      </c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P65" s="64"/>
      <c r="DQ65" s="49" t="s">
        <v>323</v>
      </c>
      <c r="DR65" s="28"/>
      <c r="DS65" s="28"/>
      <c r="DT65" s="28"/>
      <c r="DU65" s="28"/>
      <c r="DV65" s="62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  <c r="EP65" s="28"/>
      <c r="EQ65" s="28"/>
      <c r="ER65" s="28"/>
      <c r="ES65" s="28"/>
      <c r="ET65" s="28"/>
      <c r="EU65" s="28"/>
      <c r="EV65" s="28"/>
      <c r="EW65" s="28"/>
      <c r="EX65" s="28"/>
      <c r="EY65" s="28"/>
      <c r="EZ65" s="28"/>
      <c r="FA65" s="28"/>
      <c r="FB65" s="28"/>
      <c r="FC65" s="28"/>
      <c r="FD65" s="28"/>
      <c r="FE65" s="28"/>
      <c r="FF65" s="28"/>
      <c r="FG65" s="28"/>
      <c r="FH65" s="28"/>
      <c r="FI65" s="28"/>
      <c r="FJ65" s="28"/>
      <c r="FK65" s="28"/>
      <c r="FL65" s="28"/>
      <c r="FM65" s="28"/>
      <c r="FN65" s="28"/>
      <c r="FO65" s="28"/>
      <c r="FP65" s="28"/>
      <c r="FQ65" s="28"/>
      <c r="FR65" s="28"/>
      <c r="FS65" s="28"/>
      <c r="FT65" s="28"/>
      <c r="FU65" s="28"/>
      <c r="FV65" s="28"/>
      <c r="FW65" s="28"/>
      <c r="FX65" s="28"/>
      <c r="FY65" s="28"/>
      <c r="FZ65" s="28"/>
      <c r="GA65" s="28"/>
      <c r="GB65" s="28"/>
      <c r="GC65" s="28"/>
      <c r="GD65" s="28"/>
      <c r="GE65" s="28"/>
      <c r="GF65" s="28"/>
      <c r="GG65" s="28"/>
      <c r="GH65" s="28"/>
      <c r="GI65" s="28"/>
      <c r="GJ65" s="28"/>
      <c r="GK65" s="28"/>
      <c r="GL65" s="28"/>
      <c r="GM65" s="62"/>
      <c r="GN65" s="28"/>
      <c r="GO65" s="28"/>
      <c r="GP65" s="28"/>
      <c r="GQ65" s="28"/>
      <c r="GR65" s="28"/>
      <c r="GS65" s="28"/>
      <c r="GT65" s="28"/>
      <c r="GU65" s="28"/>
      <c r="GV65" s="28"/>
      <c r="GW65" s="28"/>
      <c r="GX65" s="28"/>
      <c r="GY65" s="28"/>
      <c r="GZ65" s="28"/>
      <c r="HA65" s="28"/>
      <c r="HB65" s="28"/>
      <c r="HC65" s="28"/>
      <c r="HD65" s="28"/>
      <c r="HE65" s="28"/>
      <c r="HF65" s="28"/>
      <c r="HG65" s="28"/>
      <c r="HH65" s="28"/>
      <c r="HI65" s="28"/>
      <c r="HJ65" s="28"/>
      <c r="HK65" s="28"/>
      <c r="HL65" s="28"/>
      <c r="HM65" s="28"/>
      <c r="HN65" s="28"/>
      <c r="HO65" s="28"/>
      <c r="HP65" s="28"/>
      <c r="HQ65" s="28"/>
      <c r="HR65" s="28"/>
      <c r="HS65" s="28"/>
      <c r="HT65" s="28"/>
      <c r="HU65" s="28"/>
      <c r="HV65" s="28"/>
      <c r="HW65" s="28"/>
      <c r="HX65" s="28"/>
      <c r="HY65" s="28"/>
      <c r="HZ65" s="28"/>
      <c r="IA65" s="28"/>
      <c r="IB65" s="28"/>
      <c r="IC65" s="28"/>
      <c r="ID65" s="28"/>
      <c r="IE65" s="28"/>
      <c r="IF65" s="28"/>
      <c r="IG65" s="28"/>
      <c r="IH65" s="28"/>
      <c r="II65" s="28"/>
      <c r="IJ65" s="28"/>
      <c r="IK65" s="28"/>
      <c r="IL65" s="28"/>
      <c r="IM65" s="28"/>
      <c r="IN65" s="28"/>
      <c r="IO65" s="28"/>
      <c r="IP65" s="28"/>
      <c r="IQ65" s="28"/>
      <c r="IR65" s="28"/>
      <c r="IS65" s="28"/>
      <c r="IT65" s="28"/>
      <c r="IU65" s="28"/>
      <c r="IV65" s="28"/>
      <c r="IW65" s="28"/>
      <c r="IX65" s="28"/>
      <c r="IY65" s="28"/>
      <c r="IZ65" s="28"/>
      <c r="JA65" s="28"/>
      <c r="JB65" s="28"/>
      <c r="JC65" s="28"/>
      <c r="JD65" s="28"/>
      <c r="JE65" s="28"/>
      <c r="JF65" s="28"/>
      <c r="JG65" s="28"/>
      <c r="JH65" s="28"/>
      <c r="JI65" s="28"/>
      <c r="JJ65" s="28"/>
      <c r="JK65" s="28"/>
      <c r="JL65" s="28"/>
      <c r="JM65" s="28"/>
      <c r="JN65" s="28"/>
      <c r="JO65" s="28"/>
      <c r="JP65" s="28"/>
      <c r="JQ65" s="28"/>
      <c r="JR65" s="28"/>
      <c r="JS65" s="28"/>
      <c r="JT65" s="62"/>
      <c r="JU65" s="28"/>
      <c r="JV65" s="28"/>
      <c r="JW65" s="28"/>
      <c r="JX65" s="28"/>
      <c r="JY65" s="28"/>
      <c r="JZ65" s="62"/>
      <c r="KA65" s="28"/>
      <c r="KB65" s="28"/>
      <c r="KC65" s="28"/>
      <c r="KD65" s="62"/>
      <c r="KE65" s="28"/>
      <c r="KF65" s="28"/>
      <c r="KG65" s="28"/>
      <c r="KH65" s="28"/>
      <c r="KI65" s="28"/>
      <c r="KJ65" s="28"/>
      <c r="KK65" s="28"/>
      <c r="KL65" s="28"/>
      <c r="KM65" s="28"/>
      <c r="KN65" s="62"/>
      <c r="KO65" s="28"/>
      <c r="KP65" s="28"/>
      <c r="KQ65" s="28"/>
      <c r="KR65" s="28">
        <v>1.1384323625E10</v>
      </c>
      <c r="KS65" s="28"/>
      <c r="KT65" s="28"/>
      <c r="KU65" s="28"/>
      <c r="KV65" s="28"/>
      <c r="KW65" s="28"/>
      <c r="KX65" s="28"/>
      <c r="KY65" s="28"/>
      <c r="KZ65" s="28"/>
      <c r="LA65" s="28"/>
      <c r="LB65" s="28"/>
      <c r="LC65" s="28"/>
      <c r="LD65" s="28"/>
      <c r="LE65" s="62"/>
      <c r="LF65" s="28"/>
      <c r="LG65" s="28"/>
      <c r="LH65" s="28"/>
      <c r="LI65" s="28"/>
      <c r="LJ65" s="28">
        <f t="shared" si="20"/>
        <v>0</v>
      </c>
      <c r="LK65" s="110"/>
    </row>
    <row r="66">
      <c r="A66" s="49" t="s">
        <v>324</v>
      </c>
      <c r="B66" s="146">
        <v>2.48584198721E11</v>
      </c>
      <c r="C66" s="146">
        <v>1.96819803443E11</v>
      </c>
      <c r="D66" s="147">
        <f t="shared" si="12"/>
        <v>51764395278</v>
      </c>
      <c r="E66" s="146"/>
      <c r="F66" s="146">
        <v>2.9986519436E10</v>
      </c>
      <c r="G66" s="146">
        <v>4.662752842E9</v>
      </c>
      <c r="H66" s="146"/>
      <c r="I66" s="53">
        <v>3.4649272278E10</v>
      </c>
      <c r="J66" s="53">
        <v>1.7115123E10</v>
      </c>
      <c r="K66" s="146"/>
      <c r="L66" s="146">
        <v>4.248871561E9</v>
      </c>
      <c r="M66" s="146">
        <v>1.5513093348E10</v>
      </c>
      <c r="N66" s="52">
        <v>-1.1264221787E10</v>
      </c>
      <c r="O66" s="146"/>
      <c r="P66" s="53">
        <v>5.850901213E9</v>
      </c>
      <c r="Q66" s="146">
        <v>2.619816448E9</v>
      </c>
      <c r="R66" s="146">
        <v>3.35575531E8</v>
      </c>
      <c r="S66" s="146">
        <v>2.284240917E9</v>
      </c>
      <c r="T66" s="53">
        <v>3.566660296E9</v>
      </c>
      <c r="U66" s="27"/>
      <c r="V66" s="28">
        <v>1.14638697E8</v>
      </c>
      <c r="W66" s="27"/>
      <c r="X66" s="53">
        <v>3.681298993E9</v>
      </c>
      <c r="Y66" s="27"/>
      <c r="AB66" s="27"/>
      <c r="AC66" s="27"/>
      <c r="AD66" s="28">
        <v>1.3453685239E10</v>
      </c>
      <c r="AE66" s="28">
        <v>2.0486932453E10</v>
      </c>
      <c r="AF66" s="28"/>
      <c r="AG66" s="28"/>
      <c r="AH66" s="28">
        <v>1.2125091334E10</v>
      </c>
      <c r="AI66" s="28">
        <v>5.8866109711E10</v>
      </c>
      <c r="AJ66" s="28"/>
      <c r="AK66" s="28"/>
      <c r="AL66" s="28">
        <v>8.731412515E9</v>
      </c>
      <c r="AM66" s="28">
        <v>4.582719436E9</v>
      </c>
      <c r="AN66" s="62">
        <v>1.18245950688E11</v>
      </c>
      <c r="AO66" s="28"/>
      <c r="AP66" s="28" t="s">
        <v>295</v>
      </c>
      <c r="AQ66" s="28">
        <v>1.12900204621E11</v>
      </c>
      <c r="AR66" s="28">
        <v>5.523726416E9</v>
      </c>
      <c r="AS66" s="28">
        <v>2.99645414E8</v>
      </c>
      <c r="AT66" s="28">
        <v>4.740907338E9</v>
      </c>
      <c r="AU66" s="28">
        <v>1.712002771E9</v>
      </c>
      <c r="AV66" s="62">
        <v>1.2517648656E11</v>
      </c>
      <c r="AW66" s="62">
        <v>2.43422437248E11</v>
      </c>
      <c r="AX66" s="28"/>
      <c r="AY66" s="28"/>
      <c r="AZ66" s="28"/>
      <c r="BA66" s="28">
        <v>1.0637120798E10</v>
      </c>
      <c r="BB66" s="28"/>
      <c r="BC66" s="28"/>
      <c r="BD66" s="28"/>
      <c r="BE66" s="28">
        <v>3.89939346E8</v>
      </c>
      <c r="BF66" s="28">
        <v>2.6967025E8</v>
      </c>
      <c r="BG66" s="28">
        <v>9.1652875E7</v>
      </c>
      <c r="BH66" s="28"/>
      <c r="BI66" s="28">
        <v>1.65256678E8</v>
      </c>
      <c r="BJ66" s="28" t="s">
        <v>295</v>
      </c>
      <c r="BK66" s="28">
        <v>1.05476695895E11</v>
      </c>
      <c r="BL66" s="62">
        <v>1.17030335842E11</v>
      </c>
      <c r="BM66" s="28"/>
      <c r="BN66" s="28">
        <v>7.176685529E9</v>
      </c>
      <c r="BO66" s="28">
        <v>1.49275E7</v>
      </c>
      <c r="BP66" s="28"/>
      <c r="BQ66" s="28">
        <v>7.184014624E9</v>
      </c>
      <c r="BR66" s="28" t="s">
        <v>295</v>
      </c>
      <c r="BS66" s="63">
        <v>1.4375627653E10</v>
      </c>
      <c r="BT66" s="62">
        <v>1.31405963495E11</v>
      </c>
      <c r="BU66" s="28"/>
      <c r="BV66" s="28">
        <v>6.8245E10</v>
      </c>
      <c r="BW66" s="27" t="s">
        <v>295</v>
      </c>
      <c r="BX66" s="28"/>
      <c r="BY66" s="28">
        <v>4.1334210113E10</v>
      </c>
      <c r="BZ66" s="28">
        <v>-5.4180596E8</v>
      </c>
      <c r="CA66" s="28"/>
      <c r="CB66" s="28">
        <v>2.9790696E9</v>
      </c>
      <c r="CC66" s="62">
        <v>1.12016473753E11</v>
      </c>
      <c r="CD66" s="62">
        <v>2.43422437248E11</v>
      </c>
      <c r="CF66" s="49" t="s">
        <v>324</v>
      </c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P66" s="64"/>
      <c r="DQ66" s="49" t="s">
        <v>324</v>
      </c>
      <c r="DR66" s="28"/>
      <c r="DS66" s="28"/>
      <c r="DT66" s="28"/>
      <c r="DU66" s="28"/>
      <c r="DV66" s="62"/>
      <c r="DW66" s="28"/>
      <c r="DX66" s="28"/>
      <c r="DY66" s="28"/>
      <c r="DZ66" s="28"/>
      <c r="EA66" s="28"/>
      <c r="EB66" s="28"/>
      <c r="EC66" s="28"/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8"/>
      <c r="EP66" s="28"/>
      <c r="EQ66" s="28"/>
      <c r="ER66" s="28"/>
      <c r="ES66" s="28"/>
      <c r="ET66" s="28"/>
      <c r="EU66" s="28"/>
      <c r="EV66" s="28"/>
      <c r="EW66" s="28"/>
      <c r="EX66" s="28"/>
      <c r="EY66" s="28"/>
      <c r="EZ66" s="28"/>
      <c r="FA66" s="28"/>
      <c r="FB66" s="28"/>
      <c r="FC66" s="28"/>
      <c r="FD66" s="28"/>
      <c r="FE66" s="28"/>
      <c r="FF66" s="28"/>
      <c r="FG66" s="28"/>
      <c r="FH66" s="28"/>
      <c r="FI66" s="28"/>
      <c r="FJ66" s="28"/>
      <c r="FK66" s="28"/>
      <c r="FL66" s="28"/>
      <c r="FM66" s="28"/>
      <c r="FN66" s="28"/>
      <c r="FO66" s="28"/>
      <c r="FP66" s="28"/>
      <c r="FQ66" s="28"/>
      <c r="FR66" s="28"/>
      <c r="FS66" s="28"/>
      <c r="FT66" s="28"/>
      <c r="FU66" s="28"/>
      <c r="FV66" s="28"/>
      <c r="FW66" s="28"/>
      <c r="FX66" s="28"/>
      <c r="FY66" s="28"/>
      <c r="FZ66" s="28"/>
      <c r="GA66" s="28"/>
      <c r="GB66" s="28"/>
      <c r="GC66" s="28"/>
      <c r="GD66" s="28"/>
      <c r="GE66" s="28"/>
      <c r="GF66" s="28"/>
      <c r="GG66" s="28"/>
      <c r="GH66" s="28"/>
      <c r="GI66" s="28"/>
      <c r="GJ66" s="28"/>
      <c r="GK66" s="28"/>
      <c r="GL66" s="28"/>
      <c r="GM66" s="62"/>
      <c r="GN66" s="28"/>
      <c r="GO66" s="28"/>
      <c r="GP66" s="28"/>
      <c r="GQ66" s="28"/>
      <c r="GR66" s="28"/>
      <c r="GS66" s="28"/>
      <c r="GT66" s="28"/>
      <c r="GU66" s="28"/>
      <c r="GV66" s="28"/>
      <c r="GW66" s="28"/>
      <c r="GX66" s="28"/>
      <c r="GY66" s="28"/>
      <c r="GZ66" s="28"/>
      <c r="HA66" s="28"/>
      <c r="HB66" s="28"/>
      <c r="HC66" s="28"/>
      <c r="HD66" s="28"/>
      <c r="HE66" s="28"/>
      <c r="HF66" s="28"/>
      <c r="HG66" s="28"/>
      <c r="HH66" s="28"/>
      <c r="HI66" s="28"/>
      <c r="HJ66" s="28"/>
      <c r="HK66" s="28"/>
      <c r="HL66" s="28"/>
      <c r="HM66" s="28"/>
      <c r="HN66" s="28"/>
      <c r="HO66" s="28"/>
      <c r="HP66" s="28"/>
      <c r="HQ66" s="28"/>
      <c r="HR66" s="28"/>
      <c r="HS66" s="28"/>
      <c r="HT66" s="28"/>
      <c r="HU66" s="28"/>
      <c r="HV66" s="28"/>
      <c r="HW66" s="28"/>
      <c r="HX66" s="28"/>
      <c r="HY66" s="28"/>
      <c r="HZ66" s="28"/>
      <c r="IA66" s="28"/>
      <c r="IB66" s="28"/>
      <c r="IC66" s="28"/>
      <c r="ID66" s="28"/>
      <c r="IE66" s="28"/>
      <c r="IF66" s="28"/>
      <c r="IG66" s="28"/>
      <c r="IH66" s="28"/>
      <c r="II66" s="28"/>
      <c r="IJ66" s="28"/>
      <c r="IK66" s="28"/>
      <c r="IL66" s="28"/>
      <c r="IM66" s="28"/>
      <c r="IN66" s="28"/>
      <c r="IO66" s="28"/>
      <c r="IP66" s="28"/>
      <c r="IQ66" s="28"/>
      <c r="IR66" s="28"/>
      <c r="IS66" s="28"/>
      <c r="IT66" s="28"/>
      <c r="IU66" s="28"/>
      <c r="IV66" s="28"/>
      <c r="IW66" s="28"/>
      <c r="IX66" s="28"/>
      <c r="IY66" s="28"/>
      <c r="IZ66" s="28"/>
      <c r="JA66" s="28"/>
      <c r="JB66" s="28"/>
      <c r="JC66" s="28"/>
      <c r="JD66" s="28"/>
      <c r="JE66" s="28"/>
      <c r="JF66" s="28"/>
      <c r="JG66" s="28"/>
      <c r="JH66" s="28"/>
      <c r="JI66" s="28"/>
      <c r="JJ66" s="28"/>
      <c r="JK66" s="28"/>
      <c r="JL66" s="28"/>
      <c r="JM66" s="28"/>
      <c r="JN66" s="28"/>
      <c r="JO66" s="28"/>
      <c r="JP66" s="28"/>
      <c r="JQ66" s="28"/>
      <c r="JR66" s="28"/>
      <c r="JS66" s="28"/>
      <c r="JT66" s="62"/>
      <c r="JU66" s="28"/>
      <c r="JV66" s="28"/>
      <c r="JW66" s="28"/>
      <c r="JX66" s="28"/>
      <c r="JY66" s="28"/>
      <c r="JZ66" s="62"/>
      <c r="KA66" s="28"/>
      <c r="KB66" s="28"/>
      <c r="KC66" s="28"/>
      <c r="KD66" s="62"/>
      <c r="KE66" s="28"/>
      <c r="KF66" s="28"/>
      <c r="KG66" s="28"/>
      <c r="KH66" s="28"/>
      <c r="KI66" s="28"/>
      <c r="KJ66" s="28"/>
      <c r="KK66" s="28"/>
      <c r="KL66" s="28"/>
      <c r="KM66" s="28"/>
      <c r="KN66" s="62"/>
      <c r="KO66" s="28"/>
      <c r="KP66" s="28"/>
      <c r="KQ66" s="28"/>
      <c r="KS66" s="28"/>
      <c r="KT66" s="28"/>
      <c r="KU66" s="28"/>
      <c r="KV66" s="28"/>
      <c r="KW66" s="28"/>
      <c r="KX66" s="28"/>
      <c r="KY66" s="28"/>
      <c r="KZ66" s="28"/>
      <c r="LA66" s="28"/>
      <c r="LB66" s="28"/>
      <c r="LC66" s="28"/>
      <c r="LD66" s="28"/>
      <c r="LE66" s="62"/>
      <c r="LF66" s="28"/>
      <c r="LG66" s="28"/>
      <c r="LH66" s="28"/>
      <c r="LI66" s="28"/>
      <c r="LJ66" s="28">
        <f t="shared" si="20"/>
        <v>0</v>
      </c>
      <c r="LK66" s="110"/>
    </row>
    <row r="67">
      <c r="A67" s="116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6"/>
      <c r="V67" s="118"/>
      <c r="W67" s="116"/>
      <c r="X67" s="116"/>
      <c r="Y67" s="116"/>
      <c r="Z67" s="116"/>
      <c r="AA67" s="116"/>
      <c r="AB67" s="116"/>
      <c r="AC67" s="116"/>
      <c r="AD67" s="116"/>
      <c r="AE67" s="119"/>
      <c r="AF67" s="116"/>
      <c r="AG67" s="116"/>
      <c r="AH67" s="116"/>
      <c r="AI67" s="116"/>
      <c r="AJ67" s="116"/>
      <c r="AK67" s="116"/>
      <c r="AL67" s="116"/>
      <c r="AM67" s="120"/>
      <c r="AN67" s="121"/>
      <c r="AO67" s="116"/>
      <c r="AP67" s="116"/>
      <c r="AQ67" s="116"/>
      <c r="AR67" s="116"/>
      <c r="AS67" s="116"/>
      <c r="AT67" s="116"/>
      <c r="AU67" s="116"/>
      <c r="AV67" s="116"/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  <c r="BR67" s="116"/>
      <c r="BS67" s="116"/>
      <c r="BT67" s="121"/>
      <c r="BU67" s="116"/>
      <c r="BV67" s="116"/>
      <c r="BW67" s="116"/>
      <c r="BX67" s="116"/>
      <c r="BY67" s="116"/>
      <c r="BZ67" s="116"/>
      <c r="CA67" s="116"/>
      <c r="CB67" s="116"/>
      <c r="CC67" s="122"/>
      <c r="CD67" s="122"/>
      <c r="CE67" s="116"/>
      <c r="CF67" s="116"/>
      <c r="CG67" s="116"/>
      <c r="CH67" s="116"/>
      <c r="CI67" s="116"/>
      <c r="CJ67" s="116"/>
      <c r="CK67" s="116"/>
      <c r="CL67" s="116"/>
      <c r="CM67" s="116"/>
      <c r="CN67" s="116"/>
      <c r="CO67" s="116"/>
      <c r="CP67" s="116"/>
      <c r="CQ67" s="116"/>
      <c r="CR67" s="116"/>
      <c r="CS67" s="116"/>
      <c r="CT67" s="116"/>
      <c r="CU67" s="116"/>
      <c r="CV67" s="116"/>
      <c r="CW67" s="116"/>
      <c r="CX67" s="116"/>
      <c r="CY67" s="116"/>
      <c r="CZ67" s="116"/>
      <c r="DA67" s="116"/>
      <c r="DB67" s="116"/>
      <c r="DC67" s="116"/>
      <c r="DD67" s="116"/>
      <c r="DE67" s="116"/>
      <c r="DF67" s="116"/>
      <c r="DG67" s="116"/>
      <c r="DH67" s="116"/>
      <c r="DI67" s="116"/>
      <c r="DJ67" s="116"/>
      <c r="DK67" s="116"/>
      <c r="DL67" s="116"/>
      <c r="DM67" s="116"/>
      <c r="DN67" s="116"/>
      <c r="DO67" s="116"/>
      <c r="DP67" s="116"/>
      <c r="DQ67" s="116"/>
      <c r="DR67" s="116"/>
      <c r="DS67" s="116"/>
      <c r="DT67" s="116"/>
      <c r="DU67" s="116"/>
      <c r="DV67" s="116"/>
      <c r="DW67" s="116"/>
      <c r="DX67" s="116"/>
      <c r="DY67" s="116"/>
      <c r="DZ67" s="116"/>
      <c r="EA67" s="116"/>
      <c r="EB67" s="116"/>
      <c r="EC67" s="116"/>
      <c r="ED67" s="116"/>
      <c r="EE67" s="116"/>
      <c r="EF67" s="116"/>
      <c r="EG67" s="116"/>
      <c r="EH67" s="116"/>
      <c r="EI67" s="116"/>
      <c r="EJ67" s="116"/>
      <c r="EK67" s="116"/>
      <c r="EL67" s="116"/>
      <c r="EM67" s="116"/>
      <c r="EN67" s="116"/>
      <c r="EO67" s="116"/>
      <c r="EP67" s="116"/>
      <c r="EQ67" s="116"/>
      <c r="ER67" s="116"/>
      <c r="ES67" s="116"/>
      <c r="ET67" s="116"/>
      <c r="EU67" s="116"/>
      <c r="EV67" s="116"/>
      <c r="EW67" s="116"/>
      <c r="EX67" s="116"/>
      <c r="EY67" s="116"/>
      <c r="EZ67" s="116"/>
      <c r="FA67" s="116"/>
      <c r="FB67" s="116"/>
      <c r="FC67" s="116"/>
      <c r="FD67" s="116"/>
      <c r="FE67" s="116"/>
      <c r="FF67" s="116"/>
      <c r="FG67" s="116"/>
      <c r="FH67" s="116"/>
      <c r="FI67" s="116"/>
      <c r="FJ67" s="116"/>
      <c r="FK67" s="116"/>
      <c r="FL67" s="116"/>
      <c r="FM67" s="116"/>
      <c r="FN67" s="116"/>
      <c r="FO67" s="116"/>
      <c r="FP67" s="116"/>
      <c r="FQ67" s="116"/>
      <c r="FR67" s="116"/>
      <c r="FS67" s="116"/>
      <c r="FT67" s="116"/>
      <c r="FU67" s="116"/>
      <c r="FV67" s="116"/>
      <c r="FW67" s="116"/>
      <c r="FX67" s="116"/>
      <c r="FY67" s="116"/>
      <c r="FZ67" s="116"/>
      <c r="GA67" s="116"/>
      <c r="GB67" s="116"/>
      <c r="GC67" s="116"/>
      <c r="GD67" s="116"/>
      <c r="GE67" s="116"/>
      <c r="GF67" s="116"/>
      <c r="GG67" s="116"/>
      <c r="GH67" s="116"/>
      <c r="GI67" s="116"/>
      <c r="GJ67" s="116"/>
      <c r="GK67" s="116"/>
      <c r="GL67" s="116"/>
      <c r="GM67" s="118"/>
      <c r="GN67" s="116"/>
      <c r="GO67" s="116"/>
      <c r="GP67" s="116"/>
      <c r="GQ67" s="116"/>
      <c r="GR67" s="116"/>
      <c r="GS67" s="116"/>
      <c r="GT67" s="116"/>
      <c r="GU67" s="116"/>
      <c r="GV67" s="116"/>
      <c r="GW67" s="116"/>
      <c r="GX67" s="116"/>
      <c r="GY67" s="116"/>
      <c r="GZ67" s="116"/>
      <c r="HA67" s="116"/>
      <c r="HB67" s="116"/>
      <c r="HC67" s="116"/>
      <c r="HD67" s="116"/>
      <c r="HE67" s="116"/>
      <c r="HF67" s="116"/>
      <c r="HG67" s="116"/>
      <c r="HH67" s="116"/>
      <c r="HI67" s="116"/>
      <c r="HJ67" s="116"/>
      <c r="HK67" s="116"/>
      <c r="HL67" s="116"/>
      <c r="HM67" s="116"/>
      <c r="HN67" s="116"/>
      <c r="HO67" s="116"/>
      <c r="HP67" s="116"/>
      <c r="HQ67" s="116"/>
      <c r="HR67" s="116"/>
      <c r="HS67" s="116"/>
      <c r="HT67" s="116"/>
      <c r="HU67" s="116"/>
      <c r="HV67" s="116"/>
      <c r="HW67" s="116"/>
      <c r="HX67" s="116"/>
      <c r="HY67" s="116"/>
      <c r="HZ67" s="116"/>
      <c r="IA67" s="116"/>
      <c r="IB67" s="116"/>
      <c r="IC67" s="116"/>
      <c r="ID67" s="116"/>
      <c r="IE67" s="116"/>
      <c r="IF67" s="116"/>
      <c r="IG67" s="116"/>
      <c r="IH67" s="116"/>
      <c r="II67" s="116"/>
      <c r="IJ67" s="116"/>
      <c r="IK67" s="116"/>
      <c r="IL67" s="116"/>
      <c r="IM67" s="116"/>
      <c r="IN67" s="116"/>
      <c r="IO67" s="116"/>
      <c r="IP67" s="116"/>
      <c r="IQ67" s="116"/>
      <c r="IR67" s="116"/>
      <c r="IS67" s="116"/>
      <c r="IT67" s="116"/>
      <c r="IU67" s="116"/>
      <c r="IV67" s="116"/>
      <c r="IW67" s="116"/>
      <c r="IX67" s="116"/>
      <c r="IY67" s="116"/>
      <c r="IZ67" s="116"/>
      <c r="JA67" s="116"/>
      <c r="JB67" s="116"/>
      <c r="JC67" s="116"/>
      <c r="JD67" s="116"/>
      <c r="JE67" s="116"/>
      <c r="JF67" s="116"/>
      <c r="JG67" s="116"/>
      <c r="JH67" s="116"/>
      <c r="JI67" s="116"/>
      <c r="JJ67" s="116"/>
      <c r="JK67" s="116"/>
      <c r="JL67" s="116"/>
      <c r="JM67" s="116"/>
      <c r="JN67" s="116"/>
      <c r="JO67" s="116"/>
      <c r="JP67" s="116"/>
      <c r="JQ67" s="116"/>
      <c r="JR67" s="116"/>
      <c r="JS67" s="116"/>
      <c r="JT67" s="123"/>
      <c r="JU67" s="116"/>
      <c r="JV67" s="116"/>
      <c r="JW67" s="116"/>
      <c r="JX67" s="116"/>
      <c r="JY67" s="116"/>
      <c r="JZ67" s="116"/>
      <c r="KA67" s="116"/>
      <c r="KB67" s="116"/>
      <c r="KC67" s="116"/>
      <c r="KD67" s="116"/>
      <c r="KE67" s="116"/>
      <c r="KF67" s="116"/>
      <c r="KG67" s="116"/>
      <c r="KH67" s="116"/>
      <c r="KI67" s="116"/>
      <c r="KJ67" s="116"/>
      <c r="KK67" s="116"/>
      <c r="KL67" s="116"/>
      <c r="KM67" s="116"/>
      <c r="KN67" s="116"/>
      <c r="KO67" s="116"/>
      <c r="KP67" s="116"/>
      <c r="KQ67" s="116"/>
      <c r="KR67" s="116"/>
      <c r="KS67" s="116"/>
      <c r="KT67" s="116"/>
      <c r="KU67" s="116"/>
      <c r="KV67" s="116"/>
      <c r="KW67" s="116"/>
      <c r="KX67" s="116"/>
      <c r="KY67" s="116"/>
      <c r="KZ67" s="116"/>
      <c r="LA67" s="116"/>
      <c r="LB67" s="116"/>
      <c r="LC67" s="116"/>
      <c r="LD67" s="116"/>
      <c r="LE67" s="116"/>
      <c r="LF67" s="116"/>
      <c r="LG67" s="116"/>
      <c r="LH67" s="116"/>
      <c r="LI67" s="116"/>
      <c r="LJ67" s="116"/>
      <c r="LK67" s="116"/>
    </row>
    <row r="68">
      <c r="A68" s="116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6"/>
      <c r="V68" s="118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  <c r="AM68" s="120"/>
      <c r="AN68" s="121"/>
      <c r="AO68" s="116"/>
      <c r="AP68" s="116"/>
      <c r="AQ68" s="116"/>
      <c r="AR68" s="116"/>
      <c r="AS68" s="116"/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/>
      <c r="BT68" s="121"/>
      <c r="BU68" s="116"/>
      <c r="BV68" s="116"/>
      <c r="BW68" s="116"/>
      <c r="BX68" s="116"/>
      <c r="BY68" s="116"/>
      <c r="BZ68" s="116"/>
      <c r="CA68" s="116"/>
      <c r="CB68" s="116"/>
      <c r="CC68" s="122"/>
      <c r="CD68" s="122"/>
      <c r="CE68" s="116"/>
      <c r="CF68" s="116"/>
      <c r="CG68" s="116"/>
      <c r="CH68" s="116"/>
      <c r="CI68" s="116"/>
      <c r="CJ68" s="116"/>
      <c r="CK68" s="116"/>
      <c r="CL68" s="116"/>
      <c r="CM68" s="116"/>
      <c r="CN68" s="116"/>
      <c r="CO68" s="116"/>
      <c r="CP68" s="116"/>
      <c r="CQ68" s="116"/>
      <c r="CR68" s="116"/>
      <c r="CS68" s="116"/>
      <c r="CT68" s="116"/>
      <c r="CU68" s="116"/>
      <c r="CV68" s="116"/>
      <c r="CW68" s="116"/>
      <c r="CX68" s="116"/>
      <c r="CY68" s="116"/>
      <c r="CZ68" s="116"/>
      <c r="DA68" s="116"/>
      <c r="DB68" s="116"/>
      <c r="DC68" s="116"/>
      <c r="DD68" s="116"/>
      <c r="DE68" s="116"/>
      <c r="DF68" s="116"/>
      <c r="DG68" s="116"/>
      <c r="DH68" s="116"/>
      <c r="DI68" s="116"/>
      <c r="DJ68" s="116"/>
      <c r="DK68" s="116"/>
      <c r="DL68" s="116"/>
      <c r="DM68" s="116"/>
      <c r="DN68" s="116"/>
      <c r="DO68" s="116"/>
      <c r="DP68" s="116"/>
      <c r="DQ68" s="116"/>
      <c r="DR68" s="116"/>
      <c r="DS68" s="116"/>
      <c r="DT68" s="116"/>
      <c r="DU68" s="116"/>
      <c r="DV68" s="116"/>
      <c r="DW68" s="116"/>
      <c r="DX68" s="116"/>
      <c r="DY68" s="116"/>
      <c r="DZ68" s="116"/>
      <c r="EA68" s="116"/>
      <c r="EB68" s="116"/>
      <c r="EC68" s="116"/>
      <c r="ED68" s="116"/>
      <c r="EE68" s="116"/>
      <c r="EF68" s="116"/>
      <c r="EG68" s="116"/>
      <c r="EH68" s="116"/>
      <c r="EI68" s="116"/>
      <c r="EJ68" s="116"/>
      <c r="EK68" s="116"/>
      <c r="EL68" s="116"/>
      <c r="EM68" s="116"/>
      <c r="EN68" s="116"/>
      <c r="EO68" s="116"/>
      <c r="EP68" s="116"/>
      <c r="EQ68" s="116"/>
      <c r="ER68" s="116"/>
      <c r="ES68" s="116"/>
      <c r="ET68" s="116"/>
      <c r="EU68" s="116"/>
      <c r="EV68" s="116"/>
      <c r="EW68" s="116"/>
      <c r="EX68" s="116"/>
      <c r="EY68" s="116"/>
      <c r="EZ68" s="116"/>
      <c r="FA68" s="116"/>
      <c r="FB68" s="116"/>
      <c r="FC68" s="116"/>
      <c r="FD68" s="116"/>
      <c r="FE68" s="116"/>
      <c r="FF68" s="116"/>
      <c r="FG68" s="116"/>
      <c r="FH68" s="116"/>
      <c r="FI68" s="116"/>
      <c r="FJ68" s="116"/>
      <c r="FK68" s="116"/>
      <c r="FL68" s="116"/>
      <c r="FM68" s="116"/>
      <c r="FN68" s="116"/>
      <c r="FO68" s="116"/>
      <c r="FP68" s="116"/>
      <c r="FQ68" s="116"/>
      <c r="FR68" s="116"/>
      <c r="FS68" s="116"/>
      <c r="FT68" s="116"/>
      <c r="FU68" s="116"/>
      <c r="FV68" s="116"/>
      <c r="FW68" s="116"/>
      <c r="FX68" s="116"/>
      <c r="FY68" s="116"/>
      <c r="FZ68" s="116"/>
      <c r="GA68" s="116"/>
      <c r="GB68" s="116"/>
      <c r="GC68" s="116"/>
      <c r="GD68" s="116"/>
      <c r="GE68" s="116"/>
      <c r="GF68" s="116"/>
      <c r="GG68" s="116"/>
      <c r="GH68" s="116"/>
      <c r="GI68" s="116"/>
      <c r="GJ68" s="116"/>
      <c r="GK68" s="116"/>
      <c r="GL68" s="116"/>
      <c r="GM68" s="118"/>
      <c r="GN68" s="116"/>
      <c r="GO68" s="116"/>
      <c r="GP68" s="116"/>
      <c r="GQ68" s="116"/>
      <c r="GR68" s="116"/>
      <c r="GS68" s="116"/>
      <c r="GT68" s="116"/>
      <c r="GU68" s="116"/>
      <c r="GV68" s="116"/>
      <c r="GW68" s="116"/>
      <c r="GX68" s="116"/>
      <c r="GY68" s="116"/>
      <c r="GZ68" s="116"/>
      <c r="HA68" s="116"/>
      <c r="HB68" s="116"/>
      <c r="HC68" s="116"/>
      <c r="HD68" s="116"/>
      <c r="HE68" s="116"/>
      <c r="HF68" s="116"/>
      <c r="HG68" s="116"/>
      <c r="HH68" s="116"/>
      <c r="HI68" s="116"/>
      <c r="HJ68" s="116"/>
      <c r="HK68" s="116"/>
      <c r="HL68" s="116"/>
      <c r="HM68" s="116"/>
      <c r="HN68" s="116"/>
      <c r="HO68" s="116"/>
      <c r="HP68" s="116"/>
      <c r="HQ68" s="116"/>
      <c r="HR68" s="116"/>
      <c r="HS68" s="116"/>
      <c r="HT68" s="116"/>
      <c r="HU68" s="116"/>
      <c r="HV68" s="116"/>
      <c r="HW68" s="116"/>
      <c r="HX68" s="116"/>
      <c r="HY68" s="116"/>
      <c r="HZ68" s="116"/>
      <c r="IA68" s="116"/>
      <c r="IB68" s="116"/>
      <c r="IC68" s="116"/>
      <c r="ID68" s="116"/>
      <c r="IE68" s="116"/>
      <c r="IF68" s="116"/>
      <c r="IG68" s="116"/>
      <c r="IH68" s="116"/>
      <c r="II68" s="116"/>
      <c r="IJ68" s="116"/>
      <c r="IK68" s="116"/>
      <c r="IL68" s="116"/>
      <c r="IM68" s="116"/>
      <c r="IN68" s="116"/>
      <c r="IO68" s="116"/>
      <c r="IP68" s="116"/>
      <c r="IQ68" s="116"/>
      <c r="IR68" s="116"/>
      <c r="IS68" s="116"/>
      <c r="IT68" s="116"/>
      <c r="IU68" s="116"/>
      <c r="IV68" s="116"/>
      <c r="IW68" s="116"/>
      <c r="IX68" s="116"/>
      <c r="IY68" s="116"/>
      <c r="IZ68" s="116"/>
      <c r="JA68" s="116"/>
      <c r="JB68" s="116"/>
      <c r="JC68" s="116"/>
      <c r="JD68" s="116"/>
      <c r="JE68" s="116"/>
      <c r="JF68" s="116"/>
      <c r="JG68" s="116"/>
      <c r="JH68" s="116"/>
      <c r="JI68" s="116"/>
      <c r="JJ68" s="116"/>
      <c r="JK68" s="116"/>
      <c r="JL68" s="116"/>
      <c r="JM68" s="116"/>
      <c r="JN68" s="116"/>
      <c r="JO68" s="116"/>
      <c r="JP68" s="116"/>
      <c r="JQ68" s="116"/>
      <c r="JR68" s="116"/>
      <c r="JS68" s="116"/>
      <c r="JT68" s="123"/>
      <c r="JU68" s="116"/>
      <c r="JV68" s="116"/>
      <c r="JW68" s="116"/>
      <c r="JX68" s="116"/>
      <c r="JY68" s="116"/>
      <c r="JZ68" s="116"/>
      <c r="KA68" s="116"/>
      <c r="KB68" s="116"/>
      <c r="KC68" s="116"/>
      <c r="KD68" s="116"/>
      <c r="KE68" s="116"/>
      <c r="KF68" s="116"/>
      <c r="KG68" s="116"/>
      <c r="KH68" s="116"/>
      <c r="KI68" s="116"/>
      <c r="KJ68" s="116"/>
      <c r="KK68" s="116"/>
      <c r="KL68" s="116"/>
      <c r="KM68" s="116"/>
      <c r="KN68" s="116"/>
      <c r="KO68" s="116"/>
      <c r="KP68" s="116"/>
      <c r="KQ68" s="116"/>
      <c r="KR68" s="116"/>
      <c r="KS68" s="116"/>
      <c r="KT68" s="116"/>
      <c r="KU68" s="116"/>
      <c r="KV68" s="116"/>
      <c r="KW68" s="116"/>
      <c r="KX68" s="116"/>
      <c r="KY68" s="116"/>
      <c r="KZ68" s="116"/>
      <c r="LA68" s="116"/>
      <c r="LB68" s="116"/>
      <c r="LC68" s="116"/>
      <c r="LD68" s="116"/>
      <c r="LE68" s="116"/>
      <c r="LF68" s="116"/>
      <c r="LG68" s="116"/>
      <c r="LH68" s="116"/>
      <c r="LI68" s="116"/>
      <c r="LJ68" s="116"/>
      <c r="LK68" s="116"/>
    </row>
    <row r="69">
      <c r="A69" s="190" t="s">
        <v>387</v>
      </c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33"/>
      <c r="V69" s="126"/>
      <c r="W69" s="33"/>
      <c r="X69" s="33"/>
      <c r="Y69" s="33"/>
      <c r="Z69" s="33"/>
      <c r="AA69" s="33"/>
      <c r="AB69" s="32" t="s">
        <v>388</v>
      </c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2" t="s">
        <v>389</v>
      </c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  <c r="CW69" s="33"/>
      <c r="CX69" s="33"/>
      <c r="CY69" s="33"/>
      <c r="CZ69" s="33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3"/>
      <c r="DL69" s="33"/>
      <c r="DM69" s="33"/>
      <c r="DN69" s="33"/>
      <c r="DO69" s="33"/>
      <c r="DP69" s="33"/>
      <c r="DQ69" s="32" t="s">
        <v>390</v>
      </c>
      <c r="DR69" s="33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  <c r="FE69" s="30"/>
      <c r="FF69" s="30"/>
      <c r="FG69" s="30"/>
      <c r="FH69" s="30"/>
      <c r="FI69" s="30"/>
      <c r="FJ69" s="30"/>
      <c r="FK69" s="30"/>
      <c r="FL69" s="30"/>
      <c r="FM69" s="30"/>
      <c r="FN69" s="30"/>
      <c r="FO69" s="30"/>
      <c r="FP69" s="30"/>
      <c r="FQ69" s="30"/>
      <c r="FR69" s="30"/>
      <c r="FS69" s="30"/>
      <c r="FT69" s="30"/>
      <c r="FU69" s="30"/>
      <c r="FV69" s="30"/>
      <c r="FW69" s="30"/>
      <c r="FX69" s="30"/>
      <c r="FY69" s="30"/>
      <c r="FZ69" s="30"/>
      <c r="GA69" s="30"/>
      <c r="GB69" s="30"/>
      <c r="GC69" s="30"/>
      <c r="GD69" s="30"/>
      <c r="GE69" s="30"/>
      <c r="GF69" s="30"/>
      <c r="GG69" s="30"/>
      <c r="GH69" s="30"/>
      <c r="GI69" s="30"/>
      <c r="GJ69" s="30"/>
      <c r="GK69" s="30"/>
      <c r="GL69" s="30"/>
      <c r="GM69" s="30"/>
      <c r="GN69" s="30"/>
      <c r="GO69" s="30"/>
      <c r="GP69" s="30"/>
      <c r="GQ69" s="30"/>
      <c r="GR69" s="30"/>
      <c r="GS69" s="30"/>
      <c r="GT69" s="30"/>
      <c r="GU69" s="30"/>
      <c r="GV69" s="30"/>
      <c r="GW69" s="30"/>
      <c r="GX69" s="30"/>
      <c r="GY69" s="30"/>
      <c r="GZ69" s="30"/>
      <c r="HA69" s="30"/>
      <c r="HB69" s="30"/>
      <c r="HC69" s="30"/>
      <c r="HD69" s="30"/>
      <c r="HE69" s="30"/>
      <c r="HF69" s="30"/>
      <c r="HG69" s="30"/>
      <c r="HH69" s="30"/>
      <c r="HI69" s="30"/>
      <c r="HJ69" s="30"/>
      <c r="HK69" s="30"/>
      <c r="HL69" s="30"/>
      <c r="HM69" s="30"/>
      <c r="HN69" s="30"/>
      <c r="HO69" s="30"/>
      <c r="HP69" s="30"/>
      <c r="HQ69" s="30"/>
      <c r="HR69" s="30"/>
      <c r="HS69" s="30"/>
      <c r="HT69" s="30"/>
      <c r="HU69" s="30"/>
      <c r="HV69" s="30"/>
      <c r="HW69" s="30"/>
      <c r="HX69" s="30"/>
      <c r="HY69" s="30"/>
      <c r="HZ69" s="30"/>
      <c r="IA69" s="30"/>
      <c r="IB69" s="30"/>
      <c r="IC69" s="30"/>
      <c r="ID69" s="30"/>
      <c r="IE69" s="30"/>
      <c r="IF69" s="30"/>
      <c r="IG69" s="30"/>
      <c r="IH69" s="30"/>
      <c r="II69" s="30"/>
      <c r="IJ69" s="30"/>
      <c r="IK69" s="30"/>
      <c r="IL69" s="30"/>
      <c r="IM69" s="30"/>
      <c r="IN69" s="30"/>
      <c r="IO69" s="30"/>
      <c r="IP69" s="30"/>
      <c r="IQ69" s="30"/>
      <c r="IR69" s="30"/>
      <c r="IS69" s="30"/>
      <c r="IT69" s="30"/>
      <c r="IU69" s="30"/>
      <c r="IV69" s="30"/>
      <c r="IW69" s="30"/>
      <c r="IX69" s="30"/>
      <c r="IY69" s="30"/>
      <c r="IZ69" s="30"/>
      <c r="JA69" s="30"/>
      <c r="JB69" s="30"/>
      <c r="JC69" s="30"/>
      <c r="JD69" s="30"/>
      <c r="JE69" s="30"/>
      <c r="JF69" s="30"/>
      <c r="JG69" s="30"/>
      <c r="JH69" s="30"/>
      <c r="JI69" s="30"/>
      <c r="JJ69" s="30"/>
      <c r="JK69" s="30"/>
      <c r="JL69" s="30"/>
      <c r="JM69" s="30"/>
      <c r="JN69" s="30"/>
      <c r="JO69" s="30"/>
      <c r="JP69" s="30"/>
      <c r="JQ69" s="30"/>
      <c r="JR69" s="30"/>
      <c r="JS69" s="30"/>
      <c r="JT69" s="30"/>
      <c r="JU69" s="30"/>
      <c r="JV69" s="30"/>
      <c r="JW69" s="30"/>
      <c r="JX69" s="30"/>
      <c r="JY69" s="30"/>
      <c r="JZ69" s="30"/>
      <c r="KA69" s="30"/>
      <c r="KB69" s="30"/>
      <c r="KC69" s="30"/>
      <c r="KD69" s="30"/>
      <c r="KE69" s="30"/>
      <c r="KF69" s="30"/>
      <c r="KG69" s="30"/>
      <c r="KH69" s="30"/>
      <c r="KI69" s="30"/>
      <c r="KJ69" s="30"/>
      <c r="KK69" s="30"/>
      <c r="KL69" s="30"/>
      <c r="KM69" s="30"/>
      <c r="KN69" s="30"/>
      <c r="KO69" s="30"/>
      <c r="KP69" s="30"/>
      <c r="KQ69" s="30"/>
      <c r="KR69" s="30"/>
      <c r="KS69" s="30"/>
      <c r="KT69" s="30"/>
      <c r="KU69" s="30"/>
      <c r="KV69" s="30"/>
      <c r="KW69" s="30"/>
      <c r="KX69" s="30"/>
      <c r="KY69" s="30"/>
      <c r="KZ69" s="30"/>
      <c r="LA69" s="30"/>
      <c r="LB69" s="30"/>
      <c r="LC69" s="30"/>
      <c r="LD69" s="30"/>
      <c r="LE69" s="30"/>
      <c r="LF69" s="30"/>
      <c r="LG69" s="30"/>
      <c r="LH69" s="30"/>
      <c r="LI69" s="30"/>
      <c r="LJ69" s="30"/>
      <c r="LK69" s="30"/>
    </row>
    <row r="70">
      <c r="A70" s="192"/>
      <c r="B70" s="134" t="s">
        <v>19</v>
      </c>
      <c r="C70" s="134" t="s">
        <v>20</v>
      </c>
      <c r="D70" s="134" t="s">
        <v>21</v>
      </c>
      <c r="E70" s="134" t="s">
        <v>22</v>
      </c>
      <c r="F70" s="134" t="s">
        <v>23</v>
      </c>
      <c r="G70" s="134" t="s">
        <v>24</v>
      </c>
      <c r="H70" s="134" t="s">
        <v>25</v>
      </c>
      <c r="I70" s="134" t="s">
        <v>26</v>
      </c>
      <c r="J70" s="134" t="s">
        <v>27</v>
      </c>
      <c r="K70" s="134" t="s">
        <v>28</v>
      </c>
      <c r="L70" s="134" t="s">
        <v>29</v>
      </c>
      <c r="M70" s="134" t="s">
        <v>30</v>
      </c>
      <c r="N70" s="134" t="s">
        <v>31</v>
      </c>
      <c r="O70" s="134"/>
      <c r="P70" s="134" t="s">
        <v>32</v>
      </c>
      <c r="Q70" s="134" t="s">
        <v>351</v>
      </c>
      <c r="R70" s="134" t="s">
        <v>34</v>
      </c>
      <c r="S70" s="134" t="s">
        <v>35</v>
      </c>
      <c r="T70" s="134" t="s">
        <v>36</v>
      </c>
      <c r="U70" s="135" t="s">
        <v>37</v>
      </c>
      <c r="V70" s="134" t="s">
        <v>38</v>
      </c>
      <c r="W70" s="135" t="s">
        <v>39</v>
      </c>
      <c r="X70" s="135" t="s">
        <v>40</v>
      </c>
      <c r="Y70" s="136"/>
      <c r="AB70" s="38" t="s">
        <v>41</v>
      </c>
      <c r="AC70" s="38" t="s">
        <v>42</v>
      </c>
      <c r="AD70" s="38" t="s">
        <v>43</v>
      </c>
      <c r="AE70" s="38" t="s">
        <v>44</v>
      </c>
      <c r="AF70" s="38" t="s">
        <v>45</v>
      </c>
      <c r="AG70" s="38" t="s">
        <v>46</v>
      </c>
      <c r="AH70" s="38" t="s">
        <v>47</v>
      </c>
      <c r="AI70" s="38" t="s">
        <v>48</v>
      </c>
      <c r="AJ70" s="38" t="s">
        <v>49</v>
      </c>
      <c r="AK70" s="38" t="s">
        <v>50</v>
      </c>
      <c r="AL70" s="38" t="s">
        <v>51</v>
      </c>
      <c r="AM70" s="38" t="s">
        <v>52</v>
      </c>
      <c r="AN70" s="38" t="s">
        <v>53</v>
      </c>
      <c r="AO70" s="38" t="s">
        <v>54</v>
      </c>
      <c r="AP70" s="38" t="s">
        <v>55</v>
      </c>
      <c r="AQ70" s="38" t="s">
        <v>56</v>
      </c>
      <c r="AR70" s="38" t="s">
        <v>57</v>
      </c>
      <c r="AS70" s="38" t="s">
        <v>352</v>
      </c>
      <c r="AT70" s="38" t="s">
        <v>353</v>
      </c>
      <c r="AU70" s="38" t="s">
        <v>58</v>
      </c>
      <c r="AV70" s="38" t="s">
        <v>59</v>
      </c>
      <c r="AW70" s="38" t="s">
        <v>60</v>
      </c>
      <c r="AX70" s="38"/>
      <c r="AY70" s="38" t="s">
        <v>61</v>
      </c>
      <c r="AZ70" s="38" t="s">
        <v>62</v>
      </c>
      <c r="BA70" s="38" t="s">
        <v>63</v>
      </c>
      <c r="BB70" s="38"/>
      <c r="BC70" s="38" t="s">
        <v>64</v>
      </c>
      <c r="BD70" s="40" t="s">
        <v>65</v>
      </c>
      <c r="BE70" s="38" t="s">
        <v>66</v>
      </c>
      <c r="BF70" s="38" t="s">
        <v>67</v>
      </c>
      <c r="BG70" s="38" t="s">
        <v>354</v>
      </c>
      <c r="BH70" s="38" t="s">
        <v>355</v>
      </c>
      <c r="BI70" s="38" t="s">
        <v>68</v>
      </c>
      <c r="BJ70" s="38" t="s">
        <v>69</v>
      </c>
      <c r="BK70" s="38" t="s">
        <v>70</v>
      </c>
      <c r="BL70" s="38" t="s">
        <v>71</v>
      </c>
      <c r="BM70" s="38" t="s">
        <v>72</v>
      </c>
      <c r="BN70" s="38" t="s">
        <v>73</v>
      </c>
      <c r="BO70" s="38" t="s">
        <v>74</v>
      </c>
      <c r="BP70" s="38" t="s">
        <v>75</v>
      </c>
      <c r="BQ70" s="38" t="s">
        <v>76</v>
      </c>
      <c r="BR70" s="38" t="s">
        <v>77</v>
      </c>
      <c r="BS70" s="38" t="s">
        <v>78</v>
      </c>
      <c r="BT70" s="38" t="s">
        <v>79</v>
      </c>
      <c r="BU70" s="38" t="s">
        <v>80</v>
      </c>
      <c r="BV70" s="38" t="s">
        <v>81</v>
      </c>
      <c r="BW70" s="38" t="s">
        <v>82</v>
      </c>
      <c r="BX70" s="38" t="s">
        <v>83</v>
      </c>
      <c r="BY70" s="38" t="s">
        <v>84</v>
      </c>
      <c r="BZ70" s="38" t="s">
        <v>85</v>
      </c>
      <c r="CA70" s="38" t="s">
        <v>86</v>
      </c>
      <c r="CB70" s="38" t="s">
        <v>87</v>
      </c>
      <c r="CC70" s="38" t="s">
        <v>88</v>
      </c>
      <c r="CD70" s="38" t="s">
        <v>89</v>
      </c>
      <c r="CF70" s="41"/>
      <c r="CG70" s="41" t="s">
        <v>90</v>
      </c>
      <c r="CH70" s="41" t="s">
        <v>91</v>
      </c>
      <c r="CI70" s="41" t="s">
        <v>92</v>
      </c>
      <c r="CJ70" s="41" t="s">
        <v>93</v>
      </c>
      <c r="CK70" s="41" t="s">
        <v>94</v>
      </c>
      <c r="CL70" s="41"/>
      <c r="CM70" s="41" t="s">
        <v>95</v>
      </c>
      <c r="CN70" s="41" t="s">
        <v>96</v>
      </c>
      <c r="CO70" s="41" t="s">
        <v>45</v>
      </c>
      <c r="CP70" s="41" t="s">
        <v>97</v>
      </c>
      <c r="CQ70" s="41" t="s">
        <v>98</v>
      </c>
      <c r="CR70" s="41" t="s">
        <v>99</v>
      </c>
      <c r="CS70" s="41" t="s">
        <v>48</v>
      </c>
      <c r="CT70" s="41" t="s">
        <v>100</v>
      </c>
      <c r="CU70" s="41" t="s">
        <v>101</v>
      </c>
      <c r="CV70" s="41" t="s">
        <v>102</v>
      </c>
      <c r="CW70" s="41" t="s">
        <v>103</v>
      </c>
      <c r="CX70" s="41" t="s">
        <v>67</v>
      </c>
      <c r="CY70" s="41" t="s">
        <v>104</v>
      </c>
      <c r="CZ70" s="41" t="s">
        <v>105</v>
      </c>
      <c r="DA70" s="41" t="s">
        <v>107</v>
      </c>
      <c r="DB70" s="41" t="s">
        <v>108</v>
      </c>
      <c r="DC70" s="41" t="s">
        <v>109</v>
      </c>
      <c r="DD70" s="41" t="s">
        <v>110</v>
      </c>
      <c r="DE70" s="41" t="s">
        <v>111</v>
      </c>
      <c r="DF70" s="41" t="s">
        <v>112</v>
      </c>
      <c r="DG70" s="41" t="s">
        <v>113</v>
      </c>
      <c r="DH70" s="41" t="s">
        <v>114</v>
      </c>
      <c r="DI70" s="41" t="s">
        <v>115</v>
      </c>
      <c r="DJ70" s="41" t="s">
        <v>116</v>
      </c>
      <c r="DK70" s="41" t="s">
        <v>117</v>
      </c>
      <c r="DL70" s="41" t="s">
        <v>118</v>
      </c>
      <c r="DM70" s="41" t="s">
        <v>119</v>
      </c>
      <c r="DQ70" s="43"/>
      <c r="DR70" s="43" t="s">
        <v>356</v>
      </c>
      <c r="DS70" s="44" t="s">
        <v>357</v>
      </c>
      <c r="DT70" s="43" t="s">
        <v>120</v>
      </c>
      <c r="DU70" s="43" t="s">
        <v>121</v>
      </c>
      <c r="DV70" s="43" t="s">
        <v>122</v>
      </c>
      <c r="DW70" s="43"/>
      <c r="DX70" s="43" t="s">
        <v>123</v>
      </c>
      <c r="DY70" s="43" t="s">
        <v>20</v>
      </c>
      <c r="DZ70" s="44" t="s">
        <v>125</v>
      </c>
      <c r="EA70" s="43" t="s">
        <v>126</v>
      </c>
      <c r="EB70" s="44" t="s">
        <v>358</v>
      </c>
      <c r="EC70" s="43" t="s">
        <v>359</v>
      </c>
      <c r="ED70" s="44" t="s">
        <v>360</v>
      </c>
      <c r="EE70" s="43" t="s">
        <v>127</v>
      </c>
      <c r="EF70" s="43" t="s">
        <v>128</v>
      </c>
      <c r="EG70" s="43" t="s">
        <v>129</v>
      </c>
      <c r="EH70" s="43" t="s">
        <v>130</v>
      </c>
      <c r="EI70" s="43" t="s">
        <v>131</v>
      </c>
      <c r="EJ70" s="43" t="s">
        <v>132</v>
      </c>
      <c r="EK70" s="43" t="s">
        <v>133</v>
      </c>
      <c r="EL70" s="43" t="s">
        <v>134</v>
      </c>
      <c r="EM70" s="43" t="s">
        <v>135</v>
      </c>
      <c r="EN70" s="44" t="s">
        <v>361</v>
      </c>
      <c r="EO70" s="43" t="s">
        <v>136</v>
      </c>
      <c r="EP70" s="43" t="s">
        <v>137</v>
      </c>
      <c r="EQ70" s="43" t="s">
        <v>138</v>
      </c>
      <c r="ER70" s="43" t="s">
        <v>139</v>
      </c>
      <c r="ES70" s="43" t="s">
        <v>140</v>
      </c>
      <c r="ET70" s="43" t="s">
        <v>141</v>
      </c>
      <c r="EU70" s="43"/>
      <c r="EV70" s="43" t="s">
        <v>143</v>
      </c>
      <c r="EW70" s="43" t="s">
        <v>144</v>
      </c>
      <c r="EX70" s="44" t="s">
        <v>145</v>
      </c>
      <c r="EY70" s="43" t="s">
        <v>146</v>
      </c>
      <c r="EZ70" s="43" t="s">
        <v>147</v>
      </c>
      <c r="FA70" s="43" t="s">
        <v>148</v>
      </c>
      <c r="FB70" s="44" t="s">
        <v>362</v>
      </c>
      <c r="FC70" s="43" t="s">
        <v>149</v>
      </c>
      <c r="FD70" s="43" t="s">
        <v>151</v>
      </c>
      <c r="FE70" s="44" t="s">
        <v>363</v>
      </c>
      <c r="FF70" s="43" t="s">
        <v>152</v>
      </c>
      <c r="FG70" s="43" t="s">
        <v>153</v>
      </c>
      <c r="FH70" s="43" t="s">
        <v>364</v>
      </c>
      <c r="FI70" s="43" t="s">
        <v>154</v>
      </c>
      <c r="FJ70" s="43" t="s">
        <v>155</v>
      </c>
      <c r="FK70" s="44" t="s">
        <v>156</v>
      </c>
      <c r="FL70" s="44" t="s">
        <v>157</v>
      </c>
      <c r="FM70" s="44" t="s">
        <v>158</v>
      </c>
      <c r="FN70" s="43" t="s">
        <v>391</v>
      </c>
      <c r="FO70" s="43" t="s">
        <v>160</v>
      </c>
      <c r="FP70" s="44" t="s">
        <v>365</v>
      </c>
      <c r="FQ70" s="43" t="s">
        <v>161</v>
      </c>
      <c r="FR70" s="43" t="s">
        <v>162</v>
      </c>
      <c r="FS70" s="44" t="s">
        <v>366</v>
      </c>
      <c r="FT70" s="44" t="s">
        <v>367</v>
      </c>
      <c r="FU70" s="43" t="s">
        <v>368</v>
      </c>
      <c r="FV70" s="43" t="s">
        <v>163</v>
      </c>
      <c r="FW70" s="43" t="s">
        <v>164</v>
      </c>
      <c r="FX70" s="46" t="s">
        <v>165</v>
      </c>
      <c r="FY70" s="43" t="s">
        <v>369</v>
      </c>
      <c r="FZ70" s="43" t="s">
        <v>167</v>
      </c>
      <c r="GA70" s="43" t="s">
        <v>168</v>
      </c>
      <c r="GB70" s="43" t="s">
        <v>169</v>
      </c>
      <c r="GC70" s="43" t="s">
        <v>170</v>
      </c>
      <c r="GD70" s="43" t="s">
        <v>171</v>
      </c>
      <c r="GE70" s="43" t="s">
        <v>172</v>
      </c>
      <c r="GF70" s="43" t="s">
        <v>173</v>
      </c>
      <c r="GG70" s="43" t="s">
        <v>174</v>
      </c>
      <c r="GH70" s="43" t="s">
        <v>175</v>
      </c>
      <c r="GI70" s="43" t="s">
        <v>176</v>
      </c>
      <c r="GJ70" s="47" t="s">
        <v>177</v>
      </c>
      <c r="GK70" s="43" t="s">
        <v>178</v>
      </c>
      <c r="GL70" s="43" t="s">
        <v>179</v>
      </c>
      <c r="GM70" s="43" t="s">
        <v>180</v>
      </c>
      <c r="GN70" s="43"/>
      <c r="GO70" s="43" t="s">
        <v>181</v>
      </c>
      <c r="GP70" s="44" t="s">
        <v>370</v>
      </c>
      <c r="GQ70" s="43" t="s">
        <v>182</v>
      </c>
      <c r="GR70" s="43" t="s">
        <v>183</v>
      </c>
      <c r="GS70" s="43" t="s">
        <v>184</v>
      </c>
      <c r="GT70" s="43" t="s">
        <v>185</v>
      </c>
      <c r="GU70" s="43" t="s">
        <v>186</v>
      </c>
      <c r="GV70" s="43" t="s">
        <v>187</v>
      </c>
      <c r="GW70" s="43" t="s">
        <v>188</v>
      </c>
      <c r="GX70" s="43" t="s">
        <v>189</v>
      </c>
      <c r="GY70" s="43" t="s">
        <v>190</v>
      </c>
      <c r="GZ70" s="43" t="s">
        <v>191</v>
      </c>
      <c r="HA70" s="44" t="s">
        <v>371</v>
      </c>
      <c r="HB70" s="44" t="s">
        <v>372</v>
      </c>
      <c r="HC70" s="43" t="s">
        <v>192</v>
      </c>
      <c r="HD70" s="44" t="s">
        <v>373</v>
      </c>
      <c r="HE70" s="44" t="s">
        <v>374</v>
      </c>
      <c r="HF70" s="47" t="s">
        <v>194</v>
      </c>
      <c r="HG70" s="43" t="s">
        <v>195</v>
      </c>
      <c r="HH70" s="43" t="s">
        <v>196</v>
      </c>
      <c r="HI70" s="43" t="s">
        <v>197</v>
      </c>
      <c r="HJ70" s="43" t="s">
        <v>198</v>
      </c>
      <c r="HK70" s="43" t="s">
        <v>199</v>
      </c>
      <c r="HL70" s="43" t="s">
        <v>200</v>
      </c>
      <c r="HM70" s="44" t="s">
        <v>201</v>
      </c>
      <c r="HN70" s="43" t="s">
        <v>202</v>
      </c>
      <c r="HO70" s="43" t="s">
        <v>203</v>
      </c>
      <c r="HP70" s="43" t="s">
        <v>204</v>
      </c>
      <c r="HQ70" s="43" t="s">
        <v>205</v>
      </c>
      <c r="HR70" s="43" t="s">
        <v>206</v>
      </c>
      <c r="HS70" s="43" t="s">
        <v>207</v>
      </c>
      <c r="HT70" s="43" t="s">
        <v>208</v>
      </c>
      <c r="HU70" s="43" t="s">
        <v>209</v>
      </c>
      <c r="HV70" s="43" t="s">
        <v>210</v>
      </c>
      <c r="HW70" s="43" t="s">
        <v>211</v>
      </c>
      <c r="HX70" s="43" t="s">
        <v>212</v>
      </c>
      <c r="HY70" s="43" t="s">
        <v>213</v>
      </c>
      <c r="HZ70" s="43" t="s">
        <v>214</v>
      </c>
      <c r="IA70" s="43" t="s">
        <v>215</v>
      </c>
      <c r="IB70" s="43" t="s">
        <v>216</v>
      </c>
      <c r="IC70" s="43" t="s">
        <v>217</v>
      </c>
      <c r="ID70" s="43" t="s">
        <v>218</v>
      </c>
      <c r="IE70" s="43" t="s">
        <v>219</v>
      </c>
      <c r="IF70" s="43" t="s">
        <v>220</v>
      </c>
      <c r="IG70" s="43" t="s">
        <v>221</v>
      </c>
      <c r="IH70" s="43" t="s">
        <v>222</v>
      </c>
      <c r="II70" s="44" t="s">
        <v>375</v>
      </c>
      <c r="IJ70" s="44" t="s">
        <v>376</v>
      </c>
      <c r="IK70" s="43" t="s">
        <v>223</v>
      </c>
      <c r="IL70" s="43" t="s">
        <v>224</v>
      </c>
      <c r="IM70" s="43" t="s">
        <v>225</v>
      </c>
      <c r="IN70" s="43" t="s">
        <v>226</v>
      </c>
      <c r="IO70" s="43" t="s">
        <v>228</v>
      </c>
      <c r="IP70" s="43" t="s">
        <v>229</v>
      </c>
      <c r="IQ70" s="43" t="s">
        <v>230</v>
      </c>
      <c r="IR70" s="44" t="s">
        <v>231</v>
      </c>
      <c r="IS70" s="43" t="s">
        <v>232</v>
      </c>
      <c r="IT70" s="43" t="s">
        <v>233</v>
      </c>
      <c r="IU70" s="43" t="s">
        <v>234</v>
      </c>
      <c r="IV70" s="43" t="s">
        <v>235</v>
      </c>
      <c r="IW70" s="43" t="s">
        <v>236</v>
      </c>
      <c r="IX70" s="43" t="s">
        <v>237</v>
      </c>
      <c r="IY70" s="44" t="s">
        <v>238</v>
      </c>
      <c r="IZ70" s="44" t="s">
        <v>239</v>
      </c>
      <c r="JA70" s="43" t="s">
        <v>240</v>
      </c>
      <c r="JB70" s="43" t="s">
        <v>241</v>
      </c>
      <c r="JC70" s="44" t="s">
        <v>242</v>
      </c>
      <c r="JD70" s="44" t="s">
        <v>243</v>
      </c>
      <c r="JE70" s="43" t="s">
        <v>244</v>
      </c>
      <c r="JF70" s="44" t="s">
        <v>377</v>
      </c>
      <c r="JG70" s="43" t="s">
        <v>378</v>
      </c>
      <c r="JH70" s="43" t="s">
        <v>245</v>
      </c>
      <c r="JI70" s="43" t="s">
        <v>246</v>
      </c>
      <c r="JJ70" s="44" t="s">
        <v>247</v>
      </c>
      <c r="JK70" s="43" t="s">
        <v>248</v>
      </c>
      <c r="JL70" s="43" t="s">
        <v>249</v>
      </c>
      <c r="JM70" s="43" t="s">
        <v>250</v>
      </c>
      <c r="JN70" s="43" t="s">
        <v>251</v>
      </c>
      <c r="JO70" s="43" t="s">
        <v>252</v>
      </c>
      <c r="JP70" s="43" t="s">
        <v>253</v>
      </c>
      <c r="JQ70" s="43" t="s">
        <v>254</v>
      </c>
      <c r="JR70" s="43" t="s">
        <v>255</v>
      </c>
      <c r="JS70" s="43" t="s">
        <v>256</v>
      </c>
      <c r="JT70" s="43" t="s">
        <v>257</v>
      </c>
      <c r="JU70" s="43"/>
      <c r="JV70" s="43" t="s">
        <v>258</v>
      </c>
      <c r="JW70" s="43" t="s">
        <v>259</v>
      </c>
      <c r="JX70" s="43" t="s">
        <v>260</v>
      </c>
      <c r="JY70" s="43" t="s">
        <v>261</v>
      </c>
      <c r="JZ70" s="43" t="s">
        <v>262</v>
      </c>
      <c r="KA70" s="43"/>
      <c r="KB70" s="43" t="s">
        <v>263</v>
      </c>
      <c r="KC70" s="43" t="s">
        <v>25</v>
      </c>
      <c r="KD70" s="43" t="s">
        <v>265</v>
      </c>
      <c r="KE70" s="43"/>
      <c r="KF70" s="43" t="s">
        <v>266</v>
      </c>
      <c r="KG70" s="43" t="s">
        <v>267</v>
      </c>
      <c r="KH70" s="43" t="s">
        <v>268</v>
      </c>
      <c r="KI70" s="43" t="s">
        <v>269</v>
      </c>
      <c r="KJ70" s="43" t="s">
        <v>270</v>
      </c>
      <c r="KK70" s="43" t="s">
        <v>271</v>
      </c>
      <c r="KL70" s="43" t="s">
        <v>272</v>
      </c>
      <c r="KM70" s="43" t="s">
        <v>273</v>
      </c>
      <c r="KN70" s="43" t="s">
        <v>274</v>
      </c>
      <c r="KO70" s="43"/>
      <c r="KP70" s="43" t="s">
        <v>275</v>
      </c>
      <c r="KQ70" s="43" t="s">
        <v>276</v>
      </c>
      <c r="KR70" s="43" t="s">
        <v>277</v>
      </c>
      <c r="KS70" s="43"/>
      <c r="KT70" s="43" t="s">
        <v>278</v>
      </c>
      <c r="KU70" s="44" t="s">
        <v>379</v>
      </c>
      <c r="KV70" s="43" t="s">
        <v>279</v>
      </c>
      <c r="KW70" s="43" t="s">
        <v>280</v>
      </c>
      <c r="KX70" s="43" t="s">
        <v>281</v>
      </c>
      <c r="KY70" s="43" t="s">
        <v>282</v>
      </c>
      <c r="KZ70" s="43" t="s">
        <v>283</v>
      </c>
      <c r="LA70" s="44" t="s">
        <v>380</v>
      </c>
      <c r="LB70" s="43" t="s">
        <v>284</v>
      </c>
      <c r="LC70" s="43" t="s">
        <v>285</v>
      </c>
      <c r="LD70" s="44" t="s">
        <v>381</v>
      </c>
      <c r="LE70" s="43" t="s">
        <v>286</v>
      </c>
      <c r="LF70" s="43"/>
      <c r="LG70" s="43" t="s">
        <v>287</v>
      </c>
      <c r="LH70" s="43" t="s">
        <v>33</v>
      </c>
      <c r="LI70" s="43" t="s">
        <v>288</v>
      </c>
      <c r="LJ70" s="43" t="s">
        <v>289</v>
      </c>
      <c r="LK70" s="139"/>
    </row>
    <row r="71">
      <c r="A71" s="49" t="s">
        <v>291</v>
      </c>
      <c r="B71" s="146">
        <v>1.44024047563333E10</v>
      </c>
      <c r="C71" s="146">
        <v>1.133801142968E10</v>
      </c>
      <c r="D71" s="147">
        <f t="shared" ref="D71:D81" si="21">B71-C71</f>
        <v>3064393327</v>
      </c>
      <c r="E71" s="146"/>
      <c r="F71" s="146">
        <v>1.962242313E9</v>
      </c>
      <c r="G71" s="146">
        <v>5.80833939E8</v>
      </c>
      <c r="H71" s="146"/>
      <c r="I71" s="53">
        <f t="shared" ref="I71:I81" si="22">SUM(F71:H71)</f>
        <v>2543076252</v>
      </c>
      <c r="J71" s="53">
        <f t="shared" ref="J71:J81" si="23">D71-I71</f>
        <v>521317074.7</v>
      </c>
      <c r="K71" s="146"/>
      <c r="L71" s="146">
        <v>1.5922322276E8</v>
      </c>
      <c r="M71" s="146">
        <v>7.09113438893176E8</v>
      </c>
      <c r="N71" s="52">
        <f t="shared" ref="N71:N81" si="24">L71-M71</f>
        <v>-549890216.1</v>
      </c>
      <c r="O71" s="146"/>
      <c r="P71" s="53">
        <f t="shared" ref="P71:P81" si="25">J71+N71</f>
        <v>-28573141.48</v>
      </c>
      <c r="Q71" s="146"/>
      <c r="R71" s="146"/>
      <c r="S71" s="146"/>
      <c r="T71" s="53">
        <f t="shared" ref="T71:T81" si="26">P71-S71</f>
        <v>-28573141.48</v>
      </c>
      <c r="U71" s="27"/>
      <c r="V71" s="28"/>
      <c r="W71" s="27"/>
      <c r="X71" s="195">
        <f t="shared" ref="X71:X81" si="27">T71-W71</f>
        <v>-28573141.48</v>
      </c>
      <c r="Y71" s="27"/>
      <c r="AB71" s="27"/>
      <c r="AC71" s="27"/>
      <c r="AD71" s="28">
        <v>2.9481353313E10</v>
      </c>
      <c r="AE71" s="28">
        <v>3.4826715531E10</v>
      </c>
      <c r="AF71" s="28"/>
      <c r="AG71" s="28">
        <v>-2.96330822E9</v>
      </c>
      <c r="AH71" s="28">
        <v>1.4814138402E10</v>
      </c>
      <c r="AI71" s="28">
        <v>4.595428152E10</v>
      </c>
      <c r="AJ71" s="27"/>
      <c r="AK71" s="28"/>
      <c r="AL71" s="28">
        <v>9.886089919E9</v>
      </c>
      <c r="AM71" s="28">
        <v>2.414988217E9</v>
      </c>
      <c r="AN71" s="62">
        <v>1.52648391197E11</v>
      </c>
      <c r="AO71" s="27"/>
      <c r="AP71" s="27" t="s">
        <v>295</v>
      </c>
      <c r="AQ71" s="28">
        <v>2.7434369327E10</v>
      </c>
      <c r="AR71" s="28">
        <v>1.93650142E8</v>
      </c>
      <c r="AS71" s="28"/>
      <c r="AT71" s="28"/>
      <c r="AU71" s="28">
        <v>8.9844945E8</v>
      </c>
      <c r="AV71" s="62">
        <v>2.8526468919E10</v>
      </c>
      <c r="AW71" s="62">
        <v>1.81174860116E11</v>
      </c>
      <c r="AX71" s="27"/>
      <c r="AY71" s="27"/>
      <c r="AZ71" s="27"/>
      <c r="BA71" s="28">
        <v>3.6626395187E10</v>
      </c>
      <c r="BB71" s="28"/>
      <c r="BC71" s="28">
        <v>1.759103024E9</v>
      </c>
      <c r="BD71" s="27" t="s">
        <v>295</v>
      </c>
      <c r="BE71" s="28">
        <v>3.379852846E9</v>
      </c>
      <c r="BF71" s="28">
        <v>3.57927E8</v>
      </c>
      <c r="BG71" s="28"/>
      <c r="BH71" s="28"/>
      <c r="BI71" s="28">
        <v>8.092318165E9</v>
      </c>
      <c r="BJ71" s="27" t="s">
        <v>295</v>
      </c>
      <c r="BK71" s="28">
        <v>9.0372709582E10</v>
      </c>
      <c r="BL71" s="62">
        <v>1.40588305803E11</v>
      </c>
      <c r="BM71" s="27"/>
      <c r="BN71" s="27" t="s">
        <v>295</v>
      </c>
      <c r="BO71" s="28">
        <v>1.29766E8</v>
      </c>
      <c r="BP71" s="27"/>
      <c r="BQ71" s="28">
        <v>4.348075409E9</v>
      </c>
      <c r="BR71" s="28">
        <v>1686636.0</v>
      </c>
      <c r="BS71" s="28">
        <v>4.479528045E9</v>
      </c>
      <c r="BT71" s="62">
        <v>1.45067833848E11</v>
      </c>
      <c r="BU71" s="27"/>
      <c r="BV71" s="28">
        <v>1.29E9</v>
      </c>
      <c r="BW71" s="27"/>
      <c r="BX71" s="28">
        <v>-2.8573141E7</v>
      </c>
      <c r="BY71" s="28">
        <v>3.4906015399E10</v>
      </c>
      <c r="BZ71" s="28">
        <v>-6.0415989E7</v>
      </c>
      <c r="CA71" s="27"/>
      <c r="CB71" s="27"/>
      <c r="CC71" s="62">
        <v>3.6107026269E10</v>
      </c>
      <c r="CD71" s="62">
        <v>1.81174860117E11</v>
      </c>
      <c r="CF71" s="49" t="s">
        <v>291</v>
      </c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P71" s="64"/>
      <c r="DQ71" s="49" t="s">
        <v>291</v>
      </c>
      <c r="DR71" s="28"/>
      <c r="DS71" s="28"/>
      <c r="DT71" s="27"/>
      <c r="DU71" s="27"/>
      <c r="DV71" s="28"/>
      <c r="DW71" s="27"/>
      <c r="DX71" s="27"/>
      <c r="DY71" s="28"/>
      <c r="DZ71" s="28"/>
      <c r="EA71" s="28"/>
      <c r="EB71" s="27"/>
      <c r="EC71" s="27"/>
      <c r="ED71" s="27"/>
      <c r="EE71" s="28"/>
      <c r="EF71" s="28"/>
      <c r="EG71" s="28"/>
      <c r="EH71" s="28"/>
      <c r="EI71" s="27"/>
      <c r="EJ71" s="28"/>
      <c r="EK71" s="28"/>
      <c r="EL71" s="28"/>
      <c r="EM71" s="28"/>
      <c r="EN71" s="27"/>
      <c r="EO71" s="28"/>
      <c r="EP71" s="28"/>
      <c r="EQ71" s="27"/>
      <c r="ER71" s="28"/>
      <c r="ES71" s="28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  <c r="FS71" s="27"/>
      <c r="FT71" s="27"/>
      <c r="FU71" s="27"/>
      <c r="FV71" s="27"/>
      <c r="FW71" s="27"/>
      <c r="FX71" s="27"/>
      <c r="FY71" s="27"/>
      <c r="FZ71" s="27"/>
      <c r="GA71" s="27"/>
      <c r="GB71" s="27"/>
      <c r="GC71" s="27"/>
      <c r="GD71" s="27"/>
      <c r="GE71" s="27"/>
      <c r="GF71" s="27"/>
      <c r="GG71" s="27"/>
      <c r="GH71" s="27"/>
      <c r="GI71" s="27"/>
      <c r="GJ71" s="27"/>
      <c r="GK71" s="27"/>
      <c r="GL71" s="28"/>
      <c r="GM71" s="28">
        <v>1.133801142968E10</v>
      </c>
      <c r="GN71" s="27"/>
      <c r="GO71" s="27"/>
      <c r="GP71" s="27"/>
      <c r="GQ71" s="27"/>
      <c r="GR71" s="27"/>
      <c r="GS71" s="27"/>
      <c r="GT71" s="27"/>
      <c r="GU71" s="27"/>
      <c r="GV71" s="27"/>
      <c r="GW71" s="27"/>
      <c r="GX71" s="27"/>
      <c r="GY71" s="27"/>
      <c r="GZ71" s="27"/>
      <c r="HA71" s="27"/>
      <c r="HB71" s="27"/>
      <c r="HC71" s="27"/>
      <c r="HD71" s="27"/>
      <c r="HE71" s="27"/>
      <c r="HF71" s="27"/>
      <c r="HG71" s="27"/>
      <c r="HH71" s="27"/>
      <c r="HI71" s="27"/>
      <c r="HJ71" s="27"/>
      <c r="HK71" s="27"/>
      <c r="HL71" s="27"/>
      <c r="HM71" s="27"/>
      <c r="HN71" s="27"/>
      <c r="HO71" s="27"/>
      <c r="HP71" s="27"/>
      <c r="HQ71" s="27"/>
      <c r="HR71" s="27"/>
      <c r="HS71" s="27"/>
      <c r="HT71" s="27"/>
      <c r="HU71" s="27"/>
      <c r="HV71" s="27"/>
      <c r="HW71" s="27"/>
      <c r="HX71" s="27"/>
      <c r="HY71" s="27"/>
      <c r="HZ71" s="27"/>
      <c r="IA71" s="27"/>
      <c r="IB71" s="27"/>
      <c r="IC71" s="27"/>
      <c r="ID71" s="27"/>
      <c r="IE71" s="27"/>
      <c r="IF71" s="27"/>
      <c r="IG71" s="27"/>
      <c r="IH71" s="27"/>
      <c r="II71" s="27"/>
      <c r="IJ71" s="27"/>
      <c r="IK71" s="27"/>
      <c r="IL71" s="27"/>
      <c r="IM71" s="27"/>
      <c r="IN71" s="27"/>
      <c r="IO71" s="27"/>
      <c r="IP71" s="27"/>
      <c r="IQ71" s="27"/>
      <c r="IR71" s="27"/>
      <c r="IS71" s="27"/>
      <c r="IT71" s="27"/>
      <c r="IU71" s="27"/>
      <c r="IV71" s="27"/>
      <c r="IW71" s="27"/>
      <c r="IX71" s="27"/>
      <c r="IY71" s="27"/>
      <c r="IZ71" s="27"/>
      <c r="JA71" s="27"/>
      <c r="JB71" s="27"/>
      <c r="JC71" s="27"/>
      <c r="JD71" s="27"/>
      <c r="JE71" s="27"/>
      <c r="JF71" s="27"/>
      <c r="JG71" s="27"/>
      <c r="JH71" s="27"/>
      <c r="JI71" s="27"/>
      <c r="JJ71" s="27"/>
      <c r="JK71" s="27"/>
      <c r="JL71" s="27"/>
      <c r="JM71" s="27"/>
      <c r="JN71" s="27"/>
      <c r="JO71" s="27"/>
      <c r="JP71" s="27"/>
      <c r="JQ71" s="27"/>
      <c r="JR71" s="27"/>
      <c r="JS71" s="27"/>
      <c r="JT71" s="27"/>
      <c r="JU71" s="27"/>
      <c r="JV71" s="27"/>
      <c r="JW71" s="27"/>
      <c r="JX71" s="27"/>
      <c r="JY71" s="27"/>
      <c r="JZ71" s="27"/>
      <c r="KA71" s="27"/>
      <c r="KB71" s="27"/>
      <c r="KC71" s="27"/>
      <c r="KD71" s="27"/>
      <c r="KE71" s="27"/>
      <c r="KF71" s="27"/>
      <c r="KG71" s="27"/>
      <c r="KH71" s="27"/>
      <c r="KI71" s="27"/>
      <c r="KJ71" s="27"/>
      <c r="KK71" s="27"/>
      <c r="KL71" s="27"/>
      <c r="KM71" s="27"/>
      <c r="KN71" s="27"/>
      <c r="KO71" s="27"/>
      <c r="KP71" s="27"/>
      <c r="KQ71" s="27"/>
      <c r="KR71" s="27"/>
      <c r="KS71" s="27"/>
      <c r="KT71" s="27"/>
      <c r="KU71" s="27"/>
      <c r="KV71" s="27"/>
      <c r="KW71" s="27"/>
      <c r="KX71" s="27"/>
      <c r="KY71" s="27"/>
      <c r="KZ71" s="27"/>
      <c r="LA71" s="27"/>
      <c r="LB71" s="27"/>
      <c r="LC71" s="27"/>
      <c r="LD71" s="27"/>
      <c r="LE71" s="27"/>
      <c r="LF71" s="27"/>
      <c r="LG71" s="27"/>
      <c r="LH71" s="27"/>
      <c r="LI71" s="27"/>
      <c r="LJ71" s="28">
        <f t="shared" ref="LJ71:LJ82" si="28">LE71+KD71+JZ71+JT71</f>
        <v>0</v>
      </c>
      <c r="LK71" s="110"/>
    </row>
    <row r="72">
      <c r="A72" s="49" t="s">
        <v>296</v>
      </c>
      <c r="B72" s="146">
        <v>3.66072088011982E10</v>
      </c>
      <c r="C72" s="146">
        <v>2.94093414231503E10</v>
      </c>
      <c r="D72" s="147">
        <f t="shared" si="21"/>
        <v>7197867378</v>
      </c>
      <c r="E72" s="146"/>
      <c r="F72" s="146">
        <v>3.67887882856E9</v>
      </c>
      <c r="G72" s="146">
        <v>9.16754623E8</v>
      </c>
      <c r="H72" s="146"/>
      <c r="I72" s="53">
        <f t="shared" si="22"/>
        <v>4595633452</v>
      </c>
      <c r="J72" s="53">
        <f t="shared" si="23"/>
        <v>2602233926</v>
      </c>
      <c r="K72" s="146"/>
      <c r="L72" s="146">
        <v>6.2140594899E8</v>
      </c>
      <c r="M72" s="146">
        <v>1.42944844289318E9</v>
      </c>
      <c r="N72" s="52">
        <f t="shared" si="24"/>
        <v>-808042493.9</v>
      </c>
      <c r="O72" s="146"/>
      <c r="P72" s="53">
        <f t="shared" si="25"/>
        <v>1794191433</v>
      </c>
      <c r="Q72" s="146"/>
      <c r="R72" s="146"/>
      <c r="S72" s="146"/>
      <c r="T72" s="53">
        <f t="shared" si="26"/>
        <v>1794191433</v>
      </c>
      <c r="U72" s="27"/>
      <c r="V72" s="28"/>
      <c r="W72" s="27"/>
      <c r="X72" s="195">
        <f t="shared" si="27"/>
        <v>1794191433</v>
      </c>
      <c r="Y72" s="27"/>
      <c r="AB72" s="27"/>
      <c r="AC72" s="27"/>
      <c r="AD72" s="28">
        <v>2.506992771E10</v>
      </c>
      <c r="AE72" s="28">
        <v>3.2690399579E10</v>
      </c>
      <c r="AF72" s="28"/>
      <c r="AG72" s="28">
        <v>-2.96330822E9</v>
      </c>
      <c r="AH72" s="28">
        <v>8.692719065E9</v>
      </c>
      <c r="AI72" s="28">
        <v>5.1411790508E10</v>
      </c>
      <c r="AJ72" s="27" t="s">
        <v>295</v>
      </c>
      <c r="AK72" s="28"/>
      <c r="AL72" s="28">
        <v>1.1650816318E10</v>
      </c>
      <c r="AM72" s="28">
        <v>5.062950646E9</v>
      </c>
      <c r="AN72" s="62">
        <v>1.45543153807E11</v>
      </c>
      <c r="AO72" s="27"/>
      <c r="AP72" s="27" t="s">
        <v>295</v>
      </c>
      <c r="AQ72" s="28">
        <v>2.7633590302E10</v>
      </c>
      <c r="AR72" s="28">
        <v>1.91795975E8</v>
      </c>
      <c r="AS72" s="28"/>
      <c r="AT72" s="28"/>
      <c r="AU72" s="28">
        <v>8.9844945E8</v>
      </c>
      <c r="AV72" s="62">
        <v>2.8723835727E10</v>
      </c>
      <c r="AW72" s="62">
        <v>1.74266989534E11</v>
      </c>
      <c r="AX72" s="27"/>
      <c r="AY72" s="27"/>
      <c r="AZ72" s="27"/>
      <c r="BA72" s="28">
        <v>3.5849529904E10</v>
      </c>
      <c r="BB72" s="28"/>
      <c r="BC72" s="28">
        <v>3.473013315E9</v>
      </c>
      <c r="BD72" s="27" t="s">
        <v>295</v>
      </c>
      <c r="BE72" s="28">
        <v>4.713596312E9</v>
      </c>
      <c r="BF72" s="28">
        <v>1.81E8</v>
      </c>
      <c r="BG72" s="28"/>
      <c r="BH72" s="28"/>
      <c r="BI72" s="28">
        <v>1.591309071E9</v>
      </c>
      <c r="BJ72" s="27" t="s">
        <v>295</v>
      </c>
      <c r="BK72" s="28">
        <v>8.6054213046E10</v>
      </c>
      <c r="BL72" s="62">
        <v>1.31862661648E11</v>
      </c>
      <c r="BM72" s="27"/>
      <c r="BN72" s="27" t="s">
        <v>295</v>
      </c>
      <c r="BO72" s="28">
        <v>1.24775E8</v>
      </c>
      <c r="BP72" s="27"/>
      <c r="BQ72" s="28">
        <v>4.348075409E9</v>
      </c>
      <c r="BR72" s="28">
        <v>1686636.0</v>
      </c>
      <c r="BS72" s="28">
        <v>4.474537045E9</v>
      </c>
      <c r="BT72" s="62">
        <v>1.36337198693E11</v>
      </c>
      <c r="BU72" s="27"/>
      <c r="BV72" s="28">
        <v>1.29E9</v>
      </c>
      <c r="BW72" s="27"/>
      <c r="BX72" s="28">
        <v>1.794191433E9</v>
      </c>
      <c r="BY72" s="28">
        <v>3.4906015399E10</v>
      </c>
      <c r="BZ72" s="28">
        <v>-6.0415989E7</v>
      </c>
      <c r="CA72" s="27"/>
      <c r="CB72" s="27"/>
      <c r="CC72" s="62">
        <v>3.7929790843E10</v>
      </c>
      <c r="CD72" s="62">
        <v>1.74266989535E11</v>
      </c>
      <c r="CF72" s="49" t="s">
        <v>296</v>
      </c>
      <c r="CG72" s="27"/>
      <c r="CH72" s="28"/>
      <c r="CI72" s="27"/>
      <c r="CJ72" s="28"/>
      <c r="CK72" s="27"/>
      <c r="CL72" s="27"/>
      <c r="CM72" s="27"/>
      <c r="CN72" s="28"/>
      <c r="CO72" s="28"/>
      <c r="CP72" s="28"/>
      <c r="CQ72" s="28"/>
      <c r="CR72" s="28"/>
      <c r="CS72" s="28"/>
      <c r="CT72" s="27"/>
      <c r="CU72" s="28"/>
      <c r="CV72" s="28"/>
      <c r="CW72" s="28"/>
      <c r="CX72" s="27"/>
      <c r="CY72" s="27"/>
      <c r="CZ72" s="28"/>
      <c r="DA72" s="28"/>
      <c r="DB72" s="27"/>
      <c r="DC72" s="28"/>
      <c r="DD72" s="27"/>
      <c r="DE72" s="28"/>
      <c r="DF72" s="28"/>
      <c r="DG72" s="27"/>
      <c r="DH72" s="28"/>
      <c r="DI72" s="27"/>
      <c r="DJ72" s="28"/>
      <c r="DK72" s="28"/>
      <c r="DL72" s="28"/>
      <c r="DM72" s="28"/>
      <c r="DP72" s="64"/>
      <c r="DQ72" s="49" t="s">
        <v>296</v>
      </c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  <c r="FS72" s="27"/>
      <c r="FT72" s="27"/>
      <c r="FU72" s="27"/>
      <c r="FV72" s="27"/>
      <c r="FW72" s="27"/>
      <c r="FX72" s="27"/>
      <c r="FY72" s="27"/>
      <c r="FZ72" s="27"/>
      <c r="GA72" s="27"/>
      <c r="GB72" s="27"/>
      <c r="GC72" s="27"/>
      <c r="GD72" s="27"/>
      <c r="GE72" s="27"/>
      <c r="GF72" s="27"/>
      <c r="GG72" s="27"/>
      <c r="GH72" s="27"/>
      <c r="GI72" s="27"/>
      <c r="GJ72" s="27"/>
      <c r="GK72" s="27"/>
      <c r="GL72" s="28"/>
      <c r="GM72" s="28">
        <v>2.94093414231503E10</v>
      </c>
      <c r="GN72" s="27"/>
      <c r="GO72" s="27"/>
      <c r="GP72" s="27"/>
      <c r="GQ72" s="27"/>
      <c r="GR72" s="27"/>
      <c r="GS72" s="27"/>
      <c r="GT72" s="27"/>
      <c r="GU72" s="27"/>
      <c r="GV72" s="27"/>
      <c r="GW72" s="27"/>
      <c r="GX72" s="27"/>
      <c r="GY72" s="27"/>
      <c r="GZ72" s="27"/>
      <c r="HA72" s="27"/>
      <c r="HB72" s="27"/>
      <c r="HC72" s="27"/>
      <c r="HD72" s="27"/>
      <c r="HE72" s="27"/>
      <c r="HF72" s="27"/>
      <c r="HG72" s="27"/>
      <c r="HH72" s="27"/>
      <c r="HI72" s="27"/>
      <c r="HJ72" s="27"/>
      <c r="HK72" s="27"/>
      <c r="HL72" s="27"/>
      <c r="HM72" s="27"/>
      <c r="HN72" s="27"/>
      <c r="HO72" s="27"/>
      <c r="HP72" s="27"/>
      <c r="HQ72" s="27"/>
      <c r="HR72" s="27"/>
      <c r="HS72" s="27"/>
      <c r="HT72" s="27"/>
      <c r="HU72" s="27"/>
      <c r="HV72" s="27"/>
      <c r="HW72" s="27"/>
      <c r="HX72" s="27"/>
      <c r="HY72" s="27"/>
      <c r="HZ72" s="27"/>
      <c r="IA72" s="27"/>
      <c r="IB72" s="27"/>
      <c r="IC72" s="27"/>
      <c r="ID72" s="27"/>
      <c r="IE72" s="27"/>
      <c r="IF72" s="27"/>
      <c r="IG72" s="27"/>
      <c r="IH72" s="27"/>
      <c r="II72" s="27"/>
      <c r="IJ72" s="27"/>
      <c r="IK72" s="27"/>
      <c r="IL72" s="27"/>
      <c r="IM72" s="27"/>
      <c r="IN72" s="27"/>
      <c r="IO72" s="27"/>
      <c r="IP72" s="27"/>
      <c r="IQ72" s="27"/>
      <c r="IR72" s="27"/>
      <c r="IS72" s="27"/>
      <c r="IT72" s="27"/>
      <c r="IU72" s="27"/>
      <c r="IV72" s="27"/>
      <c r="IW72" s="27"/>
      <c r="IX72" s="27"/>
      <c r="IY72" s="27"/>
      <c r="IZ72" s="27"/>
      <c r="JA72" s="27"/>
      <c r="JB72" s="27"/>
      <c r="JC72" s="27"/>
      <c r="JD72" s="27"/>
      <c r="JE72" s="27"/>
      <c r="JF72" s="27"/>
      <c r="JG72" s="27"/>
      <c r="JH72" s="27"/>
      <c r="JI72" s="27"/>
      <c r="JJ72" s="27"/>
      <c r="JK72" s="27"/>
      <c r="JL72" s="27"/>
      <c r="JM72" s="27"/>
      <c r="JN72" s="27"/>
      <c r="JO72" s="27"/>
      <c r="JP72" s="27"/>
      <c r="JQ72" s="27"/>
      <c r="JR72" s="27"/>
      <c r="JS72" s="27"/>
      <c r="JT72" s="27"/>
      <c r="JU72" s="27"/>
      <c r="JV72" s="27"/>
      <c r="JW72" s="27"/>
      <c r="JX72" s="27"/>
      <c r="JY72" s="27"/>
      <c r="JZ72" s="27"/>
      <c r="KA72" s="27"/>
      <c r="KB72" s="27"/>
      <c r="KC72" s="27"/>
      <c r="KD72" s="27"/>
      <c r="KE72" s="27"/>
      <c r="KF72" s="27"/>
      <c r="KG72" s="27"/>
      <c r="KH72" s="27"/>
      <c r="KI72" s="27"/>
      <c r="KJ72" s="27"/>
      <c r="KK72" s="27"/>
      <c r="KL72" s="27"/>
      <c r="KM72" s="27"/>
      <c r="KN72" s="27"/>
      <c r="KO72" s="27"/>
      <c r="KP72" s="27"/>
      <c r="KQ72" s="27"/>
      <c r="KR72" s="27"/>
      <c r="KS72" s="27"/>
      <c r="KT72" s="27"/>
      <c r="KU72" s="27"/>
      <c r="KV72" s="27"/>
      <c r="KW72" s="27"/>
      <c r="KX72" s="27"/>
      <c r="KY72" s="27"/>
      <c r="KZ72" s="27"/>
      <c r="LA72" s="27"/>
      <c r="LB72" s="27"/>
      <c r="LC72" s="27"/>
      <c r="LD72" s="27"/>
      <c r="LE72" s="27"/>
      <c r="LF72" s="27"/>
      <c r="LG72" s="27"/>
      <c r="LH72" s="27"/>
      <c r="LI72" s="27"/>
      <c r="LJ72" s="28">
        <f t="shared" si="28"/>
        <v>0</v>
      </c>
      <c r="LK72" s="110"/>
    </row>
    <row r="73">
      <c r="A73" s="49" t="s">
        <v>299</v>
      </c>
      <c r="B73" s="146">
        <v>6.84200971851194E10</v>
      </c>
      <c r="C73" s="146">
        <v>5.41235634343371E10</v>
      </c>
      <c r="D73" s="147">
        <f t="shared" si="21"/>
        <v>14296533751</v>
      </c>
      <c r="E73" s="146"/>
      <c r="F73" s="146">
        <v>5.25947758506E9</v>
      </c>
      <c r="G73" s="146">
        <v>1.168795421E9</v>
      </c>
      <c r="H73" s="146"/>
      <c r="I73" s="53">
        <f t="shared" si="22"/>
        <v>6428273006</v>
      </c>
      <c r="J73" s="53">
        <f t="shared" si="23"/>
        <v>7868260745</v>
      </c>
      <c r="K73" s="146"/>
      <c r="L73" s="146">
        <v>9.9828005258E8</v>
      </c>
      <c r="M73" s="146">
        <v>2.15951185376318E9</v>
      </c>
      <c r="N73" s="52">
        <f t="shared" si="24"/>
        <v>-1161231801</v>
      </c>
      <c r="O73" s="146"/>
      <c r="P73" s="53">
        <f t="shared" si="25"/>
        <v>6707028944</v>
      </c>
      <c r="Q73" s="146"/>
      <c r="R73" s="146"/>
      <c r="S73" s="146"/>
      <c r="T73" s="53">
        <f t="shared" si="26"/>
        <v>6707028944</v>
      </c>
      <c r="U73" s="27"/>
      <c r="V73" s="28"/>
      <c r="W73" s="27"/>
      <c r="X73" s="195">
        <f t="shared" si="27"/>
        <v>6707028944</v>
      </c>
      <c r="Y73" s="27"/>
      <c r="AB73" s="27"/>
      <c r="AC73" s="27"/>
      <c r="AD73" s="28">
        <v>7.925524372E9</v>
      </c>
      <c r="AE73" s="28">
        <v>5.3782365654E10</v>
      </c>
      <c r="AF73" s="28"/>
      <c r="AG73" s="28">
        <v>-2.96330822E9</v>
      </c>
      <c r="AH73" s="28">
        <v>1.2239926323E10</v>
      </c>
      <c r="AI73" s="28">
        <v>4.5250987781E10</v>
      </c>
      <c r="AJ73" s="27" t="s">
        <v>295</v>
      </c>
      <c r="AK73" s="28"/>
      <c r="AL73" s="28">
        <v>5.215476319E9</v>
      </c>
      <c r="AM73" s="28">
        <v>6.740695048E9</v>
      </c>
      <c r="AN73" s="62">
        <v>1.38882765477E11</v>
      </c>
      <c r="AO73" s="27"/>
      <c r="AP73" s="27" t="s">
        <v>295</v>
      </c>
      <c r="AQ73" s="28">
        <v>3.2353833078E10</v>
      </c>
      <c r="AR73" s="28">
        <v>1.89941808E8</v>
      </c>
      <c r="AS73" s="28"/>
      <c r="AT73" s="28"/>
      <c r="AU73" s="28">
        <v>8.9844945E8</v>
      </c>
      <c r="AV73" s="62">
        <v>3.3442224336E10</v>
      </c>
      <c r="AW73" s="62">
        <v>1.72324989814E11</v>
      </c>
      <c r="AX73" s="27"/>
      <c r="AY73" s="27"/>
      <c r="AZ73" s="27"/>
      <c r="BA73" s="28">
        <v>2.2752231823E10</v>
      </c>
      <c r="BB73" s="28"/>
      <c r="BC73" s="28">
        <v>9.8020196E8</v>
      </c>
      <c r="BD73" s="27" t="s">
        <v>295</v>
      </c>
      <c r="BE73" s="27" t="s">
        <v>295</v>
      </c>
      <c r="BF73" s="27" t="s">
        <v>295</v>
      </c>
      <c r="BG73" s="28"/>
      <c r="BH73" s="28"/>
      <c r="BI73" s="28">
        <v>1.203215764E10</v>
      </c>
      <c r="BJ73" s="27" t="s">
        <v>295</v>
      </c>
      <c r="BK73" s="28">
        <v>8.8939901995E10</v>
      </c>
      <c r="BL73" s="62">
        <v>1.24704493418E11</v>
      </c>
      <c r="BM73" s="27"/>
      <c r="BN73" s="27" t="s">
        <v>295</v>
      </c>
      <c r="BO73" s="28">
        <v>4.28106E8</v>
      </c>
      <c r="BP73" s="28"/>
      <c r="BQ73" s="28">
        <v>4.348075409E9</v>
      </c>
      <c r="BR73" s="28">
        <v>1686636.0</v>
      </c>
      <c r="BS73" s="28">
        <v>4.777868045E9</v>
      </c>
      <c r="BT73" s="62">
        <v>1.29482361463E11</v>
      </c>
      <c r="BU73" s="27"/>
      <c r="BV73" s="28">
        <v>1.29E9</v>
      </c>
      <c r="BW73" s="27"/>
      <c r="BX73" s="28">
        <v>6.707028944E9</v>
      </c>
      <c r="BY73" s="28">
        <v>3.4906015399E10</v>
      </c>
      <c r="BZ73" s="28">
        <v>-6.0415989E7</v>
      </c>
      <c r="CA73" s="27"/>
      <c r="CB73" s="27"/>
      <c r="CC73" s="62">
        <v>4.2842628354E10</v>
      </c>
      <c r="CD73" s="62">
        <v>1.72324989816E11</v>
      </c>
      <c r="CF73" s="49" t="s">
        <v>299</v>
      </c>
      <c r="CG73" s="27"/>
      <c r="CH73" s="28"/>
      <c r="CI73" s="27"/>
      <c r="CJ73" s="28"/>
      <c r="CK73" s="27"/>
      <c r="CL73" s="27"/>
      <c r="CM73" s="27"/>
      <c r="CN73" s="28"/>
      <c r="CO73" s="28"/>
      <c r="CP73" s="28"/>
      <c r="CQ73" s="28"/>
      <c r="CR73" s="28"/>
      <c r="CS73" s="28"/>
      <c r="CT73" s="27"/>
      <c r="CU73" s="28"/>
      <c r="CV73" s="28"/>
      <c r="CW73" s="28"/>
      <c r="CX73" s="27"/>
      <c r="CY73" s="27"/>
      <c r="CZ73" s="28"/>
      <c r="DA73" s="28"/>
      <c r="DB73" s="27"/>
      <c r="DC73" s="28"/>
      <c r="DD73" s="27"/>
      <c r="DE73" s="28"/>
      <c r="DF73" s="28"/>
      <c r="DG73" s="27"/>
      <c r="DH73" s="28"/>
      <c r="DI73" s="27"/>
      <c r="DJ73" s="28"/>
      <c r="DK73" s="28"/>
      <c r="DL73" s="28"/>
      <c r="DM73" s="28"/>
      <c r="DP73" s="64"/>
      <c r="DQ73" s="49" t="s">
        <v>299</v>
      </c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  <c r="FS73" s="27"/>
      <c r="FT73" s="27"/>
      <c r="FU73" s="27"/>
      <c r="FV73" s="27"/>
      <c r="FW73" s="27"/>
      <c r="FX73" s="27"/>
      <c r="FY73" s="27"/>
      <c r="FZ73" s="27"/>
      <c r="GA73" s="27"/>
      <c r="GB73" s="27"/>
      <c r="GC73" s="27"/>
      <c r="GD73" s="27"/>
      <c r="GE73" s="27"/>
      <c r="GF73" s="27"/>
      <c r="GG73" s="27"/>
      <c r="GH73" s="27"/>
      <c r="GI73" s="27"/>
      <c r="GJ73" s="27"/>
      <c r="GK73" s="27"/>
      <c r="GL73" s="28"/>
      <c r="GM73" s="28">
        <v>5.41235634343371E10</v>
      </c>
      <c r="GN73" s="27"/>
      <c r="GO73" s="27"/>
      <c r="GP73" s="27"/>
      <c r="GQ73" s="27"/>
      <c r="GR73" s="27"/>
      <c r="GS73" s="27"/>
      <c r="GT73" s="27"/>
      <c r="GU73" s="27"/>
      <c r="GV73" s="27"/>
      <c r="GW73" s="27"/>
      <c r="GX73" s="27"/>
      <c r="GY73" s="27"/>
      <c r="GZ73" s="27"/>
      <c r="HA73" s="27"/>
      <c r="HB73" s="27"/>
      <c r="HC73" s="27"/>
      <c r="HD73" s="27"/>
      <c r="HE73" s="27"/>
      <c r="HF73" s="27"/>
      <c r="HG73" s="27"/>
      <c r="HH73" s="27"/>
      <c r="HI73" s="27"/>
      <c r="HJ73" s="27"/>
      <c r="HK73" s="27"/>
      <c r="HL73" s="27"/>
      <c r="HM73" s="27"/>
      <c r="HN73" s="27"/>
      <c r="HO73" s="27"/>
      <c r="HP73" s="27"/>
      <c r="HQ73" s="27"/>
      <c r="HR73" s="27"/>
      <c r="HS73" s="27"/>
      <c r="HT73" s="27"/>
      <c r="HU73" s="27"/>
      <c r="HV73" s="27"/>
      <c r="HW73" s="27"/>
      <c r="HX73" s="27"/>
      <c r="HY73" s="27"/>
      <c r="HZ73" s="27"/>
      <c r="IA73" s="27"/>
      <c r="IB73" s="27"/>
      <c r="IC73" s="27"/>
      <c r="ID73" s="27"/>
      <c r="IE73" s="27"/>
      <c r="IF73" s="27"/>
      <c r="IG73" s="27"/>
      <c r="IH73" s="27"/>
      <c r="II73" s="27"/>
      <c r="IJ73" s="27"/>
      <c r="IK73" s="27"/>
      <c r="IL73" s="27"/>
      <c r="IM73" s="27"/>
      <c r="IN73" s="27"/>
      <c r="IO73" s="27"/>
      <c r="IP73" s="27"/>
      <c r="IQ73" s="27"/>
      <c r="IR73" s="27"/>
      <c r="IS73" s="27"/>
      <c r="IT73" s="27"/>
      <c r="IU73" s="27"/>
      <c r="IV73" s="27"/>
      <c r="IW73" s="27"/>
      <c r="IX73" s="27"/>
      <c r="IY73" s="27"/>
      <c r="IZ73" s="27"/>
      <c r="JA73" s="27"/>
      <c r="JB73" s="27"/>
      <c r="JC73" s="27"/>
      <c r="JD73" s="27"/>
      <c r="JE73" s="27"/>
      <c r="JF73" s="27"/>
      <c r="JG73" s="27"/>
      <c r="JH73" s="27"/>
      <c r="JI73" s="27"/>
      <c r="JJ73" s="27"/>
      <c r="JK73" s="27"/>
      <c r="JL73" s="27"/>
      <c r="JM73" s="27"/>
      <c r="JN73" s="27"/>
      <c r="JO73" s="27"/>
      <c r="JP73" s="27"/>
      <c r="JQ73" s="27"/>
      <c r="JR73" s="27"/>
      <c r="JS73" s="27"/>
      <c r="JT73" s="27"/>
      <c r="JU73" s="27"/>
      <c r="JV73" s="27"/>
      <c r="JW73" s="27"/>
      <c r="JX73" s="27"/>
      <c r="JY73" s="27"/>
      <c r="JZ73" s="27"/>
      <c r="KA73" s="27"/>
      <c r="KB73" s="27"/>
      <c r="KC73" s="27"/>
      <c r="KD73" s="27"/>
      <c r="KE73" s="27"/>
      <c r="KF73" s="27"/>
      <c r="KG73" s="27"/>
      <c r="KH73" s="27"/>
      <c r="KI73" s="27"/>
      <c r="KJ73" s="27"/>
      <c r="KK73" s="27"/>
      <c r="KL73" s="27"/>
      <c r="KM73" s="27"/>
      <c r="KN73" s="27"/>
      <c r="KO73" s="27"/>
      <c r="KP73" s="27"/>
      <c r="KQ73" s="27"/>
      <c r="KR73" s="27"/>
      <c r="KS73" s="27"/>
      <c r="KT73" s="27"/>
      <c r="KU73" s="27"/>
      <c r="KV73" s="27"/>
      <c r="KW73" s="27"/>
      <c r="KX73" s="27"/>
      <c r="KY73" s="27"/>
      <c r="KZ73" s="27"/>
      <c r="LA73" s="27"/>
      <c r="LB73" s="27"/>
      <c r="LC73" s="27"/>
      <c r="LD73" s="27"/>
      <c r="LE73" s="27"/>
      <c r="LF73" s="27"/>
      <c r="LG73" s="27"/>
      <c r="LH73" s="27"/>
      <c r="LI73" s="27"/>
      <c r="LJ73" s="28">
        <f t="shared" si="28"/>
        <v>0</v>
      </c>
      <c r="LK73" s="110"/>
    </row>
    <row r="74">
      <c r="A74" s="49" t="s">
        <v>302</v>
      </c>
      <c r="B74" s="146">
        <v>8.35351323241915E10</v>
      </c>
      <c r="C74" s="146">
        <v>6.68386381422903E10</v>
      </c>
      <c r="D74" s="147">
        <f t="shared" si="21"/>
        <v>16696494182</v>
      </c>
      <c r="E74" s="146"/>
      <c r="F74" s="146">
        <v>8.04776710982928E9</v>
      </c>
      <c r="G74" s="146">
        <v>1.645342312E9</v>
      </c>
      <c r="H74" s="146"/>
      <c r="I74" s="53">
        <f t="shared" si="22"/>
        <v>9693109422</v>
      </c>
      <c r="J74" s="53">
        <f t="shared" si="23"/>
        <v>7003384760</v>
      </c>
      <c r="K74" s="146"/>
      <c r="L74" s="146">
        <v>8.614896433E8</v>
      </c>
      <c r="M74" s="146">
        <v>3.00451254176318E9</v>
      </c>
      <c r="N74" s="52">
        <f t="shared" si="24"/>
        <v>-2143022898</v>
      </c>
      <c r="O74" s="146"/>
      <c r="P74" s="53">
        <f t="shared" si="25"/>
        <v>4860361862</v>
      </c>
      <c r="Q74" s="146"/>
      <c r="R74" s="146"/>
      <c r="S74" s="146"/>
      <c r="T74" s="53">
        <f t="shared" si="26"/>
        <v>4860361862</v>
      </c>
      <c r="U74" s="27"/>
      <c r="V74" s="28"/>
      <c r="W74" s="27"/>
      <c r="X74" s="195">
        <f t="shared" si="27"/>
        <v>4860361862</v>
      </c>
      <c r="Y74" s="27"/>
      <c r="AB74" s="27"/>
      <c r="AC74" s="27"/>
      <c r="AD74" s="28">
        <v>1.2162345378E10</v>
      </c>
      <c r="AE74" s="28">
        <v>4.9542929512E10</v>
      </c>
      <c r="AF74" s="28"/>
      <c r="AG74" s="28">
        <v>-2.96330822E9</v>
      </c>
      <c r="AH74" s="28">
        <v>1.2783796671E10</v>
      </c>
      <c r="AI74" s="28">
        <v>4.5468724513E10</v>
      </c>
      <c r="AJ74" s="27"/>
      <c r="AK74" s="28"/>
      <c r="AL74" s="28">
        <v>2.704538066E9</v>
      </c>
      <c r="AM74" s="28">
        <v>4.26435671E9</v>
      </c>
      <c r="AN74" s="62">
        <v>1.3465448083E11</v>
      </c>
      <c r="AO74" s="27"/>
      <c r="AP74" s="27"/>
      <c r="AQ74" s="28">
        <v>3.5031892774E10</v>
      </c>
      <c r="AR74" s="28">
        <v>1.88087641E8</v>
      </c>
      <c r="AS74" s="28"/>
      <c r="AT74" s="28"/>
      <c r="AU74" s="28">
        <v>8.9844945E8</v>
      </c>
      <c r="AV74" s="62">
        <v>3.6118429865E10</v>
      </c>
      <c r="AW74" s="62">
        <v>1.70772910695E11</v>
      </c>
      <c r="AX74" s="27"/>
      <c r="AY74" s="27"/>
      <c r="AZ74" s="27"/>
      <c r="BA74" s="28">
        <v>2.5908061111E10</v>
      </c>
      <c r="BB74" s="28"/>
      <c r="BC74" s="28">
        <v>8.85158378E8</v>
      </c>
      <c r="BD74" s="27" t="s">
        <v>295</v>
      </c>
      <c r="BE74" s="28">
        <v>1.664719458E9</v>
      </c>
      <c r="BF74" s="27" t="s">
        <v>295</v>
      </c>
      <c r="BG74" s="28"/>
      <c r="BH74" s="28"/>
      <c r="BI74" s="28">
        <v>8.301058658E9</v>
      </c>
      <c r="BJ74" s="27" t="s">
        <v>295</v>
      </c>
      <c r="BK74" s="28">
        <v>8.7266237773E10</v>
      </c>
      <c r="BL74" s="62">
        <v>1.24025235378E11</v>
      </c>
      <c r="BM74" s="27"/>
      <c r="BN74" s="27" t="s">
        <v>295</v>
      </c>
      <c r="BO74" s="28">
        <v>1.401952E9</v>
      </c>
      <c r="BP74" s="27"/>
      <c r="BQ74" s="28">
        <v>4.348075409E9</v>
      </c>
      <c r="BR74" s="28">
        <v>1686636.0</v>
      </c>
      <c r="BS74" s="28">
        <v>5.751714045E9</v>
      </c>
      <c r="BT74" s="62">
        <v>1.29776949423E11</v>
      </c>
      <c r="BU74" s="27"/>
      <c r="BV74" s="28">
        <v>1.29E9</v>
      </c>
      <c r="BW74" s="27" t="s">
        <v>295</v>
      </c>
      <c r="BX74" s="28">
        <v>4.860361862E9</v>
      </c>
      <c r="BY74" s="28">
        <v>3.4906015399E10</v>
      </c>
      <c r="BZ74" s="28">
        <v>-6.0415989E7</v>
      </c>
      <c r="CA74" s="27"/>
      <c r="CB74" s="27"/>
      <c r="CC74" s="62">
        <v>4.0995961272E10</v>
      </c>
      <c r="CD74" s="62">
        <v>1.70772910695E11</v>
      </c>
      <c r="CF74" s="49" t="s">
        <v>302</v>
      </c>
      <c r="CG74" s="27"/>
      <c r="CH74" s="28"/>
      <c r="CI74" s="27"/>
      <c r="CJ74" s="28"/>
      <c r="CK74" s="27"/>
      <c r="CL74" s="27"/>
      <c r="CM74" s="27"/>
      <c r="CN74" s="28"/>
      <c r="CO74" s="28"/>
      <c r="CP74" s="28"/>
      <c r="CQ74" s="28"/>
      <c r="CR74" s="28"/>
      <c r="CS74" s="28"/>
      <c r="CT74" s="27"/>
      <c r="CU74" s="28"/>
      <c r="CV74" s="28"/>
      <c r="CW74" s="28"/>
      <c r="CX74" s="27"/>
      <c r="CY74" s="27"/>
      <c r="CZ74" s="28"/>
      <c r="DA74" s="28"/>
      <c r="DB74" s="27"/>
      <c r="DC74" s="28"/>
      <c r="DD74" s="27"/>
      <c r="DE74" s="28"/>
      <c r="DF74" s="28"/>
      <c r="DG74" s="27"/>
      <c r="DH74" s="28"/>
      <c r="DI74" s="27"/>
      <c r="DJ74" s="28"/>
      <c r="DK74" s="28"/>
      <c r="DL74" s="28"/>
      <c r="DM74" s="28"/>
      <c r="DP74" s="64"/>
      <c r="DQ74" s="49" t="s">
        <v>302</v>
      </c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  <c r="FS74" s="27"/>
      <c r="FT74" s="27"/>
      <c r="FU74" s="27"/>
      <c r="FV74" s="27"/>
      <c r="FW74" s="27"/>
      <c r="FX74" s="27"/>
      <c r="FY74" s="27"/>
      <c r="FZ74" s="27"/>
      <c r="GA74" s="27"/>
      <c r="GB74" s="27"/>
      <c r="GC74" s="27"/>
      <c r="GD74" s="27"/>
      <c r="GE74" s="27"/>
      <c r="GF74" s="27"/>
      <c r="GG74" s="27"/>
      <c r="GH74" s="27"/>
      <c r="GI74" s="27"/>
      <c r="GJ74" s="27"/>
      <c r="GK74" s="27"/>
      <c r="GL74" s="28"/>
      <c r="GM74" s="28">
        <v>6.68386381422903E10</v>
      </c>
      <c r="GN74" s="27"/>
      <c r="GO74" s="27"/>
      <c r="GP74" s="27"/>
      <c r="GQ74" s="27"/>
      <c r="GR74" s="27"/>
      <c r="GS74" s="27"/>
      <c r="GT74" s="27"/>
      <c r="GU74" s="27"/>
      <c r="GV74" s="27"/>
      <c r="GW74" s="27"/>
      <c r="GX74" s="27"/>
      <c r="GY74" s="27"/>
      <c r="GZ74" s="27"/>
      <c r="HA74" s="27"/>
      <c r="HB74" s="27"/>
      <c r="HC74" s="27"/>
      <c r="HD74" s="27"/>
      <c r="HE74" s="27"/>
      <c r="HF74" s="27"/>
      <c r="HG74" s="27"/>
      <c r="HH74" s="27"/>
      <c r="HI74" s="27"/>
      <c r="HJ74" s="27"/>
      <c r="HK74" s="27"/>
      <c r="HL74" s="27"/>
      <c r="HM74" s="27"/>
      <c r="HN74" s="27"/>
      <c r="HO74" s="27"/>
      <c r="HP74" s="27"/>
      <c r="HQ74" s="27"/>
      <c r="HR74" s="27"/>
      <c r="HS74" s="27"/>
      <c r="HT74" s="27"/>
      <c r="HU74" s="27"/>
      <c r="HV74" s="27"/>
      <c r="HW74" s="27"/>
      <c r="HX74" s="27"/>
      <c r="HY74" s="27"/>
      <c r="HZ74" s="27"/>
      <c r="IA74" s="27"/>
      <c r="IB74" s="27"/>
      <c r="IC74" s="27"/>
      <c r="ID74" s="27"/>
      <c r="IE74" s="27"/>
      <c r="IF74" s="27"/>
      <c r="IG74" s="27"/>
      <c r="IH74" s="27"/>
      <c r="II74" s="27"/>
      <c r="IJ74" s="27"/>
      <c r="IK74" s="27"/>
      <c r="IL74" s="27"/>
      <c r="IM74" s="27"/>
      <c r="IN74" s="27"/>
      <c r="IO74" s="27"/>
      <c r="IP74" s="27"/>
      <c r="IQ74" s="27"/>
      <c r="IR74" s="27"/>
      <c r="IS74" s="27"/>
      <c r="IT74" s="27"/>
      <c r="IU74" s="27"/>
      <c r="IV74" s="27"/>
      <c r="IW74" s="27"/>
      <c r="IX74" s="27"/>
      <c r="IY74" s="27"/>
      <c r="IZ74" s="27"/>
      <c r="JA74" s="27"/>
      <c r="JB74" s="27"/>
      <c r="JC74" s="27"/>
      <c r="JD74" s="27"/>
      <c r="JE74" s="27"/>
      <c r="JF74" s="27"/>
      <c r="JG74" s="27"/>
      <c r="JH74" s="27"/>
      <c r="JI74" s="27"/>
      <c r="JJ74" s="27"/>
      <c r="JK74" s="27"/>
      <c r="JL74" s="27"/>
      <c r="JM74" s="27"/>
      <c r="JN74" s="27"/>
      <c r="JO74" s="27"/>
      <c r="JP74" s="27"/>
      <c r="JQ74" s="27"/>
      <c r="JR74" s="27"/>
      <c r="JS74" s="27"/>
      <c r="JT74" s="27"/>
      <c r="JU74" s="27"/>
      <c r="JV74" s="27"/>
      <c r="JW74" s="27"/>
      <c r="JX74" s="27"/>
      <c r="JY74" s="27"/>
      <c r="JZ74" s="27"/>
      <c r="KA74" s="27"/>
      <c r="KB74" s="27"/>
      <c r="KC74" s="27"/>
      <c r="KD74" s="27"/>
      <c r="KE74" s="27"/>
      <c r="KF74" s="27"/>
      <c r="KG74" s="27"/>
      <c r="KH74" s="27"/>
      <c r="KI74" s="27"/>
      <c r="KJ74" s="27"/>
      <c r="KK74" s="27"/>
      <c r="KL74" s="27"/>
      <c r="KM74" s="27"/>
      <c r="KN74" s="27"/>
      <c r="KO74" s="27"/>
      <c r="KP74" s="27"/>
      <c r="KQ74" s="27"/>
      <c r="KR74" s="28"/>
      <c r="KS74" s="27"/>
      <c r="KT74" s="27"/>
      <c r="KU74" s="27"/>
      <c r="KV74" s="27"/>
      <c r="KW74" s="27"/>
      <c r="KX74" s="27"/>
      <c r="KY74" s="27"/>
      <c r="KZ74" s="27"/>
      <c r="LA74" s="27"/>
      <c r="LB74" s="27"/>
      <c r="LC74" s="27"/>
      <c r="LD74" s="27"/>
      <c r="LE74" s="27"/>
      <c r="LF74" s="27"/>
      <c r="LG74" s="27"/>
      <c r="LH74" s="27"/>
      <c r="LI74" s="27"/>
      <c r="LJ74" s="28">
        <f t="shared" si="28"/>
        <v>0</v>
      </c>
      <c r="LK74" s="110"/>
    </row>
    <row r="75">
      <c r="A75" s="49" t="s">
        <v>304</v>
      </c>
      <c r="B75" s="146">
        <v>1.17100934967E11</v>
      </c>
      <c r="C75" s="146">
        <v>9.5494274588E10</v>
      </c>
      <c r="D75" s="147">
        <f t="shared" si="21"/>
        <v>21606660379</v>
      </c>
      <c r="E75" s="146"/>
      <c r="F75" s="146">
        <v>1.1512587399E10</v>
      </c>
      <c r="G75" s="146">
        <v>1.991057304E9</v>
      </c>
      <c r="H75" s="146"/>
      <c r="I75" s="53">
        <f t="shared" si="22"/>
        <v>13503644703</v>
      </c>
      <c r="J75" s="53">
        <f t="shared" si="23"/>
        <v>8103015676</v>
      </c>
      <c r="K75" s="146"/>
      <c r="L75" s="146">
        <v>1.062474148E9</v>
      </c>
      <c r="M75" s="146">
        <v>4.579799622E9</v>
      </c>
      <c r="N75" s="52">
        <f t="shared" si="24"/>
        <v>-3517325474</v>
      </c>
      <c r="O75" s="146"/>
      <c r="P75" s="53">
        <f t="shared" si="25"/>
        <v>4585690202</v>
      </c>
      <c r="Q75" s="146"/>
      <c r="R75" s="146"/>
      <c r="S75" s="146"/>
      <c r="T75" s="53">
        <f t="shared" si="26"/>
        <v>4585690202</v>
      </c>
      <c r="U75" s="27"/>
      <c r="V75" s="28"/>
      <c r="W75" s="27"/>
      <c r="X75" s="195">
        <f t="shared" si="27"/>
        <v>4585690202</v>
      </c>
      <c r="Y75" s="27"/>
      <c r="AB75" s="27"/>
      <c r="AC75" s="27"/>
      <c r="AD75" s="28">
        <v>1.8945355182E10</v>
      </c>
      <c r="AE75" s="28">
        <v>5.5650638564E10</v>
      </c>
      <c r="AF75" s="28"/>
      <c r="AG75" s="28">
        <v>-2.963308219E9</v>
      </c>
      <c r="AH75" s="28">
        <v>1.0069593637E10</v>
      </c>
      <c r="AI75" s="28">
        <v>3.7864128561E10</v>
      </c>
      <c r="AJ75" s="27" t="s">
        <v>295</v>
      </c>
      <c r="AK75" s="28"/>
      <c r="AL75" s="28">
        <v>5.953334328E9</v>
      </c>
      <c r="AM75" s="28">
        <v>5.602616765E9</v>
      </c>
      <c r="AN75" s="62">
        <v>1.3330717182E11</v>
      </c>
      <c r="AO75" s="27"/>
      <c r="AP75" s="27" t="s">
        <v>295</v>
      </c>
      <c r="AQ75" s="28">
        <v>8.5928062615E10</v>
      </c>
      <c r="AR75" s="28">
        <v>1.86233474E8</v>
      </c>
      <c r="AS75" s="28"/>
      <c r="AT75" s="28"/>
      <c r="AU75" s="28">
        <v>8.9844945E8</v>
      </c>
      <c r="AV75" s="62">
        <v>8.7012745539E10</v>
      </c>
      <c r="AW75" s="62">
        <v>2.20319917359E11</v>
      </c>
      <c r="AX75" s="27"/>
      <c r="AY75" s="27"/>
      <c r="AZ75" s="27"/>
      <c r="BA75" s="28">
        <v>3.1365498145E10</v>
      </c>
      <c r="BB75" s="28"/>
      <c r="BC75" s="28">
        <v>1.196192968E9</v>
      </c>
      <c r="BD75" s="27" t="s">
        <v>295</v>
      </c>
      <c r="BE75" s="27" t="s">
        <v>295</v>
      </c>
      <c r="BF75" s="27" t="s">
        <v>295</v>
      </c>
      <c r="BG75" s="28"/>
      <c r="BH75" s="28"/>
      <c r="BI75" s="28">
        <v>6.490892239E9</v>
      </c>
      <c r="BJ75" s="27" t="s">
        <v>295</v>
      </c>
      <c r="BK75" s="28">
        <v>8.5505688351E10</v>
      </c>
      <c r="BL75" s="62">
        <v>1.24558271703E11</v>
      </c>
      <c r="BM75" s="27"/>
      <c r="BN75" s="27" t="s">
        <v>295</v>
      </c>
      <c r="BO75" s="28">
        <v>3.54635E8</v>
      </c>
      <c r="BP75" s="27"/>
      <c r="BQ75" s="28">
        <v>4.348075409E9</v>
      </c>
      <c r="BR75" s="28">
        <v>1686636.0</v>
      </c>
      <c r="BS75" s="28">
        <v>4.704397045E9</v>
      </c>
      <c r="BT75" s="62">
        <v>1.29262668748E11</v>
      </c>
      <c r="BU75" s="27"/>
      <c r="BV75" s="28">
        <v>5.1625959E10</v>
      </c>
      <c r="BW75" s="27" t="s">
        <v>295</v>
      </c>
      <c r="BX75" s="28">
        <v>4.585690201E9</v>
      </c>
      <c r="BY75" s="28">
        <v>3.4906015399E10</v>
      </c>
      <c r="BZ75" s="28">
        <v>-6.0415989E7</v>
      </c>
      <c r="CA75" s="27"/>
      <c r="CB75" s="27"/>
      <c r="CC75" s="62">
        <v>9.1057248611E10</v>
      </c>
      <c r="CD75" s="62">
        <v>2.20319917359E11</v>
      </c>
      <c r="CF75" s="49" t="s">
        <v>304</v>
      </c>
      <c r="CG75" s="27"/>
      <c r="CH75" s="28"/>
      <c r="CI75" s="27"/>
      <c r="CJ75" s="28"/>
      <c r="CK75" s="27"/>
      <c r="CL75" s="27"/>
      <c r="CM75" s="27"/>
      <c r="CN75" s="28"/>
      <c r="CO75" s="28"/>
      <c r="CP75" s="28"/>
      <c r="CQ75" s="28"/>
      <c r="CR75" s="28"/>
      <c r="CS75" s="28"/>
      <c r="CT75" s="27"/>
      <c r="CU75" s="28"/>
      <c r="CV75" s="28"/>
      <c r="CW75" s="28"/>
      <c r="CX75" s="27"/>
      <c r="CY75" s="27"/>
      <c r="CZ75" s="28"/>
      <c r="DA75" s="28"/>
      <c r="DB75" s="27"/>
      <c r="DC75" s="28"/>
      <c r="DD75" s="27"/>
      <c r="DE75" s="28"/>
      <c r="DF75" s="28"/>
      <c r="DG75" s="27"/>
      <c r="DH75" s="28"/>
      <c r="DI75" s="27"/>
      <c r="DJ75" s="28"/>
      <c r="DK75" s="28"/>
      <c r="DL75" s="28"/>
      <c r="DM75" s="28"/>
      <c r="DP75" s="64"/>
      <c r="DQ75" s="49" t="s">
        <v>304</v>
      </c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/>
      <c r="GC75" s="27"/>
      <c r="GD75" s="27"/>
      <c r="GE75" s="27"/>
      <c r="GF75" s="27"/>
      <c r="GG75" s="27"/>
      <c r="GH75" s="27"/>
      <c r="GI75" s="27"/>
      <c r="GJ75" s="27"/>
      <c r="GK75" s="27"/>
      <c r="GL75" s="28"/>
      <c r="GM75" s="28">
        <v>9.5494274588E10</v>
      </c>
      <c r="GN75" s="27"/>
      <c r="GO75" s="27"/>
      <c r="GP75" s="27"/>
      <c r="GQ75" s="27"/>
      <c r="GR75" s="27"/>
      <c r="GS75" s="27"/>
      <c r="GT75" s="27"/>
      <c r="GU75" s="27"/>
      <c r="GV75" s="27"/>
      <c r="GW75" s="27"/>
      <c r="GX75" s="27"/>
      <c r="GY75" s="27"/>
      <c r="GZ75" s="27"/>
      <c r="HA75" s="27"/>
      <c r="HB75" s="27"/>
      <c r="HC75" s="27"/>
      <c r="HD75" s="27"/>
      <c r="HE75" s="27"/>
      <c r="HF75" s="27"/>
      <c r="HG75" s="27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/>
      <c r="IF75" s="27"/>
      <c r="IG75" s="27"/>
      <c r="IH75" s="27"/>
      <c r="II75" s="27"/>
      <c r="IJ75" s="27"/>
      <c r="IK75" s="27"/>
      <c r="IL75" s="27"/>
      <c r="IM75" s="27"/>
      <c r="IN75" s="27"/>
      <c r="IO75" s="27"/>
      <c r="IP75" s="27"/>
      <c r="IQ75" s="27"/>
      <c r="IR75" s="27"/>
      <c r="IS75" s="27"/>
      <c r="IT75" s="27"/>
      <c r="IU75" s="27"/>
      <c r="IV75" s="27"/>
      <c r="IW75" s="27"/>
      <c r="IX75" s="27"/>
      <c r="IY75" s="27"/>
      <c r="IZ75" s="27"/>
      <c r="JA75" s="27"/>
      <c r="JB75" s="27"/>
      <c r="JC75" s="27"/>
      <c r="JD75" s="27"/>
      <c r="JE75" s="27"/>
      <c r="JF75" s="27"/>
      <c r="JG75" s="27"/>
      <c r="JH75" s="27"/>
      <c r="JI75" s="27"/>
      <c r="JJ75" s="27"/>
      <c r="JK75" s="27"/>
      <c r="JL75" s="27"/>
      <c r="JM75" s="27"/>
      <c r="JN75" s="27"/>
      <c r="JO75" s="27"/>
      <c r="JP75" s="27"/>
      <c r="JQ75" s="27"/>
      <c r="JR75" s="27"/>
      <c r="JS75" s="27"/>
      <c r="JT75" s="27"/>
      <c r="JU75" s="27"/>
      <c r="JV75" s="27"/>
      <c r="JW75" s="27"/>
      <c r="JX75" s="27"/>
      <c r="JY75" s="27"/>
      <c r="JZ75" s="27"/>
      <c r="KA75" s="27"/>
      <c r="KB75" s="27"/>
      <c r="KC75" s="27"/>
      <c r="KD75" s="27"/>
      <c r="KE75" s="27"/>
      <c r="KF75" s="27"/>
      <c r="KG75" s="27"/>
      <c r="KH75" s="27"/>
      <c r="KI75" s="27"/>
      <c r="KJ75" s="27"/>
      <c r="KK75" s="27"/>
      <c r="KL75" s="27"/>
      <c r="KM75" s="27"/>
      <c r="KN75" s="27"/>
      <c r="KO75" s="27"/>
      <c r="KP75" s="27"/>
      <c r="KQ75" s="27"/>
      <c r="KR75" s="28"/>
      <c r="KS75" s="27"/>
      <c r="KT75" s="27"/>
      <c r="KU75" s="27"/>
      <c r="KV75" s="27"/>
      <c r="KW75" s="27"/>
      <c r="KX75" s="27"/>
      <c r="KY75" s="27"/>
      <c r="KZ75" s="27"/>
      <c r="LA75" s="27"/>
      <c r="LB75" s="27"/>
      <c r="LC75" s="27"/>
      <c r="LD75" s="27"/>
      <c r="LE75" s="27"/>
      <c r="LF75" s="27"/>
      <c r="LG75" s="27"/>
      <c r="LH75" s="27"/>
      <c r="LI75" s="27"/>
      <c r="LJ75" s="28">
        <f t="shared" si="28"/>
        <v>0</v>
      </c>
      <c r="LK75" s="110"/>
    </row>
    <row r="76">
      <c r="A76" s="49" t="s">
        <v>313</v>
      </c>
      <c r="B76" s="146">
        <v>1.27045606747E11</v>
      </c>
      <c r="C76" s="146">
        <v>9.8941704459E10</v>
      </c>
      <c r="D76" s="147">
        <f t="shared" si="21"/>
        <v>28103902288</v>
      </c>
      <c r="E76" s="146"/>
      <c r="F76" s="146">
        <v>1.3288207681E10</v>
      </c>
      <c r="G76" s="146">
        <v>2.54484594E9</v>
      </c>
      <c r="H76" s="146"/>
      <c r="I76" s="53">
        <f t="shared" si="22"/>
        <v>15833053621</v>
      </c>
      <c r="J76" s="53">
        <f t="shared" si="23"/>
        <v>12270848667</v>
      </c>
      <c r="K76" s="146"/>
      <c r="L76" s="146">
        <v>9.40147855E8</v>
      </c>
      <c r="M76" s="146">
        <v>5.414574879E9</v>
      </c>
      <c r="N76" s="52">
        <f t="shared" si="24"/>
        <v>-4474427024</v>
      </c>
      <c r="O76" s="146"/>
      <c r="P76" s="53">
        <f t="shared" si="25"/>
        <v>7796421643</v>
      </c>
      <c r="Q76" s="146"/>
      <c r="R76" s="146"/>
      <c r="S76" s="146"/>
      <c r="T76" s="53">
        <f t="shared" si="26"/>
        <v>7796421643</v>
      </c>
      <c r="U76" s="27"/>
      <c r="V76" s="28"/>
      <c r="W76" s="27"/>
      <c r="X76" s="195">
        <f t="shared" si="27"/>
        <v>7796421643</v>
      </c>
      <c r="Y76" s="27"/>
      <c r="AB76" s="27"/>
      <c r="AC76" s="27"/>
      <c r="AD76" s="28">
        <v>2.3564993228E10</v>
      </c>
      <c r="AE76" s="28">
        <v>4.3070377221E10</v>
      </c>
      <c r="AF76" s="28"/>
      <c r="AG76" s="28">
        <v>-2.96330822E9</v>
      </c>
      <c r="AH76" s="28">
        <v>9.373377584E9</v>
      </c>
      <c r="AI76" s="28">
        <v>4.5489827177E10</v>
      </c>
      <c r="AJ76" s="27"/>
      <c r="AK76" s="28"/>
      <c r="AL76" s="28">
        <v>1.5695096786E10</v>
      </c>
      <c r="AM76" s="28">
        <v>5.616313773E9</v>
      </c>
      <c r="AN76" s="62">
        <v>1.42619380681E11</v>
      </c>
      <c r="AO76" s="27"/>
      <c r="AP76" s="27"/>
      <c r="AQ76" s="28">
        <v>8.5803608759E10</v>
      </c>
      <c r="AR76" s="28">
        <v>1.84379307E8</v>
      </c>
      <c r="AS76" s="28"/>
      <c r="AT76" s="28"/>
      <c r="AU76" s="28">
        <v>8.9844945E8</v>
      </c>
      <c r="AV76" s="62">
        <v>8.6886437516E10</v>
      </c>
      <c r="AW76" s="62">
        <v>2.29505818197E11</v>
      </c>
      <c r="AX76" s="27"/>
      <c r="AY76" s="27"/>
      <c r="AZ76" s="27"/>
      <c r="BA76" s="28">
        <v>3.0937785964E10</v>
      </c>
      <c r="BB76" s="28"/>
      <c r="BC76" s="28">
        <v>1.133556711E9</v>
      </c>
      <c r="BD76" s="27" t="s">
        <v>295</v>
      </c>
      <c r="BE76" s="28">
        <v>2.84474116E9</v>
      </c>
      <c r="BF76" s="27" t="s">
        <v>295</v>
      </c>
      <c r="BG76" s="28"/>
      <c r="BH76" s="28"/>
      <c r="BI76" s="28">
        <v>7.3374004E7</v>
      </c>
      <c r="BJ76" s="27" t="s">
        <v>295</v>
      </c>
      <c r="BK76" s="28">
        <v>9.557700426E10</v>
      </c>
      <c r="BL76" s="62">
        <v>1.30566462099E11</v>
      </c>
      <c r="BM76" s="27"/>
      <c r="BN76" s="27" t="s">
        <v>295</v>
      </c>
      <c r="BO76" s="28">
        <v>3.21614E8</v>
      </c>
      <c r="BP76" s="27"/>
      <c r="BQ76" s="28">
        <v>4.348075409E9</v>
      </c>
      <c r="BR76" s="28">
        <v>1686636.0</v>
      </c>
      <c r="BS76" s="28">
        <v>4.671376045E9</v>
      </c>
      <c r="BT76" s="62">
        <v>1.35237838144E11</v>
      </c>
      <c r="BU76" s="27"/>
      <c r="BV76" s="28">
        <v>5.1625959E10</v>
      </c>
      <c r="BW76" s="27"/>
      <c r="BX76" s="28">
        <v>7.796421643E9</v>
      </c>
      <c r="BY76" s="28">
        <v>3.4906015399E10</v>
      </c>
      <c r="BZ76" s="28">
        <v>-6.0415989E7</v>
      </c>
      <c r="CA76" s="27"/>
      <c r="CB76" s="27"/>
      <c r="CC76" s="62">
        <v>9.4267980053E10</v>
      </c>
      <c r="CD76" s="62">
        <v>2.29505818197E11</v>
      </c>
      <c r="CF76" s="49" t="s">
        <v>313</v>
      </c>
      <c r="CG76" s="27"/>
      <c r="CH76" s="98"/>
      <c r="CI76" s="98"/>
      <c r="CJ76" s="98"/>
      <c r="CK76" s="98"/>
      <c r="CL76" s="27"/>
      <c r="CM76" s="27"/>
      <c r="CN76" s="98"/>
      <c r="CO76" s="98"/>
      <c r="CP76" s="98"/>
      <c r="CQ76" s="98"/>
      <c r="CR76" s="98"/>
      <c r="CS76" s="98"/>
      <c r="CT76" s="98"/>
      <c r="CU76" s="98"/>
      <c r="CV76" s="98"/>
      <c r="CW76" s="98"/>
      <c r="CX76" s="98"/>
      <c r="CY76" s="98"/>
      <c r="CZ76" s="98"/>
      <c r="DA76" s="98"/>
      <c r="DB76" s="27"/>
      <c r="DC76" s="98"/>
      <c r="DD76" s="98"/>
      <c r="DE76" s="98"/>
      <c r="DF76" s="98"/>
      <c r="DG76" s="27"/>
      <c r="DH76" s="98"/>
      <c r="DI76" s="98"/>
      <c r="DJ76" s="98"/>
      <c r="DK76" s="98"/>
      <c r="DL76" s="98"/>
      <c r="DM76" s="98"/>
      <c r="DP76" s="64"/>
      <c r="DQ76" s="49" t="s">
        <v>313</v>
      </c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8"/>
      <c r="GM76" s="28">
        <v>9.8941704459E10</v>
      </c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  <c r="IO76" s="27"/>
      <c r="IP76" s="27"/>
      <c r="IQ76" s="27"/>
      <c r="IR76" s="27"/>
      <c r="IS76" s="27"/>
      <c r="IT76" s="27"/>
      <c r="IU76" s="27"/>
      <c r="IV76" s="27"/>
      <c r="IW76" s="27"/>
      <c r="IX76" s="27"/>
      <c r="IY76" s="27"/>
      <c r="IZ76" s="27"/>
      <c r="JA76" s="27"/>
      <c r="JB76" s="27"/>
      <c r="JC76" s="27"/>
      <c r="JD76" s="27"/>
      <c r="JE76" s="27"/>
      <c r="JF76" s="27"/>
      <c r="JG76" s="27"/>
      <c r="JH76" s="27"/>
      <c r="JI76" s="27"/>
      <c r="JJ76" s="27"/>
      <c r="JK76" s="27"/>
      <c r="JL76" s="27"/>
      <c r="JM76" s="27"/>
      <c r="JN76" s="27"/>
      <c r="JO76" s="27"/>
      <c r="JP76" s="27"/>
      <c r="JQ76" s="27"/>
      <c r="JR76" s="27"/>
      <c r="JS76" s="27"/>
      <c r="JT76" s="27"/>
      <c r="JU76" s="27"/>
      <c r="JV76" s="27"/>
      <c r="JW76" s="27"/>
      <c r="JX76" s="27"/>
      <c r="JY76" s="27"/>
      <c r="JZ76" s="27"/>
      <c r="KA76" s="27"/>
      <c r="KB76" s="27"/>
      <c r="KC76" s="27"/>
      <c r="KD76" s="27"/>
      <c r="KE76" s="27"/>
      <c r="KF76" s="27"/>
      <c r="KG76" s="27"/>
      <c r="KH76" s="27"/>
      <c r="KI76" s="27"/>
      <c r="KJ76" s="27"/>
      <c r="KK76" s="27"/>
      <c r="KL76" s="27"/>
      <c r="KM76" s="27"/>
      <c r="KN76" s="27"/>
      <c r="KO76" s="27"/>
      <c r="KP76" s="27"/>
      <c r="KQ76" s="27"/>
      <c r="KR76" s="28"/>
      <c r="KS76" s="27"/>
      <c r="KT76" s="27"/>
      <c r="KU76" s="27"/>
      <c r="KV76" s="27"/>
      <c r="KW76" s="27"/>
      <c r="KX76" s="27"/>
      <c r="KY76" s="27"/>
      <c r="KZ76" s="27"/>
      <c r="LA76" s="27"/>
      <c r="LB76" s="27"/>
      <c r="LC76" s="27"/>
      <c r="LD76" s="27"/>
      <c r="LE76" s="27"/>
      <c r="LF76" s="27"/>
      <c r="LG76" s="27"/>
      <c r="LH76" s="27"/>
      <c r="LI76" s="27"/>
      <c r="LJ76" s="28">
        <f t="shared" si="28"/>
        <v>0</v>
      </c>
      <c r="LK76" s="110"/>
    </row>
    <row r="77">
      <c r="A77" s="49" t="s">
        <v>316</v>
      </c>
      <c r="B77" s="146">
        <v>1.49224284171477E11</v>
      </c>
      <c r="C77" s="146">
        <v>1.18265604525299E11</v>
      </c>
      <c r="D77" s="147">
        <f t="shared" si="21"/>
        <v>30958679646</v>
      </c>
      <c r="E77" s="146"/>
      <c r="F77" s="146">
        <v>1.62446696058118E10</v>
      </c>
      <c r="G77" s="146">
        <v>2.673809299E9</v>
      </c>
      <c r="H77" s="146">
        <v>4.2544167109E8</v>
      </c>
      <c r="I77" s="53">
        <f t="shared" si="22"/>
        <v>19343920576</v>
      </c>
      <c r="J77" s="53">
        <f t="shared" si="23"/>
        <v>11614759070</v>
      </c>
      <c r="K77" s="146"/>
      <c r="L77" s="146">
        <v>8.114696237E8</v>
      </c>
      <c r="M77" s="146">
        <v>6.37621548889318E9</v>
      </c>
      <c r="N77" s="52">
        <f t="shared" si="24"/>
        <v>-5564745865</v>
      </c>
      <c r="O77" s="146"/>
      <c r="P77" s="53">
        <f t="shared" si="25"/>
        <v>6050013205</v>
      </c>
      <c r="Q77" s="146"/>
      <c r="R77" s="146"/>
      <c r="S77" s="146"/>
      <c r="T77" s="53">
        <f t="shared" si="26"/>
        <v>6050013205</v>
      </c>
      <c r="U77" s="27"/>
      <c r="V77" s="28"/>
      <c r="W77" s="27"/>
      <c r="X77" s="195">
        <f t="shared" si="27"/>
        <v>6050013205</v>
      </c>
      <c r="Y77" s="27"/>
      <c r="AB77" s="27"/>
      <c r="AC77" s="27"/>
      <c r="AD77" s="28">
        <v>7.004815965E9</v>
      </c>
      <c r="AE77" s="28">
        <v>4.1239046214E10</v>
      </c>
      <c r="AF77" s="28"/>
      <c r="AG77" s="28">
        <v>-2.96330822E9</v>
      </c>
      <c r="AH77" s="28">
        <v>1.0240438548E10</v>
      </c>
      <c r="AI77" s="28">
        <v>5.6251006695E10</v>
      </c>
      <c r="AJ77" s="27" t="s">
        <v>295</v>
      </c>
      <c r="AK77" s="28"/>
      <c r="AL77" s="28">
        <v>4.44576431E9</v>
      </c>
      <c r="AM77" s="28">
        <v>7.982238646E9</v>
      </c>
      <c r="AN77" s="62">
        <v>1.26972705289E11</v>
      </c>
      <c r="AO77" s="27"/>
      <c r="AP77" s="27"/>
      <c r="AQ77" s="28">
        <v>8.7194481127E10</v>
      </c>
      <c r="AR77" s="28">
        <v>7470830.0</v>
      </c>
      <c r="AS77" s="28"/>
      <c r="AT77" s="28"/>
      <c r="AU77" s="28">
        <v>8.9844945E8</v>
      </c>
      <c r="AV77" s="62">
        <v>8.8100401407E10</v>
      </c>
      <c r="AW77" s="62">
        <v>2.15073106696E11</v>
      </c>
      <c r="AX77" s="27"/>
      <c r="AY77" s="27"/>
      <c r="AZ77" s="27"/>
      <c r="BA77" s="28">
        <v>2.6074050226E10</v>
      </c>
      <c r="BB77" s="28"/>
      <c r="BC77" s="28">
        <v>5.490240752E9</v>
      </c>
      <c r="BD77" s="27" t="s">
        <v>295</v>
      </c>
      <c r="BE77" s="28">
        <v>3.765377219E9</v>
      </c>
      <c r="BF77" s="27" t="s">
        <v>295</v>
      </c>
      <c r="BG77" s="28"/>
      <c r="BH77" s="28"/>
      <c r="BI77" s="28">
        <v>2.1571366E7</v>
      </c>
      <c r="BJ77" s="27" t="s">
        <v>295</v>
      </c>
      <c r="BK77" s="28">
        <v>8.2561940467E10</v>
      </c>
      <c r="BL77" s="62">
        <v>1.1791318003E11</v>
      </c>
      <c r="BM77" s="27"/>
      <c r="BN77" s="27" t="s">
        <v>295</v>
      </c>
      <c r="BO77" s="28">
        <v>2.88593E8</v>
      </c>
      <c r="BP77" s="27"/>
      <c r="BQ77" s="28">
        <v>4.348075409E9</v>
      </c>
      <c r="BR77" s="28">
        <v>1686636.0</v>
      </c>
      <c r="BS77" s="28">
        <v>4.638355045E9</v>
      </c>
      <c r="BT77" s="62">
        <v>1.22551535075E11</v>
      </c>
      <c r="BU77" s="27"/>
      <c r="BV77" s="28">
        <v>5.1625959E10</v>
      </c>
      <c r="BW77" s="27" t="s">
        <v>295</v>
      </c>
      <c r="BX77" s="28">
        <v>6.050013205E9</v>
      </c>
      <c r="BY77" s="28">
        <v>3.4906015399E10</v>
      </c>
      <c r="BZ77" s="28">
        <v>-6.0415989E7</v>
      </c>
      <c r="CA77" s="27"/>
      <c r="CB77" s="27"/>
      <c r="CC77" s="62">
        <v>9.2521571615E10</v>
      </c>
      <c r="CD77" s="62">
        <v>2.1507310669E11</v>
      </c>
      <c r="CF77" s="49" t="s">
        <v>316</v>
      </c>
      <c r="CG77" s="27"/>
      <c r="CH77" s="98"/>
      <c r="CI77" s="98"/>
      <c r="CJ77" s="98"/>
      <c r="CK77" s="98"/>
      <c r="CL77" s="27"/>
      <c r="CM77" s="27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27"/>
      <c r="DC77" s="98"/>
      <c r="DD77" s="98"/>
      <c r="DE77" s="98"/>
      <c r="DF77" s="98"/>
      <c r="DG77" s="27"/>
      <c r="DH77" s="98"/>
      <c r="DI77" s="98"/>
      <c r="DJ77" s="98"/>
      <c r="DK77" s="98"/>
      <c r="DL77" s="98"/>
      <c r="DM77" s="98"/>
      <c r="DP77" s="64"/>
      <c r="DQ77" s="49" t="s">
        <v>316</v>
      </c>
      <c r="DR77" s="27"/>
      <c r="DS77" s="27"/>
      <c r="DT77" s="27"/>
      <c r="DU77" s="27"/>
      <c r="DV77" s="28">
        <v>1.4922428417E11</v>
      </c>
      <c r="DW77" s="27"/>
      <c r="DX77" s="27"/>
      <c r="DY77" s="28">
        <v>1.04648193837E11</v>
      </c>
      <c r="DZ77" s="27"/>
      <c r="EA77" s="27"/>
      <c r="EB77" s="27"/>
      <c r="EC77" s="27"/>
      <c r="ED77" s="27"/>
      <c r="EE77" s="28">
        <v>5.44017673E8</v>
      </c>
      <c r="EF77" s="27"/>
      <c r="EG77" s="27"/>
      <c r="EH77" s="27"/>
      <c r="EI77" s="27"/>
      <c r="EJ77" s="27"/>
      <c r="EK77" s="27"/>
      <c r="EL77" s="27"/>
      <c r="EM77" s="28">
        <v>1.90113644E8</v>
      </c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8">
        <v>1.324632784E9</v>
      </c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8">
        <v>6.3090365E7</v>
      </c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8"/>
      <c r="GM77" s="28">
        <v>1.18265604525299E11</v>
      </c>
      <c r="GN77" s="27"/>
      <c r="GO77" s="27"/>
      <c r="GP77" s="27"/>
      <c r="GQ77" s="27"/>
      <c r="GR77" s="27"/>
      <c r="GS77" s="27"/>
      <c r="GT77" s="27"/>
      <c r="GU77" s="28">
        <v>3.48092139E8</v>
      </c>
      <c r="GV77" s="28">
        <v>1.33147019E8</v>
      </c>
      <c r="GW77" s="27"/>
      <c r="GX77" s="28">
        <v>4.37794705E8</v>
      </c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  <c r="IO77" s="27"/>
      <c r="IP77" s="27"/>
      <c r="IQ77" s="27"/>
      <c r="IR77" s="27"/>
      <c r="IS77" s="27"/>
      <c r="IT77" s="27"/>
      <c r="IU77" s="27"/>
      <c r="IV77" s="27"/>
      <c r="IW77" s="27"/>
      <c r="IX77" s="27"/>
      <c r="IY77" s="27"/>
      <c r="IZ77" s="27"/>
      <c r="JA77" s="27"/>
      <c r="JB77" s="27"/>
      <c r="JC77" s="27"/>
      <c r="JD77" s="27"/>
      <c r="JE77" s="27"/>
      <c r="JF77" s="27"/>
      <c r="JG77" s="27"/>
      <c r="JH77" s="27"/>
      <c r="JI77" s="27"/>
      <c r="JJ77" s="27"/>
      <c r="JK77" s="27"/>
      <c r="JL77" s="27"/>
      <c r="JM77" s="27"/>
      <c r="JN77" s="27"/>
      <c r="JO77" s="27"/>
      <c r="JP77" s="27"/>
      <c r="JQ77" s="27"/>
      <c r="JR77" s="27"/>
      <c r="JS77" s="27"/>
      <c r="JT77" s="27"/>
      <c r="JU77" s="27"/>
      <c r="JV77" s="27"/>
      <c r="JW77" s="27"/>
      <c r="JX77" s="27"/>
      <c r="JY77" s="27"/>
      <c r="JZ77" s="27"/>
      <c r="KA77" s="27"/>
      <c r="KB77" s="27"/>
      <c r="KC77" s="27"/>
      <c r="KD77" s="27"/>
      <c r="KE77" s="27"/>
      <c r="KF77" s="27"/>
      <c r="KG77" s="27"/>
      <c r="KH77" s="27"/>
      <c r="KI77" s="27"/>
      <c r="KJ77" s="27"/>
      <c r="KK77" s="27"/>
      <c r="KL77" s="27"/>
      <c r="KM77" s="27"/>
      <c r="KN77" s="27"/>
      <c r="KO77" s="27"/>
      <c r="KP77" s="27"/>
      <c r="KQ77" s="27"/>
      <c r="KR77" s="28">
        <v>5.023642322E9</v>
      </c>
      <c r="KS77" s="27"/>
      <c r="KT77" s="27"/>
      <c r="KU77" s="27"/>
      <c r="KV77" s="27"/>
      <c r="KW77" s="27"/>
      <c r="KX77" s="27"/>
      <c r="KY77" s="27"/>
      <c r="KZ77" s="27"/>
      <c r="LA77" s="27"/>
      <c r="LB77" s="27"/>
      <c r="LC77" s="27"/>
      <c r="LD77" s="27"/>
      <c r="LE77" s="27"/>
      <c r="LF77" s="27"/>
      <c r="LG77" s="27"/>
      <c r="LH77" s="27"/>
      <c r="LI77" s="27"/>
      <c r="LJ77" s="28">
        <f t="shared" si="28"/>
        <v>0</v>
      </c>
      <c r="LK77" s="110"/>
    </row>
    <row r="78">
      <c r="A78" s="49" t="s">
        <v>318</v>
      </c>
      <c r="B78" s="146">
        <v>1.78209633207689E11</v>
      </c>
      <c r="C78" s="146">
        <v>1.40106087291365E11</v>
      </c>
      <c r="D78" s="147">
        <f t="shared" si="21"/>
        <v>38103545916</v>
      </c>
      <c r="E78" s="146"/>
      <c r="F78" s="146">
        <v>1.87720261683118E10</v>
      </c>
      <c r="G78" s="146">
        <v>3.429412838E9</v>
      </c>
      <c r="H78" s="146">
        <v>4.6361639619E8</v>
      </c>
      <c r="I78" s="53">
        <f t="shared" si="22"/>
        <v>22665055403</v>
      </c>
      <c r="J78" s="53">
        <f t="shared" si="23"/>
        <v>15438490514</v>
      </c>
      <c r="K78" s="146"/>
      <c r="L78" s="146">
        <v>1.13851839961E9</v>
      </c>
      <c r="M78" s="146">
        <v>7.08729110919318E9</v>
      </c>
      <c r="N78" s="52">
        <f t="shared" si="24"/>
        <v>-5948772710</v>
      </c>
      <c r="O78" s="146"/>
      <c r="P78" s="53">
        <f t="shared" si="25"/>
        <v>9489717804</v>
      </c>
      <c r="Q78" s="146"/>
      <c r="R78" s="146"/>
      <c r="S78" s="146"/>
      <c r="T78" s="53">
        <f t="shared" si="26"/>
        <v>9489717804</v>
      </c>
      <c r="U78" s="27"/>
      <c r="V78" s="28"/>
      <c r="W78" s="27"/>
      <c r="X78" s="195">
        <f t="shared" si="27"/>
        <v>9489717804</v>
      </c>
      <c r="Y78" s="27"/>
      <c r="AB78" s="27"/>
      <c r="AC78" s="27"/>
      <c r="AD78" s="28">
        <v>5.693624614E9</v>
      </c>
      <c r="AE78" s="28">
        <v>4.9100263429E10</v>
      </c>
      <c r="AF78" s="28"/>
      <c r="AG78" s="28">
        <v>-2.96117767E8</v>
      </c>
      <c r="AH78" s="28">
        <v>1.0540306517E10</v>
      </c>
      <c r="AI78" s="28">
        <v>4.7142888085E10</v>
      </c>
      <c r="AJ78" s="27" t="s">
        <v>295</v>
      </c>
      <c r="AK78" s="28"/>
      <c r="AL78" s="28">
        <v>3.457826166E9</v>
      </c>
      <c r="AM78" s="28">
        <v>7.913394377E9</v>
      </c>
      <c r="AN78" s="62">
        <v>1.26324888551E11</v>
      </c>
      <c r="AO78" s="27"/>
      <c r="AP78" s="27"/>
      <c r="AQ78" s="28">
        <v>1.11729233374E11</v>
      </c>
      <c r="AR78" s="28">
        <v>6812497.0</v>
      </c>
      <c r="AS78" s="28"/>
      <c r="AT78" s="28"/>
      <c r="AU78" s="28">
        <v>8.9844945E8</v>
      </c>
      <c r="AV78" s="62">
        <v>1.12634495321E11</v>
      </c>
      <c r="AW78" s="62">
        <v>2.38959383872E11</v>
      </c>
      <c r="AX78" s="27"/>
      <c r="AY78" s="27"/>
      <c r="AZ78" s="27"/>
      <c r="BA78" s="28">
        <v>2.4384952453E10</v>
      </c>
      <c r="BB78" s="28"/>
      <c r="BC78" s="28">
        <v>1.132396797E9</v>
      </c>
      <c r="BD78" s="27" t="s">
        <v>295</v>
      </c>
      <c r="BE78" s="28">
        <v>4.516531172E9</v>
      </c>
      <c r="BF78" s="27" t="s">
        <v>295</v>
      </c>
      <c r="BG78" s="28"/>
      <c r="BH78" s="28"/>
      <c r="BI78" s="28">
        <v>2.365045E7</v>
      </c>
      <c r="BJ78" s="27" t="s">
        <v>295</v>
      </c>
      <c r="BK78" s="28">
        <v>8.2109838245E10</v>
      </c>
      <c r="BL78" s="62">
        <v>1.12167369117E11</v>
      </c>
      <c r="BM78" s="27"/>
      <c r="BN78" s="27" t="s">
        <v>295</v>
      </c>
      <c r="BO78" s="28">
        <v>1.480976504E9</v>
      </c>
      <c r="BP78" s="27"/>
      <c r="BQ78" s="28">
        <v>4.348075409E9</v>
      </c>
      <c r="BR78" s="28">
        <v>1686636.0</v>
      </c>
      <c r="BS78" s="28">
        <v>5.830738549E9</v>
      </c>
      <c r="BT78" s="62">
        <v>1.17998107666E11</v>
      </c>
      <c r="BU78" s="27"/>
      <c r="BV78" s="28">
        <v>7.6625959E10</v>
      </c>
      <c r="BW78" s="27" t="s">
        <v>295</v>
      </c>
      <c r="BX78" s="28">
        <v>9.489717803E9</v>
      </c>
      <c r="BY78" s="28">
        <v>3.4906015399E10</v>
      </c>
      <c r="BZ78" s="28">
        <v>-6.0415989E7</v>
      </c>
      <c r="CA78" s="27"/>
      <c r="CB78" s="27"/>
      <c r="CC78" s="62">
        <v>1.20961276213E11</v>
      </c>
      <c r="CD78" s="62">
        <v>2.38959383879E11</v>
      </c>
      <c r="CF78" s="49" t="s">
        <v>318</v>
      </c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P78" s="64"/>
      <c r="DQ78" s="49" t="s">
        <v>318</v>
      </c>
      <c r="DR78" s="27"/>
      <c r="DS78" s="27"/>
      <c r="DT78" s="27"/>
      <c r="DU78" s="27"/>
      <c r="DV78" s="28">
        <v>1.78209633207E11</v>
      </c>
      <c r="DW78" s="27"/>
      <c r="DX78" s="27"/>
      <c r="DY78" s="28">
        <v>1.40106087292E11</v>
      </c>
      <c r="DZ78" s="27"/>
      <c r="EA78" s="28">
        <v>1.017297E9</v>
      </c>
      <c r="EB78" s="28">
        <v>1.544648E8</v>
      </c>
      <c r="EC78" s="28"/>
      <c r="ED78" s="28"/>
      <c r="EE78" s="28">
        <v>6.67978709E8</v>
      </c>
      <c r="EF78" s="28">
        <v>2.3531368E7</v>
      </c>
      <c r="EG78" s="28">
        <v>5473326.0</v>
      </c>
      <c r="EH78" s="28">
        <v>1.9894802E7</v>
      </c>
      <c r="EI78" s="28">
        <v>2.8404679E7</v>
      </c>
      <c r="EJ78" s="28">
        <v>7934987.0</v>
      </c>
      <c r="EK78" s="28">
        <v>2.4022627E7</v>
      </c>
      <c r="EL78" s="28">
        <v>1.9997067E7</v>
      </c>
      <c r="EM78" s="28">
        <v>2.11037346E8</v>
      </c>
      <c r="EN78" s="27"/>
      <c r="EO78" s="28">
        <v>1.299E8</v>
      </c>
      <c r="EP78" s="27"/>
      <c r="EQ78" s="27"/>
      <c r="ER78" s="28">
        <v>1.396597781E9</v>
      </c>
      <c r="ES78" s="28">
        <v>8.4286175E8</v>
      </c>
      <c r="ET78" s="28">
        <v>5.465167712E9</v>
      </c>
      <c r="EU78" s="28"/>
      <c r="EV78" s="28">
        <v>2.4684547E7</v>
      </c>
      <c r="EW78" s="28">
        <v>4.68805433E8</v>
      </c>
      <c r="EX78" s="28">
        <v>5.1761844E7</v>
      </c>
      <c r="EY78" s="28">
        <v>1.107504E9</v>
      </c>
      <c r="EZ78" s="28">
        <v>1.521647021E9</v>
      </c>
      <c r="FA78" s="27"/>
      <c r="FB78" s="28">
        <v>2.48473189E8</v>
      </c>
      <c r="FC78" s="28">
        <v>2.03060642E8</v>
      </c>
      <c r="FD78" s="28">
        <v>2.66889652E8</v>
      </c>
      <c r="FE78" s="28">
        <v>6.1631363E7</v>
      </c>
      <c r="FF78" s="28">
        <v>3.001707E7</v>
      </c>
      <c r="FG78" s="28">
        <v>1.96273074E8</v>
      </c>
      <c r="FH78" s="27"/>
      <c r="FI78" s="28">
        <v>3.9931E7</v>
      </c>
      <c r="FJ78" s="28">
        <v>1.27034631E8</v>
      </c>
      <c r="FK78" s="27"/>
      <c r="FL78" s="28">
        <v>4.64424121E8</v>
      </c>
      <c r="FM78" s="27" t="s">
        <v>317</v>
      </c>
      <c r="FN78" s="28">
        <v>847871.0</v>
      </c>
      <c r="FO78" s="28">
        <v>7.1722365E7</v>
      </c>
      <c r="FP78" s="27" t="s">
        <v>317</v>
      </c>
      <c r="FQ78" s="28">
        <v>5.40529859E8</v>
      </c>
      <c r="FR78" s="27"/>
      <c r="FS78" s="27"/>
      <c r="FT78" s="27"/>
      <c r="FU78" s="27"/>
      <c r="FV78" s="28">
        <v>2.997655E7</v>
      </c>
      <c r="FW78" s="27"/>
      <c r="FX78" s="27"/>
      <c r="FY78" s="27"/>
      <c r="FZ78" s="27"/>
      <c r="GA78" s="27"/>
      <c r="GB78" s="27"/>
      <c r="GC78" s="27"/>
      <c r="GD78" s="27"/>
      <c r="GE78" s="28">
        <v>6.2390592E7</v>
      </c>
      <c r="GF78" s="27"/>
      <c r="GG78" s="28"/>
      <c r="GH78" s="27"/>
      <c r="GI78" s="27"/>
      <c r="GJ78" s="28">
        <v>6.7296814E7</v>
      </c>
      <c r="GK78" s="27"/>
      <c r="GL78" s="28"/>
      <c r="GM78" s="28">
        <v>1.40106087291365E11</v>
      </c>
      <c r="GN78" s="27"/>
      <c r="GO78" s="27"/>
      <c r="GP78" s="27"/>
      <c r="GQ78" s="28">
        <v>2.66424359E8</v>
      </c>
      <c r="GR78" s="28">
        <v>1.299503E7</v>
      </c>
      <c r="GS78" s="27"/>
      <c r="GT78" s="28">
        <v>4.5286397E7</v>
      </c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8">
        <v>3.15719739E8</v>
      </c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8">
        <v>1.7024404E7</v>
      </c>
      <c r="HT78" s="27"/>
      <c r="HU78" s="27"/>
      <c r="HV78" s="27"/>
      <c r="HW78" s="27"/>
      <c r="HX78" s="28">
        <v>1.36750775E8</v>
      </c>
      <c r="HY78" s="27"/>
      <c r="HZ78" s="27"/>
      <c r="IA78" s="27"/>
      <c r="IB78" s="27"/>
      <c r="IC78" s="28">
        <v>1.93219392E8</v>
      </c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  <c r="IO78" s="27"/>
      <c r="IP78" s="27"/>
      <c r="IQ78" s="27"/>
      <c r="IR78" s="27"/>
      <c r="IS78" s="27"/>
      <c r="IT78" s="27"/>
      <c r="IU78" s="27"/>
      <c r="IV78" s="27"/>
      <c r="IW78" s="27"/>
      <c r="IX78" s="27"/>
      <c r="IY78" s="27"/>
      <c r="IZ78" s="27"/>
      <c r="JA78" s="27"/>
      <c r="JB78" s="27"/>
      <c r="JC78" s="27"/>
      <c r="JD78" s="27"/>
      <c r="JE78" s="27"/>
      <c r="JF78" s="27"/>
      <c r="JG78" s="27"/>
      <c r="JH78" s="27"/>
      <c r="JI78" s="27"/>
      <c r="JJ78" s="27"/>
      <c r="JK78" s="27"/>
      <c r="JL78" s="27"/>
      <c r="JM78" s="27"/>
      <c r="JN78" s="27"/>
      <c r="JO78" s="27"/>
      <c r="JP78" s="27"/>
      <c r="JQ78" s="27"/>
      <c r="JR78" s="27"/>
      <c r="JS78" s="27"/>
      <c r="JT78" s="27"/>
      <c r="JU78" s="27"/>
      <c r="JV78" s="27"/>
      <c r="JW78" s="28">
        <v>3.019650912E9</v>
      </c>
      <c r="JX78" s="28">
        <v>2.838626E8</v>
      </c>
      <c r="JY78" s="28">
        <v>6.2840155E7</v>
      </c>
      <c r="JZ78" s="62">
        <v>3.429412838E9</v>
      </c>
      <c r="KA78" s="27"/>
      <c r="KB78" s="27"/>
      <c r="KC78" s="27"/>
      <c r="KD78" s="27"/>
      <c r="KE78" s="27"/>
      <c r="KF78" s="27"/>
      <c r="KG78" s="27"/>
      <c r="KH78" s="27"/>
      <c r="KI78" s="27"/>
      <c r="KJ78" s="27"/>
      <c r="KK78" s="27"/>
      <c r="KL78" s="27"/>
      <c r="KM78" s="27"/>
      <c r="KN78" s="27"/>
      <c r="KO78" s="27"/>
      <c r="KP78" s="27"/>
      <c r="KQ78" s="27"/>
      <c r="KS78" s="27"/>
      <c r="KT78" s="27"/>
      <c r="KU78" s="27"/>
      <c r="KV78" s="27"/>
      <c r="KW78" s="27"/>
      <c r="KX78" s="27"/>
      <c r="KY78" s="27"/>
      <c r="KZ78" s="27"/>
      <c r="LA78" s="27"/>
      <c r="LB78" s="27"/>
      <c r="LC78" s="27"/>
      <c r="LD78" s="27"/>
      <c r="LE78" s="27"/>
      <c r="LF78" s="27"/>
      <c r="LG78" s="27"/>
      <c r="LH78" s="27"/>
      <c r="LI78" s="27"/>
      <c r="LJ78" s="28">
        <f t="shared" si="28"/>
        <v>3429412838</v>
      </c>
      <c r="LK78" s="110"/>
    </row>
    <row r="79">
      <c r="A79" s="49" t="s">
        <v>3</v>
      </c>
      <c r="B79" s="146">
        <v>1.95956481653E11</v>
      </c>
      <c r="C79" s="146">
        <v>1.54651513232E11</v>
      </c>
      <c r="D79" s="147">
        <f t="shared" si="21"/>
        <v>41304968421</v>
      </c>
      <c r="E79" s="146"/>
      <c r="F79" s="146">
        <v>1.8258626106E10</v>
      </c>
      <c r="G79" s="146">
        <v>3.936534346E9</v>
      </c>
      <c r="H79" s="146">
        <v>4.91730146E8</v>
      </c>
      <c r="I79" s="53">
        <f t="shared" si="22"/>
        <v>22686890598</v>
      </c>
      <c r="J79" s="53">
        <f t="shared" si="23"/>
        <v>18618077823</v>
      </c>
      <c r="K79" s="146"/>
      <c r="L79" s="146">
        <v>1.391757628E9</v>
      </c>
      <c r="M79" s="146">
        <v>7.863693238E9</v>
      </c>
      <c r="N79" s="52">
        <f t="shared" si="24"/>
        <v>-6471935610</v>
      </c>
      <c r="O79" s="146"/>
      <c r="P79" s="53">
        <f t="shared" si="25"/>
        <v>12146142213</v>
      </c>
      <c r="Q79" s="146"/>
      <c r="R79" s="146"/>
      <c r="S79" s="146"/>
      <c r="T79" s="53">
        <f t="shared" si="26"/>
        <v>12146142213</v>
      </c>
      <c r="U79" s="27"/>
      <c r="V79" s="28"/>
      <c r="W79" s="27"/>
      <c r="X79" s="195">
        <f t="shared" si="27"/>
        <v>12146142213</v>
      </c>
      <c r="Y79" s="27"/>
      <c r="AB79" s="27"/>
      <c r="AC79" s="27"/>
      <c r="AD79" s="28">
        <v>8.557378107E9</v>
      </c>
      <c r="AE79" s="28">
        <v>5.1930090325E10</v>
      </c>
      <c r="AF79" s="28"/>
      <c r="AG79" s="28">
        <v>-2.96117767E8</v>
      </c>
      <c r="AH79" s="28">
        <v>1.1142831009E10</v>
      </c>
      <c r="AI79" s="28">
        <v>4.7915792594E10</v>
      </c>
      <c r="AJ79" s="27" t="s">
        <v>295</v>
      </c>
      <c r="AK79" s="28"/>
      <c r="AL79" s="28">
        <v>5.012848938E9</v>
      </c>
      <c r="AM79" s="28">
        <v>7.819077468E9</v>
      </c>
      <c r="AN79" s="62">
        <v>1.34854603805E11</v>
      </c>
      <c r="AO79" s="27"/>
      <c r="AP79" s="28">
        <v>9.8E7</v>
      </c>
      <c r="AQ79" s="28">
        <v>1.12145199869E11</v>
      </c>
      <c r="AR79" s="28">
        <v>2.852725223E9</v>
      </c>
      <c r="AS79" s="28"/>
      <c r="AT79" s="28"/>
      <c r="AU79" s="28">
        <v>8.9844945E8</v>
      </c>
      <c r="AV79" s="62">
        <v>1.15994374542E11</v>
      </c>
      <c r="AW79" s="62">
        <v>2.50848978348E11</v>
      </c>
      <c r="AX79" s="27"/>
      <c r="AY79" s="27"/>
      <c r="AZ79" s="27"/>
      <c r="BA79" s="28">
        <v>2.2554384782E10</v>
      </c>
      <c r="BB79" s="28"/>
      <c r="BC79" s="28">
        <v>3.095595174E9</v>
      </c>
      <c r="BD79" s="27" t="s">
        <v>295</v>
      </c>
      <c r="BE79" s="28">
        <v>3.582659951E9</v>
      </c>
      <c r="BF79" s="27" t="s">
        <v>295</v>
      </c>
      <c r="BG79" s="28"/>
      <c r="BH79" s="28"/>
      <c r="BI79" s="28">
        <v>1.78469655E8</v>
      </c>
      <c r="BJ79" s="27" t="s">
        <v>295</v>
      </c>
      <c r="BK79" s="28">
        <v>9.3119406023E10</v>
      </c>
      <c r="BL79" s="62">
        <v>1.22530515584E11</v>
      </c>
      <c r="BM79" s="27"/>
      <c r="BN79" s="27" t="s">
        <v>295</v>
      </c>
      <c r="BO79" s="28">
        <v>3.57713004E8</v>
      </c>
      <c r="BP79" s="27"/>
      <c r="BQ79" s="28">
        <v>4.348075409E9</v>
      </c>
      <c r="BR79" s="28">
        <v>1686636.0</v>
      </c>
      <c r="BS79" s="28">
        <v>4.707475049E9</v>
      </c>
      <c r="BT79" s="62">
        <v>1.27237990633E11</v>
      </c>
      <c r="BU79" s="27"/>
      <c r="BV79" s="28">
        <v>7.6625959E10</v>
      </c>
      <c r="BW79" s="27" t="s">
        <v>295</v>
      </c>
      <c r="BX79" s="28">
        <v>1.2146142214E10</v>
      </c>
      <c r="BY79" s="28">
        <v>3.4899302493E10</v>
      </c>
      <c r="BZ79" s="28">
        <v>-6.0415989E7</v>
      </c>
      <c r="CA79" s="27"/>
      <c r="CB79" s="27"/>
      <c r="CC79" s="62">
        <v>1.23610987718E11</v>
      </c>
      <c r="CD79" s="62">
        <v>2.50848978351E11</v>
      </c>
      <c r="CF79" s="49" t="s">
        <v>3</v>
      </c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P79" s="64"/>
      <c r="DQ79" s="49" t="s">
        <v>3</v>
      </c>
      <c r="DR79" s="28"/>
      <c r="DS79" s="28"/>
      <c r="DT79" s="28"/>
      <c r="DU79" s="28"/>
      <c r="DV79" s="28">
        <v>1.96160417477E11</v>
      </c>
      <c r="DW79" s="28"/>
      <c r="DX79" s="28"/>
      <c r="DY79" s="28">
        <v>1.54651513233E11</v>
      </c>
      <c r="DZ79" s="28"/>
      <c r="EA79" s="28">
        <v>1.017297E9</v>
      </c>
      <c r="EB79" s="28">
        <v>1.580284E8</v>
      </c>
      <c r="EC79" s="28"/>
      <c r="ED79" s="28"/>
      <c r="EE79" s="28">
        <v>7.92516378E8</v>
      </c>
      <c r="EF79" s="28">
        <v>3.8942516E7</v>
      </c>
      <c r="EG79" s="28">
        <v>1.9482481E7</v>
      </c>
      <c r="EH79" s="28">
        <v>7.2849201E7</v>
      </c>
      <c r="EI79" s="28">
        <v>3.05095E7</v>
      </c>
      <c r="EJ79" s="28"/>
      <c r="EK79" s="28"/>
      <c r="EL79" s="28">
        <v>7.7262331E7</v>
      </c>
      <c r="EM79" s="28">
        <v>2.38296412E8</v>
      </c>
      <c r="EN79" s="28"/>
      <c r="EO79" s="28">
        <v>1.941E8</v>
      </c>
      <c r="EP79" s="28"/>
      <c r="EQ79" s="28"/>
      <c r="ER79" s="28">
        <v>1.521461444E9</v>
      </c>
      <c r="ES79" s="28">
        <v>8.7176175E8</v>
      </c>
      <c r="ET79" s="28">
        <v>6.399539741E9</v>
      </c>
      <c r="EU79" s="28"/>
      <c r="EV79" s="28">
        <v>2.6389839E7</v>
      </c>
      <c r="EW79" s="28">
        <v>5.48151836E8</v>
      </c>
      <c r="EX79" s="28">
        <v>5.4016748E7</v>
      </c>
      <c r="EY79" s="28">
        <v>1.249621835E9</v>
      </c>
      <c r="EZ79" s="28">
        <v>1.721335198E9</v>
      </c>
      <c r="FA79" s="28"/>
      <c r="FB79" s="28">
        <v>2.72728753E8</v>
      </c>
      <c r="FC79" s="28">
        <v>2.22863075E8</v>
      </c>
      <c r="FD79" s="28">
        <v>2.93579565E8</v>
      </c>
      <c r="FE79" s="28">
        <v>1.00978942E8</v>
      </c>
      <c r="FF79" s="28">
        <v>3.236177E7</v>
      </c>
      <c r="FG79" s="28">
        <v>2.09961021E8</v>
      </c>
      <c r="FH79" s="28"/>
      <c r="FI79" s="28">
        <v>1.08546988E8</v>
      </c>
      <c r="FJ79" s="28">
        <v>1.34698381E8</v>
      </c>
      <c r="FK79" s="28"/>
      <c r="FL79" s="28">
        <v>4.72053067E8</v>
      </c>
      <c r="FM79" s="28"/>
      <c r="FN79" s="28">
        <v>847871.0</v>
      </c>
      <c r="FO79" s="28">
        <v>7.5418865E7</v>
      </c>
      <c r="FP79" s="28"/>
      <c r="FQ79" s="28">
        <v>1.15755951E8</v>
      </c>
      <c r="FR79" s="28"/>
      <c r="FS79" s="28"/>
      <c r="FT79" s="28"/>
      <c r="FU79" s="28"/>
      <c r="FV79" s="28">
        <v>7.243655E7</v>
      </c>
      <c r="FW79" s="28"/>
      <c r="FX79" s="28"/>
      <c r="FY79" s="28"/>
      <c r="FZ79" s="28"/>
      <c r="GA79" s="28"/>
      <c r="GB79" s="28"/>
      <c r="GC79" s="28"/>
      <c r="GD79" s="28"/>
      <c r="GE79" s="28">
        <v>4.91730146E8</v>
      </c>
      <c r="GF79" s="28"/>
      <c r="GG79" s="28"/>
      <c r="GH79" s="28"/>
      <c r="GI79" s="28"/>
      <c r="GJ79" s="28">
        <v>6.9739814E7</v>
      </c>
      <c r="GK79" s="28"/>
      <c r="GL79" s="28"/>
      <c r="GM79" s="28">
        <v>1.54651513232E11</v>
      </c>
      <c r="GN79" s="28"/>
      <c r="GO79" s="28"/>
      <c r="GP79" s="28"/>
      <c r="GQ79" s="28">
        <v>3.55747573E8</v>
      </c>
      <c r="GR79" s="28"/>
      <c r="GS79" s="28"/>
      <c r="GT79" s="28">
        <v>6.0903528E7</v>
      </c>
      <c r="GU79" s="28">
        <v>4.65739615E8</v>
      </c>
      <c r="GV79" s="28">
        <v>1.83495396E8</v>
      </c>
      <c r="GW79" s="28">
        <v>9523799.0</v>
      </c>
      <c r="GX79" s="28">
        <v>1.507222E7</v>
      </c>
      <c r="GY79" s="28">
        <v>2.151984269E9</v>
      </c>
      <c r="GZ79" s="28">
        <v>5.58744563E9</v>
      </c>
      <c r="HA79" s="28"/>
      <c r="HB79" s="28"/>
      <c r="HC79" s="28"/>
      <c r="HD79" s="28"/>
      <c r="HE79" s="28"/>
      <c r="HF79" s="28"/>
      <c r="HG79" s="28"/>
      <c r="HH79" s="28"/>
      <c r="HI79" s="28"/>
      <c r="HJ79" s="28"/>
      <c r="HK79" s="28"/>
      <c r="HL79" s="28"/>
      <c r="HM79" s="28"/>
      <c r="HN79" s="28"/>
      <c r="HO79" s="28"/>
      <c r="HP79" s="28"/>
      <c r="HQ79" s="28"/>
      <c r="HR79" s="28"/>
      <c r="HS79" s="28"/>
      <c r="HT79" s="28"/>
      <c r="HU79" s="28"/>
      <c r="HV79" s="28"/>
      <c r="HW79" s="28"/>
      <c r="HX79" s="28"/>
      <c r="HY79" s="28"/>
      <c r="HZ79" s="28"/>
      <c r="IA79" s="28"/>
      <c r="IB79" s="28"/>
      <c r="IC79" s="28"/>
      <c r="ID79" s="28"/>
      <c r="IE79" s="28"/>
      <c r="IF79" s="28"/>
      <c r="IG79" s="28"/>
      <c r="IH79" s="28"/>
      <c r="II79" s="28"/>
      <c r="IJ79" s="28"/>
      <c r="IK79" s="28"/>
      <c r="IL79" s="28"/>
      <c r="IM79" s="28"/>
      <c r="IN79" s="28"/>
      <c r="IO79" s="28"/>
      <c r="IP79" s="28"/>
      <c r="IQ79" s="28"/>
      <c r="IR79" s="28"/>
      <c r="IS79" s="28"/>
      <c r="IT79" s="28"/>
      <c r="IU79" s="28"/>
      <c r="IV79" s="28"/>
      <c r="IW79" s="28"/>
      <c r="IX79" s="28"/>
      <c r="IY79" s="28"/>
      <c r="IZ79" s="28"/>
      <c r="JA79" s="28">
        <v>4.7703238E8</v>
      </c>
      <c r="JB79" s="28"/>
      <c r="JC79" s="28"/>
      <c r="JD79" s="28"/>
      <c r="JE79" s="28"/>
      <c r="JF79" s="28"/>
      <c r="JG79" s="28"/>
      <c r="JH79" s="28"/>
      <c r="JI79" s="28"/>
      <c r="JJ79" s="28"/>
      <c r="JK79" s="28"/>
      <c r="JL79" s="28"/>
      <c r="JM79" s="28"/>
      <c r="JN79" s="28"/>
      <c r="JO79" s="28"/>
      <c r="JP79" s="28"/>
      <c r="JQ79" s="28"/>
      <c r="JR79" s="28"/>
      <c r="JS79" s="28"/>
      <c r="JT79" s="28"/>
      <c r="JU79" s="28"/>
      <c r="JV79" s="28"/>
      <c r="JW79" s="28">
        <v>3.440538445E9</v>
      </c>
      <c r="JX79" s="28">
        <v>3.27636575E8</v>
      </c>
      <c r="JY79" s="28">
        <v>6.2840155E7</v>
      </c>
      <c r="JZ79" s="62">
        <v>3.936534346E9</v>
      </c>
      <c r="KA79" s="28"/>
      <c r="KB79" s="28"/>
      <c r="KC79" s="28"/>
      <c r="KD79" s="28"/>
      <c r="KE79" s="28"/>
      <c r="KF79" s="28"/>
      <c r="KG79" s="28">
        <v>6.0501629E7</v>
      </c>
      <c r="KH79" s="28">
        <v>5.07490652E8</v>
      </c>
      <c r="KI79" s="28">
        <v>1.67755883E8</v>
      </c>
      <c r="KJ79" s="28">
        <v>5.1153555E7</v>
      </c>
      <c r="KK79" s="28">
        <v>5.6165687E8</v>
      </c>
      <c r="KL79" s="28"/>
      <c r="KM79" s="28"/>
      <c r="KN79" s="28">
        <v>1.391757629E9</v>
      </c>
      <c r="KO79" s="28"/>
      <c r="KP79" s="28"/>
      <c r="KQ79" s="28">
        <v>4.473336E7</v>
      </c>
      <c r="KR79" s="28">
        <v>6.452262326E9</v>
      </c>
      <c r="KS79" s="28"/>
      <c r="KT79" s="28"/>
      <c r="KU79" s="28"/>
      <c r="KV79" s="28"/>
      <c r="KW79" s="28"/>
      <c r="KX79" s="28"/>
      <c r="KY79" s="28"/>
      <c r="KZ79" s="28"/>
      <c r="LA79" s="28"/>
      <c r="LB79" s="28"/>
      <c r="LC79" s="28"/>
      <c r="LD79" s="28"/>
      <c r="LE79" s="28"/>
      <c r="LF79" s="28"/>
      <c r="LG79" s="28"/>
      <c r="LH79" s="28"/>
      <c r="LI79" s="28"/>
      <c r="LJ79" s="28">
        <f t="shared" si="28"/>
        <v>3936534346</v>
      </c>
      <c r="LK79" s="110"/>
    </row>
    <row r="80">
      <c r="A80" s="49" t="s">
        <v>322</v>
      </c>
      <c r="B80" s="146">
        <v>2.17892794636144E11</v>
      </c>
      <c r="C80" s="146">
        <v>1.67556931608074E11</v>
      </c>
      <c r="D80" s="147">
        <f t="shared" si="21"/>
        <v>50335863028</v>
      </c>
      <c r="E80" s="146"/>
      <c r="F80" s="146">
        <v>2.23868943241746E10</v>
      </c>
      <c r="G80" s="146">
        <v>5.019955998E9</v>
      </c>
      <c r="H80" s="146">
        <v>5.5280609919E8</v>
      </c>
      <c r="I80" s="53">
        <f t="shared" si="22"/>
        <v>27959656421</v>
      </c>
      <c r="J80" s="53">
        <f t="shared" si="23"/>
        <v>22376206607</v>
      </c>
      <c r="K80" s="146"/>
      <c r="L80" s="146">
        <v>1.5893333104E9</v>
      </c>
      <c r="M80" s="146">
        <v>8.86224855269318E9</v>
      </c>
      <c r="N80" s="52">
        <f t="shared" si="24"/>
        <v>-7272915242</v>
      </c>
      <c r="O80" s="146"/>
      <c r="P80" s="53">
        <f t="shared" si="25"/>
        <v>15103291364</v>
      </c>
      <c r="Q80" s="146"/>
      <c r="R80" s="146"/>
      <c r="S80" s="146"/>
      <c r="T80" s="53">
        <f t="shared" si="26"/>
        <v>15103291364</v>
      </c>
      <c r="U80" s="27"/>
      <c r="V80" s="28"/>
      <c r="W80" s="27"/>
      <c r="X80" s="195">
        <f t="shared" si="27"/>
        <v>15103291364</v>
      </c>
      <c r="Y80" s="27"/>
      <c r="AB80" s="27"/>
      <c r="AC80" s="27"/>
      <c r="AD80" s="28">
        <v>4.196530883E9</v>
      </c>
      <c r="AE80" s="28">
        <v>5.0915720363E10</v>
      </c>
      <c r="AF80" s="28"/>
      <c r="AG80" s="28">
        <v>-2.96117767E8</v>
      </c>
      <c r="AH80" s="28">
        <v>8.165784699E9</v>
      </c>
      <c r="AI80" s="28">
        <v>5.6212848031E10</v>
      </c>
      <c r="AJ80" s="27" t="s">
        <v>295</v>
      </c>
      <c r="AK80" s="28"/>
      <c r="AL80" s="28">
        <v>1.0689330286E10</v>
      </c>
      <c r="AM80" s="28">
        <v>9.471578708E9</v>
      </c>
      <c r="AN80" s="62">
        <v>1.42128378332E11</v>
      </c>
      <c r="AO80" s="27"/>
      <c r="AP80" s="28">
        <v>9.8E7</v>
      </c>
      <c r="AQ80" s="28">
        <v>1.13498414411E11</v>
      </c>
      <c r="AR80" s="28">
        <v>3.8425681E9</v>
      </c>
      <c r="AS80" s="28"/>
      <c r="AT80" s="28"/>
      <c r="AU80" s="28">
        <v>8.9844945E8</v>
      </c>
      <c r="AV80" s="62">
        <v>1.18337431961E11</v>
      </c>
      <c r="AW80" s="62">
        <v>2.60465810293E11</v>
      </c>
      <c r="AX80" s="27"/>
      <c r="AY80" s="27"/>
      <c r="AZ80" s="27"/>
      <c r="BA80" s="28">
        <v>2.3323943945E10</v>
      </c>
      <c r="BB80" s="28"/>
      <c r="BC80" s="28">
        <v>2.380068225E9</v>
      </c>
      <c r="BD80" s="27" t="s">
        <v>295</v>
      </c>
      <c r="BE80" s="28">
        <v>4.386320693E9</v>
      </c>
      <c r="BF80" s="28">
        <v>1.35135135E8</v>
      </c>
      <c r="BG80" s="28"/>
      <c r="BH80" s="28"/>
      <c r="BI80" s="28">
        <v>9.10486005E8</v>
      </c>
      <c r="BJ80" s="27" t="s">
        <v>295</v>
      </c>
      <c r="BK80" s="28">
        <v>9.9289483801E10</v>
      </c>
      <c r="BL80" s="62">
        <v>1.30425437804E11</v>
      </c>
      <c r="BM80" s="27"/>
      <c r="BN80" s="27" t="s">
        <v>295</v>
      </c>
      <c r="BO80" s="28">
        <v>3.00162004E8</v>
      </c>
      <c r="BP80" s="27"/>
      <c r="BQ80" s="28">
        <v>4.348075409E9</v>
      </c>
      <c r="BR80" s="28">
        <v>1686636.0</v>
      </c>
      <c r="BS80" s="28">
        <v>4.649924049E9</v>
      </c>
      <c r="BT80" s="62">
        <v>1.35075361853E11</v>
      </c>
      <c r="BU80" s="27"/>
      <c r="BV80" s="28">
        <v>7.6210959E10</v>
      </c>
      <c r="BW80" s="27" t="s">
        <v>295</v>
      </c>
      <c r="BX80" s="28">
        <v>2.886254086E9</v>
      </c>
      <c r="BY80" s="28">
        <v>4.6353651338E10</v>
      </c>
      <c r="BZ80" s="28">
        <v>-6.0415989E7</v>
      </c>
      <c r="CA80" s="27"/>
      <c r="CB80" s="27"/>
      <c r="CC80" s="62">
        <v>1.25390448435E11</v>
      </c>
      <c r="CD80" s="62">
        <v>2.60465810288E11</v>
      </c>
      <c r="CF80" s="49" t="s">
        <v>322</v>
      </c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P80" s="64"/>
      <c r="DQ80" s="49" t="s">
        <v>322</v>
      </c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8"/>
      <c r="GM80" s="28">
        <v>1.67556931608074E11</v>
      </c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  <c r="IO80" s="27"/>
      <c r="IP80" s="27"/>
      <c r="IQ80" s="27"/>
      <c r="IR80" s="27"/>
      <c r="IS80" s="27"/>
      <c r="IT80" s="27"/>
      <c r="IU80" s="27"/>
      <c r="IV80" s="27"/>
      <c r="IW80" s="27"/>
      <c r="IX80" s="27"/>
      <c r="IY80" s="27"/>
      <c r="IZ80" s="27"/>
      <c r="JA80" s="27"/>
      <c r="JB80" s="27"/>
      <c r="JC80" s="27"/>
      <c r="JD80" s="27"/>
      <c r="JE80" s="27"/>
      <c r="JF80" s="27"/>
      <c r="JG80" s="27"/>
      <c r="JH80" s="27"/>
      <c r="JI80" s="27"/>
      <c r="JJ80" s="27"/>
      <c r="JK80" s="27"/>
      <c r="JL80" s="27"/>
      <c r="JM80" s="27"/>
      <c r="JN80" s="27"/>
      <c r="JO80" s="27"/>
      <c r="JP80" s="27"/>
      <c r="JQ80" s="27"/>
      <c r="JR80" s="27"/>
      <c r="JS80" s="27"/>
      <c r="JT80" s="27"/>
      <c r="JU80" s="27"/>
      <c r="JV80" s="27"/>
      <c r="JW80" s="27"/>
      <c r="JX80" s="27"/>
      <c r="JY80" s="27"/>
      <c r="JZ80" s="27"/>
      <c r="KA80" s="27"/>
      <c r="KB80" s="27"/>
      <c r="KC80" s="27"/>
      <c r="KD80" s="27"/>
      <c r="KE80" s="27"/>
      <c r="KF80" s="27"/>
      <c r="KG80" s="27"/>
      <c r="KH80" s="27"/>
      <c r="KI80" s="27"/>
      <c r="KJ80" s="27"/>
      <c r="KK80" s="27"/>
      <c r="KL80" s="27"/>
      <c r="KM80" s="27"/>
      <c r="KN80" s="27"/>
      <c r="KO80" s="27"/>
      <c r="KP80" s="27"/>
      <c r="KQ80" s="27"/>
      <c r="KR80" s="27"/>
      <c r="KS80" s="27"/>
      <c r="KT80" s="27"/>
      <c r="KU80" s="27"/>
      <c r="KV80" s="27"/>
      <c r="KW80" s="27"/>
      <c r="KX80" s="27"/>
      <c r="KY80" s="27"/>
      <c r="KZ80" s="27"/>
      <c r="LA80" s="27"/>
      <c r="LB80" s="27"/>
      <c r="LC80" s="27"/>
      <c r="LD80" s="27"/>
      <c r="LE80" s="27"/>
      <c r="LF80" s="27"/>
      <c r="LG80" s="27"/>
      <c r="LH80" s="27"/>
      <c r="LI80" s="27"/>
      <c r="LJ80" s="28">
        <f t="shared" si="28"/>
        <v>0</v>
      </c>
      <c r="LK80" s="110"/>
    </row>
    <row r="81">
      <c r="A81" s="49" t="s">
        <v>323</v>
      </c>
      <c r="B81" s="146">
        <v>2.34336374231072E11</v>
      </c>
      <c r="C81" s="146">
        <v>1.77845666714054E11</v>
      </c>
      <c r="D81" s="147">
        <f t="shared" si="21"/>
        <v>56490707517</v>
      </c>
      <c r="E81" s="146"/>
      <c r="F81" s="146">
        <v>2.38550567051746E10</v>
      </c>
      <c r="G81" s="146">
        <v>5.36626436E9</v>
      </c>
      <c r="H81" s="146">
        <v>5.8592766319E8</v>
      </c>
      <c r="I81" s="53">
        <f t="shared" si="22"/>
        <v>29807248728</v>
      </c>
      <c r="J81" s="53">
        <f t="shared" si="23"/>
        <v>26683458789</v>
      </c>
      <c r="K81" s="146"/>
      <c r="L81" s="146">
        <v>1.6136299944E9</v>
      </c>
      <c r="M81" s="146">
        <v>9.89791270169318E9</v>
      </c>
      <c r="N81" s="52">
        <f t="shared" si="24"/>
        <v>-8284282707</v>
      </c>
      <c r="O81" s="146"/>
      <c r="P81" s="53">
        <f t="shared" si="25"/>
        <v>18399176081</v>
      </c>
      <c r="Q81" s="146"/>
      <c r="R81" s="146"/>
      <c r="S81" s="146"/>
      <c r="T81" s="53">
        <f t="shared" si="26"/>
        <v>18399176081</v>
      </c>
      <c r="U81" s="27"/>
      <c r="V81" s="28"/>
      <c r="W81" s="27"/>
      <c r="X81" s="195">
        <f t="shared" si="27"/>
        <v>18399176081</v>
      </c>
      <c r="Y81" s="27"/>
      <c r="AB81" s="27"/>
      <c r="AC81" s="27"/>
      <c r="AD81" s="28">
        <v>7.877481283E9</v>
      </c>
      <c r="AE81" s="28">
        <v>5.905281159E10</v>
      </c>
      <c r="AF81" s="28"/>
      <c r="AG81" s="28">
        <v>-2.96117767E8</v>
      </c>
      <c r="AH81" s="28">
        <v>9.085119352E9</v>
      </c>
      <c r="AI81" s="28">
        <v>6.0763378161E10</v>
      </c>
      <c r="AJ81" s="27" t="s">
        <v>295</v>
      </c>
      <c r="AK81" s="28"/>
      <c r="AL81" s="28">
        <v>5.243378416E9</v>
      </c>
      <c r="AM81" s="28">
        <v>1.0430848753E10</v>
      </c>
      <c r="AN81" s="62">
        <v>1.52156899788E11</v>
      </c>
      <c r="AO81" s="27"/>
      <c r="AP81" s="28">
        <v>9.8E7</v>
      </c>
      <c r="AQ81" s="28">
        <v>1.22594520199E11</v>
      </c>
      <c r="AR81" s="28">
        <v>5.036225563E9</v>
      </c>
      <c r="AS81" s="28"/>
      <c r="AT81" s="28"/>
      <c r="AU81" s="28">
        <v>8.9844945E8</v>
      </c>
      <c r="AV81" s="62">
        <v>1.28627195212E11</v>
      </c>
      <c r="AW81" s="62">
        <v>2.80784094999E11</v>
      </c>
      <c r="AX81" s="27"/>
      <c r="AY81" s="27"/>
      <c r="AZ81" s="27"/>
      <c r="BA81" s="28">
        <v>2.3558447946E10</v>
      </c>
      <c r="BB81" s="28"/>
      <c r="BC81" s="28">
        <v>1.532511635E9</v>
      </c>
      <c r="BD81" s="27" t="s">
        <v>295</v>
      </c>
      <c r="BE81" s="28">
        <v>4.892835138E9</v>
      </c>
      <c r="BF81" s="27" t="s">
        <v>295</v>
      </c>
      <c r="BG81" s="28"/>
      <c r="BH81" s="28"/>
      <c r="BI81" s="28">
        <v>1.677209543E9</v>
      </c>
      <c r="BJ81" s="27" t="s">
        <v>295</v>
      </c>
      <c r="BK81" s="28">
        <v>1.06467558448E11</v>
      </c>
      <c r="BL81" s="62">
        <v>1.3812856271E11</v>
      </c>
      <c r="BM81" s="27"/>
      <c r="BN81" s="27" t="s">
        <v>295</v>
      </c>
      <c r="BO81" s="28">
        <v>2.81437004E8</v>
      </c>
      <c r="BP81" s="27"/>
      <c r="BQ81" s="28">
        <v>4.348075409E9</v>
      </c>
      <c r="BR81" s="28">
        <v>1686636.0</v>
      </c>
      <c r="BS81" s="28">
        <v>4.631199049E9</v>
      </c>
      <c r="BT81" s="62">
        <v>1.42759761759E11</v>
      </c>
      <c r="BU81" s="27"/>
      <c r="BV81" s="28">
        <v>8.5548959E10</v>
      </c>
      <c r="BW81" s="27" t="s">
        <v>295</v>
      </c>
      <c r="BX81" s="28">
        <v>2.612395682E9</v>
      </c>
      <c r="BY81" s="28">
        <v>4.9923394542E10</v>
      </c>
      <c r="BZ81" s="28">
        <v>-6.0415989E7</v>
      </c>
      <c r="CA81" s="27"/>
      <c r="CB81" s="27"/>
      <c r="CC81" s="62">
        <v>1.38024333234E11</v>
      </c>
      <c r="CD81" s="62">
        <v>2.80784094993E11</v>
      </c>
      <c r="CF81" s="49" t="s">
        <v>323</v>
      </c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P81" s="64"/>
      <c r="DQ81" s="49" t="s">
        <v>323</v>
      </c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  <c r="FS81" s="27"/>
      <c r="FT81" s="27"/>
      <c r="FU81" s="27"/>
      <c r="FV81" s="27"/>
      <c r="FW81" s="27"/>
      <c r="FX81" s="27"/>
      <c r="FY81" s="27"/>
      <c r="FZ81" s="27"/>
      <c r="GA81" s="27"/>
      <c r="GB81" s="27"/>
      <c r="GC81" s="27"/>
      <c r="GD81" s="27"/>
      <c r="GE81" s="27"/>
      <c r="GF81" s="27"/>
      <c r="GG81" s="27"/>
      <c r="GH81" s="27"/>
      <c r="GI81" s="27"/>
      <c r="GJ81" s="27"/>
      <c r="GK81" s="27"/>
      <c r="GL81" s="28"/>
      <c r="GM81" s="28">
        <v>1.77845666714054E11</v>
      </c>
      <c r="GN81" s="27"/>
      <c r="GO81" s="27"/>
      <c r="GP81" s="27"/>
      <c r="GQ81" s="27"/>
      <c r="GR81" s="27"/>
      <c r="GS81" s="27"/>
      <c r="GT81" s="27"/>
      <c r="GU81" s="27"/>
      <c r="GV81" s="27"/>
      <c r="GW81" s="27"/>
      <c r="GX81" s="27"/>
      <c r="GY81" s="27"/>
      <c r="GZ81" s="27"/>
      <c r="HA81" s="27"/>
      <c r="HB81" s="27"/>
      <c r="HC81" s="27"/>
      <c r="HD81" s="27"/>
      <c r="HE81" s="27"/>
      <c r="HF81" s="27"/>
      <c r="HG81" s="27"/>
      <c r="HH81" s="27"/>
      <c r="HI81" s="27"/>
      <c r="HJ81" s="27"/>
      <c r="HK81" s="27"/>
      <c r="HL81" s="27"/>
      <c r="HM81" s="27"/>
      <c r="HN81" s="27"/>
      <c r="HO81" s="27"/>
      <c r="HP81" s="27"/>
      <c r="HQ81" s="27"/>
      <c r="HR81" s="27"/>
      <c r="HS81" s="27"/>
      <c r="HT81" s="27"/>
      <c r="HU81" s="27"/>
      <c r="HV81" s="27"/>
      <c r="HW81" s="27"/>
      <c r="HX81" s="27"/>
      <c r="HY81" s="27"/>
      <c r="HZ81" s="27"/>
      <c r="IA81" s="27"/>
      <c r="IB81" s="27"/>
      <c r="IC81" s="27"/>
      <c r="ID81" s="27"/>
      <c r="IE81" s="27"/>
      <c r="IF81" s="27"/>
      <c r="IG81" s="27"/>
      <c r="IH81" s="27"/>
      <c r="II81" s="27"/>
      <c r="IJ81" s="27"/>
      <c r="IK81" s="27"/>
      <c r="IL81" s="27"/>
      <c r="IM81" s="27"/>
      <c r="IN81" s="27"/>
      <c r="IO81" s="27"/>
      <c r="IP81" s="27"/>
      <c r="IQ81" s="27"/>
      <c r="IR81" s="27"/>
      <c r="IS81" s="27"/>
      <c r="IT81" s="27"/>
      <c r="IU81" s="27"/>
      <c r="IV81" s="27"/>
      <c r="IW81" s="27"/>
      <c r="IX81" s="27"/>
      <c r="IY81" s="27"/>
      <c r="IZ81" s="27"/>
      <c r="JA81" s="27"/>
      <c r="JB81" s="27"/>
      <c r="JC81" s="27"/>
      <c r="JD81" s="27"/>
      <c r="JE81" s="27"/>
      <c r="JF81" s="27"/>
      <c r="JG81" s="27"/>
      <c r="JH81" s="27"/>
      <c r="JI81" s="27"/>
      <c r="JJ81" s="27"/>
      <c r="JK81" s="27"/>
      <c r="JL81" s="27"/>
      <c r="JM81" s="27"/>
      <c r="JN81" s="27"/>
      <c r="JO81" s="27"/>
      <c r="JP81" s="27"/>
      <c r="JQ81" s="27"/>
      <c r="JR81" s="27"/>
      <c r="JS81" s="27"/>
      <c r="JT81" s="27"/>
      <c r="JU81" s="27"/>
      <c r="JV81" s="27"/>
      <c r="JW81" s="27"/>
      <c r="JX81" s="27"/>
      <c r="JY81" s="27"/>
      <c r="JZ81" s="27"/>
      <c r="KA81" s="27"/>
      <c r="KB81" s="27"/>
      <c r="KC81" s="27"/>
      <c r="KD81" s="27"/>
      <c r="KE81" s="27"/>
      <c r="KF81" s="27"/>
      <c r="KG81" s="27"/>
      <c r="KH81" s="27"/>
      <c r="KI81" s="27"/>
      <c r="KJ81" s="27"/>
      <c r="KK81" s="27"/>
      <c r="KL81" s="27"/>
      <c r="KM81" s="27"/>
      <c r="KN81" s="27"/>
      <c r="KO81" s="27"/>
      <c r="KP81" s="27"/>
      <c r="KQ81" s="27"/>
      <c r="KR81" s="27"/>
      <c r="KS81" s="27"/>
      <c r="KT81" s="27"/>
      <c r="KU81" s="27"/>
      <c r="KV81" s="27"/>
      <c r="KW81" s="27"/>
      <c r="KX81" s="27"/>
      <c r="KY81" s="27"/>
      <c r="KZ81" s="27"/>
      <c r="LA81" s="27"/>
      <c r="LB81" s="27"/>
      <c r="LC81" s="27"/>
      <c r="LD81" s="27"/>
      <c r="LE81" s="27"/>
      <c r="LF81" s="27"/>
      <c r="LG81" s="27"/>
      <c r="LH81" s="27"/>
      <c r="LI81" s="27"/>
      <c r="LJ81" s="28">
        <f t="shared" si="28"/>
        <v>0</v>
      </c>
      <c r="LK81" s="110"/>
    </row>
    <row r="82">
      <c r="A82" s="49" t="s">
        <v>324</v>
      </c>
      <c r="B82" s="173">
        <v>2.57719040082E11</v>
      </c>
      <c r="C82" s="196">
        <v>2.03902207541E11</v>
      </c>
      <c r="D82" s="147">
        <v>5.3816832541E10</v>
      </c>
      <c r="E82" s="146"/>
      <c r="F82" s="146">
        <v>2.6048269354E10</v>
      </c>
      <c r="G82" s="173">
        <v>5.871257642E9</v>
      </c>
      <c r="H82" s="146"/>
      <c r="I82" s="53">
        <v>3.1919526996E10</v>
      </c>
      <c r="J82" s="53">
        <v>2.1897305545E10</v>
      </c>
      <c r="K82" s="146"/>
      <c r="L82" s="173">
        <v>4.256275161E9</v>
      </c>
      <c r="M82" s="146">
        <v>1.3006137121E10</v>
      </c>
      <c r="N82" s="52">
        <v>-8.74986196E9</v>
      </c>
      <c r="O82" s="146"/>
      <c r="P82" s="53">
        <v>1.3147443585E10</v>
      </c>
      <c r="Q82" s="146">
        <v>3.235883452E9</v>
      </c>
      <c r="R82" s="146">
        <v>2.96276853E8</v>
      </c>
      <c r="S82" s="146">
        <v>2.939606599E9</v>
      </c>
      <c r="T82" s="53">
        <v>1.0207836986E10</v>
      </c>
      <c r="U82" s="27"/>
      <c r="V82" s="28">
        <v>5.92028467E8</v>
      </c>
      <c r="W82" s="28">
        <v>7.6003816E7</v>
      </c>
      <c r="X82" s="195">
        <v>9.691812335E9</v>
      </c>
      <c r="Y82" s="27"/>
      <c r="AB82" s="27"/>
      <c r="AC82" s="27"/>
      <c r="AD82" s="28">
        <v>6.773805638E9</v>
      </c>
      <c r="AE82" s="28">
        <v>6.1963843139E10</v>
      </c>
      <c r="AF82" s="28"/>
      <c r="AG82" s="28"/>
      <c r="AH82" s="28">
        <v>8.603757128E9</v>
      </c>
      <c r="AI82" s="28">
        <v>6.0746621522E10</v>
      </c>
      <c r="AJ82" s="27" t="s">
        <v>295</v>
      </c>
      <c r="AK82" s="28"/>
      <c r="AL82" s="28">
        <v>2.800477844E9</v>
      </c>
      <c r="AM82" s="28">
        <v>6.179246991E9</v>
      </c>
      <c r="AN82" s="62">
        <v>1.47067752262E11</v>
      </c>
      <c r="AO82" s="27"/>
      <c r="AP82" s="27" t="s">
        <v>295</v>
      </c>
      <c r="AQ82" s="28">
        <v>1.06234728383E11</v>
      </c>
      <c r="AR82" s="28">
        <v>4.275801822E9</v>
      </c>
      <c r="AS82" s="28">
        <v>2.06811997E8</v>
      </c>
      <c r="AT82" s="28">
        <v>1.172804848E9</v>
      </c>
      <c r="AU82" s="28">
        <v>1.361708691E9</v>
      </c>
      <c r="AV82" s="62">
        <v>1.13251855741E11</v>
      </c>
      <c r="AW82" s="62">
        <v>2.60319608003E11</v>
      </c>
      <c r="AX82" s="27"/>
      <c r="AY82" s="27"/>
      <c r="AZ82" s="27"/>
      <c r="BA82" s="28">
        <v>2.2581638056E10</v>
      </c>
      <c r="BB82" s="27"/>
      <c r="BC82" s="27"/>
      <c r="BD82" s="27"/>
      <c r="BE82" s="28">
        <v>2.969233204E9</v>
      </c>
      <c r="BF82" s="27"/>
      <c r="BG82" s="28">
        <v>1.03663459E8</v>
      </c>
      <c r="BH82" s="28"/>
      <c r="BI82" s="28">
        <v>2.52376242E9</v>
      </c>
      <c r="BJ82" s="27"/>
      <c r="BK82" s="28">
        <v>1.17588446227E11</v>
      </c>
      <c r="BL82" s="62">
        <v>1.45766743366E11</v>
      </c>
      <c r="BM82" s="27"/>
      <c r="BN82" s="27" t="s">
        <v>392</v>
      </c>
      <c r="BO82" s="28">
        <v>2.21855004E8</v>
      </c>
      <c r="BP82" s="27"/>
      <c r="BQ82" s="28">
        <v>5.983834871E9</v>
      </c>
      <c r="BR82" s="27"/>
      <c r="BS82" s="28">
        <v>6.205689875E9</v>
      </c>
      <c r="BT82" s="62">
        <v>1.51972433241E11</v>
      </c>
      <c r="BU82" s="27"/>
      <c r="BV82" s="28">
        <v>6.8245E10</v>
      </c>
      <c r="BW82" s="27" t="s">
        <v>295</v>
      </c>
      <c r="BX82" s="28">
        <v>3.217491839E9</v>
      </c>
      <c r="BY82" s="28">
        <v>3.8088897515E10</v>
      </c>
      <c r="BZ82" s="28">
        <v>-6.56444657E8</v>
      </c>
      <c r="CA82" s="27" t="s">
        <v>295</v>
      </c>
      <c r="CB82" s="28">
        <v>2.669721904E9</v>
      </c>
      <c r="CC82" s="62">
        <v>1.08347174762E11</v>
      </c>
      <c r="CD82" s="62">
        <v>2.60319608003E11</v>
      </c>
      <c r="CF82" s="49" t="s">
        <v>324</v>
      </c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P82" s="64"/>
      <c r="DQ82" s="49" t="s">
        <v>324</v>
      </c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  <c r="FS82" s="27"/>
      <c r="FT82" s="27"/>
      <c r="FU82" s="27"/>
      <c r="FV82" s="27"/>
      <c r="FW82" s="27"/>
      <c r="FX82" s="27"/>
      <c r="FY82" s="27"/>
      <c r="FZ82" s="27"/>
      <c r="GA82" s="27"/>
      <c r="GB82" s="27"/>
      <c r="GC82" s="27"/>
      <c r="GD82" s="27"/>
      <c r="GE82" s="27"/>
      <c r="GF82" s="27"/>
      <c r="GG82" s="27"/>
      <c r="GH82" s="27"/>
      <c r="GI82" s="27"/>
      <c r="GJ82" s="27"/>
      <c r="GK82" s="27"/>
      <c r="GL82" s="28"/>
      <c r="GM82" s="28">
        <v>2.03902207541E11</v>
      </c>
      <c r="GN82" s="27"/>
      <c r="GO82" s="27"/>
      <c r="GP82" s="27"/>
      <c r="GQ82" s="27"/>
      <c r="GR82" s="27"/>
      <c r="GS82" s="27"/>
      <c r="GT82" s="27"/>
      <c r="GU82" s="27"/>
      <c r="GV82" s="27"/>
      <c r="GW82" s="27"/>
      <c r="GX82" s="27"/>
      <c r="GY82" s="27"/>
      <c r="GZ82" s="27"/>
      <c r="HA82" s="27"/>
      <c r="HB82" s="27"/>
      <c r="HC82" s="27"/>
      <c r="HD82" s="27"/>
      <c r="HE82" s="27"/>
      <c r="HF82" s="27"/>
      <c r="HG82" s="27"/>
      <c r="HH82" s="27"/>
      <c r="HI82" s="27"/>
      <c r="HJ82" s="27"/>
      <c r="HK82" s="27"/>
      <c r="HL82" s="27"/>
      <c r="HM82" s="27"/>
      <c r="HN82" s="27"/>
      <c r="HO82" s="27"/>
      <c r="HP82" s="27"/>
      <c r="HQ82" s="27"/>
      <c r="HR82" s="27"/>
      <c r="HS82" s="27"/>
      <c r="HT82" s="27"/>
      <c r="HU82" s="27"/>
      <c r="HV82" s="27"/>
      <c r="HW82" s="27"/>
      <c r="HX82" s="27"/>
      <c r="HY82" s="27"/>
      <c r="HZ82" s="27"/>
      <c r="IA82" s="27"/>
      <c r="IB82" s="27"/>
      <c r="IC82" s="27"/>
      <c r="ID82" s="27"/>
      <c r="IE82" s="27"/>
      <c r="IF82" s="27"/>
      <c r="IG82" s="27"/>
      <c r="IH82" s="27"/>
      <c r="II82" s="27"/>
      <c r="IJ82" s="27"/>
      <c r="IK82" s="27"/>
      <c r="IL82" s="27"/>
      <c r="IM82" s="27"/>
      <c r="IN82" s="27"/>
      <c r="IO82" s="27"/>
      <c r="IP82" s="27"/>
      <c r="IQ82" s="27"/>
      <c r="IR82" s="27"/>
      <c r="IS82" s="27"/>
      <c r="IT82" s="27"/>
      <c r="IU82" s="27"/>
      <c r="IV82" s="27"/>
      <c r="IW82" s="27"/>
      <c r="IX82" s="27"/>
      <c r="IY82" s="27"/>
      <c r="IZ82" s="27"/>
      <c r="JA82" s="27"/>
      <c r="JB82" s="27"/>
      <c r="JC82" s="27"/>
      <c r="JD82" s="27"/>
      <c r="JE82" s="27"/>
      <c r="JF82" s="27"/>
      <c r="JG82" s="27"/>
      <c r="JH82" s="27"/>
      <c r="JI82" s="27"/>
      <c r="JJ82" s="27"/>
      <c r="JK82" s="27"/>
      <c r="JL82" s="27"/>
      <c r="JM82" s="27"/>
      <c r="JN82" s="27"/>
      <c r="JO82" s="27"/>
      <c r="JP82" s="27"/>
      <c r="JQ82" s="27"/>
      <c r="JR82" s="27"/>
      <c r="JS82" s="27"/>
      <c r="JT82" s="27"/>
      <c r="JU82" s="27"/>
      <c r="JV82" s="27"/>
      <c r="JW82" s="27"/>
      <c r="JX82" s="27"/>
      <c r="JY82" s="27"/>
      <c r="JZ82" s="27"/>
      <c r="KA82" s="27"/>
      <c r="KB82" s="27"/>
      <c r="KC82" s="27"/>
      <c r="KD82" s="27"/>
      <c r="KE82" s="27"/>
      <c r="KF82" s="27"/>
      <c r="KG82" s="27"/>
      <c r="KH82" s="27"/>
      <c r="KI82" s="27"/>
      <c r="KJ82" s="27"/>
      <c r="KK82" s="27"/>
      <c r="KL82" s="27"/>
      <c r="KM82" s="27"/>
      <c r="KN82" s="27"/>
      <c r="KO82" s="27"/>
      <c r="KP82" s="27"/>
      <c r="KQ82" s="27"/>
      <c r="KR82" s="27"/>
      <c r="KS82" s="27"/>
      <c r="KT82" s="27"/>
      <c r="KU82" s="27"/>
      <c r="KV82" s="27"/>
      <c r="KW82" s="27"/>
      <c r="KX82" s="27"/>
      <c r="KY82" s="27"/>
      <c r="KZ82" s="27"/>
      <c r="LA82" s="27"/>
      <c r="LB82" s="27"/>
      <c r="LC82" s="27"/>
      <c r="LD82" s="27"/>
      <c r="LE82" s="27"/>
      <c r="LF82" s="27"/>
      <c r="LG82" s="27"/>
      <c r="LH82" s="27"/>
      <c r="LI82" s="27"/>
      <c r="LJ82" s="28">
        <f t="shared" si="28"/>
        <v>0</v>
      </c>
      <c r="LK82" s="110"/>
    </row>
    <row r="83">
      <c r="A83" s="116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6"/>
      <c r="V83" s="118"/>
      <c r="W83" s="116"/>
      <c r="X83" s="116"/>
      <c r="Y83" s="116"/>
      <c r="Z83" s="116"/>
      <c r="AA83" s="116"/>
      <c r="AB83" s="116"/>
      <c r="AC83" s="116"/>
      <c r="AD83" s="116"/>
      <c r="AE83" s="119"/>
      <c r="AF83" s="116"/>
      <c r="AG83" s="116"/>
      <c r="AH83" s="116"/>
      <c r="AI83" s="116"/>
      <c r="AJ83" s="116"/>
      <c r="AK83" s="116"/>
      <c r="AL83" s="116"/>
      <c r="AM83" s="120"/>
      <c r="AN83" s="121"/>
      <c r="AO83" s="116"/>
      <c r="AP83" s="116"/>
      <c r="AQ83" s="116"/>
      <c r="AR83" s="116"/>
      <c r="AS83" s="116"/>
      <c r="AT83" s="116"/>
      <c r="AU83" s="116"/>
      <c r="AV83" s="116"/>
      <c r="AW83" s="116"/>
      <c r="AX83" s="116"/>
      <c r="AY83" s="116"/>
      <c r="AZ83" s="116"/>
      <c r="BA83" s="116"/>
      <c r="BB83" s="116"/>
      <c r="BC83" s="116"/>
      <c r="BD83" s="116"/>
      <c r="BE83" s="116"/>
      <c r="BF83" s="116"/>
      <c r="BG83" s="116"/>
      <c r="BH83" s="116"/>
      <c r="BI83" s="116"/>
      <c r="BJ83" s="116"/>
      <c r="BK83" s="116"/>
      <c r="BL83" s="116"/>
      <c r="BM83" s="116"/>
      <c r="BN83" s="116"/>
      <c r="BO83" s="116"/>
      <c r="BP83" s="116"/>
      <c r="BQ83" s="116"/>
      <c r="BR83" s="116"/>
      <c r="BS83" s="116"/>
      <c r="BT83" s="121"/>
      <c r="BU83" s="116"/>
      <c r="BV83" s="116"/>
      <c r="BW83" s="116"/>
      <c r="BX83" s="116"/>
      <c r="BY83" s="116"/>
      <c r="BZ83" s="116"/>
      <c r="CA83" s="116"/>
      <c r="CB83" s="116"/>
      <c r="CC83" s="122"/>
      <c r="CD83" s="122"/>
      <c r="CE83" s="116"/>
      <c r="CF83" s="116"/>
      <c r="CG83" s="116"/>
      <c r="CH83" s="116"/>
      <c r="CI83" s="116"/>
      <c r="CJ83" s="116"/>
      <c r="CK83" s="116"/>
      <c r="CL83" s="116"/>
      <c r="CM83" s="116"/>
      <c r="CN83" s="116"/>
      <c r="CO83" s="116"/>
      <c r="CP83" s="116"/>
      <c r="CQ83" s="116"/>
      <c r="CR83" s="116"/>
      <c r="CS83" s="116"/>
      <c r="CT83" s="116"/>
      <c r="CU83" s="116"/>
      <c r="CV83" s="116"/>
      <c r="CW83" s="116"/>
      <c r="CX83" s="116"/>
      <c r="CY83" s="116"/>
      <c r="CZ83" s="116"/>
      <c r="DA83" s="116"/>
      <c r="DB83" s="116"/>
      <c r="DC83" s="116"/>
      <c r="DD83" s="116"/>
      <c r="DE83" s="116"/>
      <c r="DF83" s="116"/>
      <c r="DG83" s="116"/>
      <c r="DH83" s="116"/>
      <c r="DI83" s="116"/>
      <c r="DJ83" s="116"/>
      <c r="DK83" s="116"/>
      <c r="DL83" s="116"/>
      <c r="DM83" s="116"/>
      <c r="DN83" s="116"/>
      <c r="DO83" s="116"/>
      <c r="DP83" s="116"/>
      <c r="DQ83" s="116"/>
      <c r="DR83" s="116"/>
      <c r="DS83" s="116"/>
      <c r="DT83" s="116"/>
      <c r="DU83" s="116"/>
      <c r="DV83" s="116"/>
      <c r="DW83" s="116"/>
      <c r="DX83" s="116"/>
      <c r="DY83" s="116"/>
      <c r="DZ83" s="116"/>
      <c r="EA83" s="116"/>
      <c r="EB83" s="116"/>
      <c r="EC83" s="116"/>
      <c r="ED83" s="116"/>
      <c r="EE83" s="116"/>
      <c r="EF83" s="116"/>
      <c r="EG83" s="116"/>
      <c r="EH83" s="116"/>
      <c r="EI83" s="116"/>
      <c r="EJ83" s="116"/>
      <c r="EK83" s="116"/>
      <c r="EL83" s="116"/>
      <c r="EM83" s="116"/>
      <c r="EN83" s="116"/>
      <c r="EO83" s="116"/>
      <c r="EP83" s="116"/>
      <c r="EQ83" s="116"/>
      <c r="ER83" s="116"/>
      <c r="ES83" s="116"/>
      <c r="ET83" s="116"/>
      <c r="EU83" s="116"/>
      <c r="EV83" s="116"/>
      <c r="EW83" s="116"/>
      <c r="EX83" s="116"/>
      <c r="EY83" s="116"/>
      <c r="EZ83" s="116"/>
      <c r="FA83" s="116"/>
      <c r="FB83" s="116"/>
      <c r="FC83" s="116"/>
      <c r="FD83" s="116"/>
      <c r="FE83" s="116"/>
      <c r="FF83" s="116"/>
      <c r="FG83" s="116"/>
      <c r="FH83" s="116"/>
      <c r="FI83" s="116"/>
      <c r="FJ83" s="116"/>
      <c r="FK83" s="116"/>
      <c r="FL83" s="116"/>
      <c r="FM83" s="116"/>
      <c r="FN83" s="116"/>
      <c r="FO83" s="116"/>
      <c r="FP83" s="116"/>
      <c r="FQ83" s="116"/>
      <c r="FR83" s="116"/>
      <c r="FS83" s="116"/>
      <c r="FT83" s="116"/>
      <c r="FU83" s="116"/>
      <c r="FV83" s="116"/>
      <c r="FW83" s="116"/>
      <c r="FX83" s="116"/>
      <c r="FY83" s="116"/>
      <c r="FZ83" s="116"/>
      <c r="GA83" s="116"/>
      <c r="GB83" s="116"/>
      <c r="GC83" s="116"/>
      <c r="GD83" s="116"/>
      <c r="GE83" s="116"/>
      <c r="GF83" s="116"/>
      <c r="GG83" s="116"/>
      <c r="GH83" s="116"/>
      <c r="GI83" s="116"/>
      <c r="GJ83" s="116"/>
      <c r="GK83" s="116"/>
      <c r="GL83" s="116"/>
      <c r="GM83" s="118"/>
      <c r="GN83" s="116"/>
      <c r="GO83" s="116"/>
      <c r="GP83" s="116"/>
      <c r="GQ83" s="116"/>
      <c r="GR83" s="116"/>
      <c r="GS83" s="116"/>
      <c r="GT83" s="116"/>
      <c r="GU83" s="116"/>
      <c r="GV83" s="116"/>
      <c r="GW83" s="116"/>
      <c r="GX83" s="116"/>
      <c r="GY83" s="116"/>
      <c r="GZ83" s="116"/>
      <c r="HA83" s="116"/>
      <c r="HB83" s="116"/>
      <c r="HC83" s="116"/>
      <c r="HD83" s="116"/>
      <c r="HE83" s="116"/>
      <c r="HF83" s="116"/>
      <c r="HG83" s="116"/>
      <c r="HH83" s="116"/>
      <c r="HI83" s="116"/>
      <c r="HJ83" s="116"/>
      <c r="HK83" s="116"/>
      <c r="HL83" s="116"/>
      <c r="HM83" s="116"/>
      <c r="HN83" s="116"/>
      <c r="HO83" s="116"/>
      <c r="HP83" s="116"/>
      <c r="HQ83" s="116"/>
      <c r="HR83" s="116"/>
      <c r="HS83" s="116"/>
      <c r="HT83" s="116"/>
      <c r="HU83" s="116"/>
      <c r="HV83" s="116"/>
      <c r="HW83" s="116"/>
      <c r="HX83" s="116"/>
      <c r="HY83" s="116"/>
      <c r="HZ83" s="116"/>
      <c r="IA83" s="116"/>
      <c r="IB83" s="116"/>
      <c r="IC83" s="116"/>
      <c r="ID83" s="116"/>
      <c r="IE83" s="116"/>
      <c r="IF83" s="116"/>
      <c r="IG83" s="116"/>
      <c r="IH83" s="116"/>
      <c r="II83" s="116"/>
      <c r="IJ83" s="116"/>
      <c r="IK83" s="116"/>
      <c r="IL83" s="116"/>
      <c r="IM83" s="116"/>
      <c r="IN83" s="116"/>
      <c r="IO83" s="116"/>
      <c r="IP83" s="116"/>
      <c r="IQ83" s="116"/>
      <c r="IR83" s="116"/>
      <c r="IS83" s="116"/>
      <c r="IT83" s="116"/>
      <c r="IU83" s="116"/>
      <c r="IV83" s="116"/>
      <c r="IW83" s="116"/>
      <c r="IX83" s="116"/>
      <c r="IY83" s="116"/>
      <c r="IZ83" s="116"/>
      <c r="JA83" s="116"/>
      <c r="JB83" s="116"/>
      <c r="JC83" s="116"/>
      <c r="JD83" s="116"/>
      <c r="JE83" s="116"/>
      <c r="JF83" s="116"/>
      <c r="JG83" s="116"/>
      <c r="JH83" s="116"/>
      <c r="JI83" s="116"/>
      <c r="JJ83" s="116"/>
      <c r="JK83" s="116"/>
      <c r="JL83" s="116"/>
      <c r="JM83" s="116"/>
      <c r="JN83" s="116"/>
      <c r="JO83" s="116"/>
      <c r="JP83" s="116"/>
      <c r="JQ83" s="116"/>
      <c r="JR83" s="116"/>
      <c r="JS83" s="116"/>
      <c r="JT83" s="123"/>
      <c r="JU83" s="116"/>
      <c r="JV83" s="116"/>
      <c r="JW83" s="116"/>
      <c r="JX83" s="116"/>
      <c r="JY83" s="116"/>
      <c r="JZ83" s="116"/>
      <c r="KA83" s="116"/>
      <c r="KB83" s="116"/>
      <c r="KC83" s="116"/>
      <c r="KD83" s="116"/>
      <c r="KE83" s="116"/>
      <c r="KF83" s="116"/>
      <c r="KG83" s="116"/>
      <c r="KH83" s="116"/>
      <c r="KI83" s="116"/>
      <c r="KJ83" s="116"/>
      <c r="KK83" s="116"/>
      <c r="KL83" s="116"/>
      <c r="KM83" s="116"/>
      <c r="KN83" s="116"/>
      <c r="KO83" s="116"/>
      <c r="KP83" s="116"/>
      <c r="KQ83" s="116"/>
      <c r="KR83" s="116"/>
      <c r="KS83" s="116"/>
      <c r="KT83" s="116"/>
      <c r="KU83" s="116"/>
      <c r="KV83" s="116"/>
      <c r="KW83" s="116"/>
      <c r="KX83" s="116"/>
      <c r="KY83" s="116"/>
      <c r="KZ83" s="116"/>
      <c r="LA83" s="116"/>
      <c r="LB83" s="116"/>
      <c r="LC83" s="116"/>
      <c r="LD83" s="116"/>
      <c r="LE83" s="116"/>
      <c r="LF83" s="116"/>
      <c r="LG83" s="116"/>
      <c r="LH83" s="116"/>
      <c r="LI83" s="116"/>
      <c r="LJ83" s="116"/>
      <c r="LK83" s="116"/>
    </row>
    <row r="84">
      <c r="A84" s="116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6"/>
      <c r="V84" s="118"/>
      <c r="W84" s="116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6"/>
      <c r="AK84" s="116"/>
      <c r="AL84" s="116"/>
      <c r="AM84" s="120"/>
      <c r="AN84" s="121"/>
      <c r="AO84" s="116"/>
      <c r="AP84" s="116"/>
      <c r="AQ84" s="116"/>
      <c r="AR84" s="116"/>
      <c r="AS84" s="116"/>
      <c r="AT84" s="116"/>
      <c r="AU84" s="116"/>
      <c r="AV84" s="116"/>
      <c r="AW84" s="116"/>
      <c r="AX84" s="116"/>
      <c r="AY84" s="116"/>
      <c r="AZ84" s="116"/>
      <c r="BA84" s="116"/>
      <c r="BB84" s="116"/>
      <c r="BC84" s="116"/>
      <c r="BD84" s="116"/>
      <c r="BE84" s="116"/>
      <c r="BF84" s="116"/>
      <c r="BG84" s="116"/>
      <c r="BH84" s="116"/>
      <c r="BI84" s="116"/>
      <c r="BJ84" s="116"/>
      <c r="BK84" s="116"/>
      <c r="BL84" s="116"/>
      <c r="BM84" s="116"/>
      <c r="BN84" s="116"/>
      <c r="BO84" s="116"/>
      <c r="BP84" s="116"/>
      <c r="BQ84" s="116"/>
      <c r="BR84" s="116"/>
      <c r="BS84" s="116"/>
      <c r="BT84" s="121"/>
      <c r="BU84" s="116"/>
      <c r="BV84" s="116"/>
      <c r="BW84" s="116"/>
      <c r="BX84" s="116"/>
      <c r="BY84" s="116"/>
      <c r="BZ84" s="116"/>
      <c r="CA84" s="116"/>
      <c r="CB84" s="116"/>
      <c r="CC84" s="122"/>
      <c r="CD84" s="122"/>
      <c r="CE84" s="116"/>
      <c r="CF84" s="116"/>
      <c r="CG84" s="116"/>
      <c r="CH84" s="116"/>
      <c r="CI84" s="116"/>
      <c r="CJ84" s="116"/>
      <c r="CK84" s="116"/>
      <c r="CL84" s="116"/>
      <c r="CM84" s="116"/>
      <c r="CN84" s="116"/>
      <c r="CO84" s="116"/>
      <c r="CP84" s="116"/>
      <c r="CQ84" s="116"/>
      <c r="CR84" s="116"/>
      <c r="CS84" s="116"/>
      <c r="CT84" s="116"/>
      <c r="CU84" s="116"/>
      <c r="CV84" s="116"/>
      <c r="CW84" s="116"/>
      <c r="CX84" s="116"/>
      <c r="CY84" s="116"/>
      <c r="CZ84" s="116"/>
      <c r="DA84" s="116"/>
      <c r="DB84" s="116"/>
      <c r="DC84" s="116"/>
      <c r="DD84" s="116"/>
      <c r="DE84" s="116"/>
      <c r="DF84" s="116"/>
      <c r="DG84" s="116"/>
      <c r="DH84" s="116"/>
      <c r="DI84" s="116"/>
      <c r="DJ84" s="116"/>
      <c r="DK84" s="116"/>
      <c r="DL84" s="116"/>
      <c r="DM84" s="116"/>
      <c r="DN84" s="116"/>
      <c r="DO84" s="116"/>
      <c r="DP84" s="116"/>
      <c r="DQ84" s="116"/>
      <c r="DR84" s="116"/>
      <c r="DS84" s="116"/>
      <c r="DT84" s="116"/>
      <c r="DU84" s="116"/>
      <c r="DV84" s="116"/>
      <c r="DW84" s="116"/>
      <c r="DX84" s="116"/>
      <c r="DY84" s="116"/>
      <c r="DZ84" s="116"/>
      <c r="EA84" s="116"/>
      <c r="EB84" s="116"/>
      <c r="EC84" s="116"/>
      <c r="ED84" s="116"/>
      <c r="EE84" s="116"/>
      <c r="EF84" s="116"/>
      <c r="EG84" s="116"/>
      <c r="EH84" s="116"/>
      <c r="EI84" s="116"/>
      <c r="EJ84" s="116"/>
      <c r="EK84" s="116"/>
      <c r="EL84" s="116"/>
      <c r="EM84" s="116"/>
      <c r="EN84" s="116"/>
      <c r="EO84" s="116"/>
      <c r="EP84" s="116"/>
      <c r="EQ84" s="116"/>
      <c r="ER84" s="116"/>
      <c r="ES84" s="116"/>
      <c r="ET84" s="116"/>
      <c r="EU84" s="116"/>
      <c r="EV84" s="116"/>
      <c r="EW84" s="116"/>
      <c r="EX84" s="116"/>
      <c r="EY84" s="116"/>
      <c r="EZ84" s="116"/>
      <c r="FA84" s="116"/>
      <c r="FB84" s="116"/>
      <c r="FC84" s="116"/>
      <c r="FD84" s="116"/>
      <c r="FE84" s="116"/>
      <c r="FF84" s="116"/>
      <c r="FG84" s="116"/>
      <c r="FH84" s="116"/>
      <c r="FI84" s="116"/>
      <c r="FJ84" s="116"/>
      <c r="FK84" s="116"/>
      <c r="FL84" s="116"/>
      <c r="FM84" s="116"/>
      <c r="FN84" s="116"/>
      <c r="FO84" s="116"/>
      <c r="FP84" s="116"/>
      <c r="FQ84" s="116"/>
      <c r="FR84" s="116"/>
      <c r="FS84" s="116"/>
      <c r="FT84" s="116"/>
      <c r="FU84" s="116"/>
      <c r="FV84" s="116"/>
      <c r="FW84" s="116"/>
      <c r="FX84" s="116"/>
      <c r="FY84" s="116"/>
      <c r="FZ84" s="116"/>
      <c r="GA84" s="116"/>
      <c r="GB84" s="116"/>
      <c r="GC84" s="116"/>
      <c r="GD84" s="116"/>
      <c r="GE84" s="116"/>
      <c r="GF84" s="116"/>
      <c r="GG84" s="116"/>
      <c r="GH84" s="116"/>
      <c r="GI84" s="116"/>
      <c r="GJ84" s="116"/>
      <c r="GK84" s="116"/>
      <c r="GL84" s="116"/>
      <c r="GM84" s="118"/>
      <c r="GN84" s="116"/>
      <c r="GO84" s="116"/>
      <c r="GP84" s="116"/>
      <c r="GQ84" s="116"/>
      <c r="GR84" s="116"/>
      <c r="GS84" s="116"/>
      <c r="GT84" s="116"/>
      <c r="GU84" s="116"/>
      <c r="GV84" s="116"/>
      <c r="GW84" s="116"/>
      <c r="GX84" s="116"/>
      <c r="GY84" s="116"/>
      <c r="GZ84" s="116"/>
      <c r="HA84" s="116"/>
      <c r="HB84" s="116"/>
      <c r="HC84" s="116"/>
      <c r="HD84" s="116"/>
      <c r="HE84" s="116"/>
      <c r="HF84" s="116"/>
      <c r="HG84" s="116"/>
      <c r="HH84" s="116"/>
      <c r="HI84" s="116"/>
      <c r="HJ84" s="116"/>
      <c r="HK84" s="116"/>
      <c r="HL84" s="116"/>
      <c r="HM84" s="116"/>
      <c r="HN84" s="116"/>
      <c r="HO84" s="116"/>
      <c r="HP84" s="116"/>
      <c r="HQ84" s="116"/>
      <c r="HR84" s="116"/>
      <c r="HS84" s="116"/>
      <c r="HT84" s="116"/>
      <c r="HU84" s="116"/>
      <c r="HV84" s="116"/>
      <c r="HW84" s="116"/>
      <c r="HX84" s="116"/>
      <c r="HY84" s="116"/>
      <c r="HZ84" s="116"/>
      <c r="IA84" s="116"/>
      <c r="IB84" s="116"/>
      <c r="IC84" s="116"/>
      <c r="ID84" s="116"/>
      <c r="IE84" s="116"/>
      <c r="IF84" s="116"/>
      <c r="IG84" s="116"/>
      <c r="IH84" s="116"/>
      <c r="II84" s="116"/>
      <c r="IJ84" s="116"/>
      <c r="IK84" s="116"/>
      <c r="IL84" s="116"/>
      <c r="IM84" s="116"/>
      <c r="IN84" s="116"/>
      <c r="IO84" s="116"/>
      <c r="IP84" s="116"/>
      <c r="IQ84" s="116"/>
      <c r="IR84" s="116"/>
      <c r="IS84" s="116"/>
      <c r="IT84" s="116"/>
      <c r="IU84" s="116"/>
      <c r="IV84" s="116"/>
      <c r="IW84" s="116"/>
      <c r="IX84" s="116"/>
      <c r="IY84" s="116"/>
      <c r="IZ84" s="116"/>
      <c r="JA84" s="116"/>
      <c r="JB84" s="116"/>
      <c r="JC84" s="116"/>
      <c r="JD84" s="116"/>
      <c r="JE84" s="116"/>
      <c r="JF84" s="116"/>
      <c r="JG84" s="116"/>
      <c r="JH84" s="116"/>
      <c r="JI84" s="116"/>
      <c r="JJ84" s="116"/>
      <c r="JK84" s="116"/>
      <c r="JL84" s="116"/>
      <c r="JM84" s="116"/>
      <c r="JN84" s="116"/>
      <c r="JO84" s="116"/>
      <c r="JP84" s="116"/>
      <c r="JQ84" s="116"/>
      <c r="JR84" s="116"/>
      <c r="JS84" s="116"/>
      <c r="JT84" s="123"/>
      <c r="JU84" s="116"/>
      <c r="JV84" s="116"/>
      <c r="JW84" s="116"/>
      <c r="JX84" s="116"/>
      <c r="JY84" s="116"/>
      <c r="JZ84" s="116"/>
      <c r="KA84" s="116"/>
      <c r="KB84" s="116"/>
      <c r="KC84" s="116"/>
      <c r="KD84" s="116"/>
      <c r="KE84" s="116"/>
      <c r="KF84" s="116"/>
      <c r="KG84" s="116"/>
      <c r="KH84" s="116"/>
      <c r="KI84" s="116"/>
      <c r="KJ84" s="116"/>
      <c r="KK84" s="116"/>
      <c r="KL84" s="116"/>
      <c r="KM84" s="116"/>
      <c r="KN84" s="116"/>
      <c r="KO84" s="116"/>
      <c r="KP84" s="116"/>
      <c r="KQ84" s="116"/>
      <c r="KR84" s="116"/>
      <c r="KS84" s="116"/>
      <c r="KT84" s="116"/>
      <c r="KU84" s="116"/>
      <c r="KV84" s="116"/>
      <c r="KW84" s="116"/>
      <c r="KX84" s="116"/>
      <c r="KY84" s="116"/>
      <c r="KZ84" s="116"/>
      <c r="LA84" s="116"/>
      <c r="LB84" s="116"/>
      <c r="LC84" s="116"/>
      <c r="LD84" s="116"/>
      <c r="LE84" s="116"/>
      <c r="LF84" s="116"/>
      <c r="LG84" s="116"/>
      <c r="LH84" s="116"/>
      <c r="LI84" s="116"/>
      <c r="LJ84" s="116"/>
      <c r="LK84" s="116"/>
    </row>
    <row r="85">
      <c r="A85" s="15" t="s">
        <v>393</v>
      </c>
      <c r="B85" s="197"/>
      <c r="C85" s="198"/>
      <c r="D85" s="199"/>
      <c r="E85" s="177"/>
      <c r="F85" s="177"/>
      <c r="G85" s="197"/>
      <c r="H85" s="177"/>
      <c r="I85" s="200"/>
      <c r="J85" s="200"/>
      <c r="K85" s="177"/>
      <c r="L85" s="197"/>
      <c r="M85" s="177"/>
      <c r="N85" s="201"/>
      <c r="O85" s="177"/>
      <c r="P85" s="200"/>
      <c r="Q85" s="177"/>
      <c r="R85" s="177"/>
      <c r="S85" s="177"/>
      <c r="T85" s="200"/>
      <c r="V85" s="110"/>
      <c r="W85" s="110"/>
      <c r="X85" s="145"/>
      <c r="AB85" s="32" t="s">
        <v>394</v>
      </c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F85" s="32" t="s">
        <v>395</v>
      </c>
      <c r="DP85" s="64"/>
      <c r="DQ85" s="32" t="s">
        <v>396</v>
      </c>
      <c r="DR85" s="32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  <c r="FE85" s="30"/>
      <c r="FF85" s="30"/>
      <c r="FG85" s="30"/>
      <c r="FH85" s="30"/>
      <c r="FI85" s="30"/>
      <c r="FJ85" s="30"/>
      <c r="FK85" s="30"/>
      <c r="FL85" s="30"/>
      <c r="FM85" s="30"/>
      <c r="FN85" s="30"/>
      <c r="FO85" s="30"/>
      <c r="FP85" s="30"/>
      <c r="FQ85" s="30"/>
      <c r="FR85" s="30"/>
      <c r="FS85" s="30"/>
      <c r="FT85" s="30"/>
      <c r="FU85" s="30"/>
      <c r="FV85" s="30"/>
      <c r="FW85" s="30"/>
      <c r="FX85" s="30"/>
      <c r="FY85" s="30"/>
      <c r="FZ85" s="30"/>
      <c r="GA85" s="30"/>
      <c r="GB85" s="30"/>
      <c r="GC85" s="30"/>
      <c r="GD85" s="30"/>
      <c r="GE85" s="30"/>
      <c r="GF85" s="30"/>
      <c r="GG85" s="30"/>
      <c r="GH85" s="30"/>
      <c r="GI85" s="30"/>
      <c r="GJ85" s="30"/>
      <c r="GK85" s="30"/>
      <c r="GL85" s="30"/>
      <c r="GM85" s="30"/>
      <c r="GN85" s="30"/>
      <c r="GO85" s="30"/>
      <c r="GP85" s="30"/>
      <c r="GQ85" s="30"/>
      <c r="GR85" s="30"/>
      <c r="GS85" s="30"/>
      <c r="GT85" s="30"/>
      <c r="GU85" s="30"/>
      <c r="GV85" s="30"/>
      <c r="GW85" s="30"/>
      <c r="GX85" s="30"/>
      <c r="GY85" s="30"/>
      <c r="GZ85" s="30"/>
      <c r="HA85" s="30"/>
      <c r="HB85" s="30"/>
      <c r="HC85" s="30"/>
      <c r="HD85" s="30"/>
      <c r="HE85" s="30"/>
      <c r="HF85" s="30"/>
      <c r="HG85" s="30"/>
      <c r="HH85" s="30"/>
      <c r="HI85" s="30"/>
      <c r="HJ85" s="30"/>
      <c r="HK85" s="30"/>
      <c r="HL85" s="30"/>
      <c r="HM85" s="30"/>
      <c r="HN85" s="30"/>
      <c r="HO85" s="30"/>
      <c r="HP85" s="30"/>
      <c r="HQ85" s="30"/>
      <c r="HR85" s="30"/>
      <c r="HS85" s="30"/>
      <c r="HT85" s="30"/>
      <c r="HU85" s="30"/>
      <c r="HV85" s="30"/>
      <c r="HW85" s="30"/>
      <c r="HX85" s="30"/>
      <c r="HY85" s="30"/>
      <c r="HZ85" s="30"/>
      <c r="IA85" s="30"/>
      <c r="IB85" s="30"/>
      <c r="IC85" s="30"/>
      <c r="ID85" s="30"/>
      <c r="IE85" s="30"/>
      <c r="IF85" s="30"/>
      <c r="IG85" s="30"/>
      <c r="IH85" s="30"/>
      <c r="II85" s="30"/>
      <c r="IJ85" s="30"/>
      <c r="IK85" s="30"/>
      <c r="IL85" s="30"/>
      <c r="IM85" s="30"/>
      <c r="IN85" s="30"/>
      <c r="IO85" s="30"/>
      <c r="IP85" s="30"/>
      <c r="IQ85" s="30"/>
      <c r="IR85" s="30"/>
      <c r="IS85" s="30"/>
      <c r="IT85" s="30"/>
      <c r="IU85" s="30"/>
      <c r="IV85" s="30"/>
      <c r="IW85" s="30"/>
      <c r="IX85" s="30"/>
      <c r="IY85" s="30"/>
      <c r="IZ85" s="30"/>
      <c r="JA85" s="30"/>
      <c r="JB85" s="30"/>
      <c r="JC85" s="30"/>
      <c r="JD85" s="30"/>
      <c r="JE85" s="30"/>
      <c r="JF85" s="30"/>
      <c r="JG85" s="30"/>
      <c r="JH85" s="30"/>
      <c r="JI85" s="30"/>
      <c r="JJ85" s="30"/>
      <c r="JK85" s="30"/>
      <c r="JL85" s="30"/>
      <c r="JM85" s="30"/>
      <c r="JN85" s="30"/>
      <c r="JO85" s="30"/>
      <c r="JP85" s="30"/>
      <c r="JQ85" s="30"/>
      <c r="JR85" s="30"/>
      <c r="JS85" s="30"/>
      <c r="JT85" s="30"/>
      <c r="JU85" s="30"/>
      <c r="JV85" s="30"/>
      <c r="JW85" s="30"/>
      <c r="JX85" s="30"/>
      <c r="JY85" s="30"/>
      <c r="JZ85" s="30"/>
      <c r="KA85" s="30"/>
      <c r="KB85" s="30"/>
      <c r="KC85" s="30"/>
      <c r="KD85" s="30"/>
      <c r="KE85" s="30"/>
      <c r="KF85" s="30"/>
      <c r="KG85" s="30"/>
      <c r="KH85" s="30"/>
      <c r="KI85" s="30"/>
      <c r="KJ85" s="30"/>
      <c r="KK85" s="30"/>
      <c r="KL85" s="30"/>
      <c r="KM85" s="30"/>
      <c r="KN85" s="30"/>
      <c r="KO85" s="30"/>
      <c r="KP85" s="30"/>
      <c r="KQ85" s="30"/>
      <c r="KR85" s="30"/>
      <c r="KS85" s="30"/>
      <c r="KT85" s="30"/>
      <c r="KU85" s="30"/>
      <c r="KV85" s="30"/>
      <c r="KW85" s="30"/>
      <c r="KX85" s="30"/>
      <c r="KY85" s="30"/>
      <c r="KZ85" s="30"/>
      <c r="LA85" s="30"/>
      <c r="LB85" s="30"/>
      <c r="LC85" s="30"/>
      <c r="LD85" s="30"/>
      <c r="LE85" s="30"/>
      <c r="LF85" s="30"/>
      <c r="LG85" s="30"/>
      <c r="LH85" s="30"/>
      <c r="LI85" s="30"/>
      <c r="LJ85" s="30"/>
      <c r="LK85" s="110"/>
    </row>
    <row r="86">
      <c r="A86" s="192"/>
      <c r="B86" s="134" t="s">
        <v>19</v>
      </c>
      <c r="C86" s="134" t="s">
        <v>20</v>
      </c>
      <c r="D86" s="134" t="s">
        <v>21</v>
      </c>
      <c r="E86" s="134" t="s">
        <v>22</v>
      </c>
      <c r="F86" s="134" t="s">
        <v>23</v>
      </c>
      <c r="G86" s="134" t="s">
        <v>24</v>
      </c>
      <c r="H86" s="134" t="s">
        <v>25</v>
      </c>
      <c r="I86" s="134" t="s">
        <v>26</v>
      </c>
      <c r="J86" s="134" t="s">
        <v>27</v>
      </c>
      <c r="K86" s="134" t="s">
        <v>28</v>
      </c>
      <c r="L86" s="134" t="s">
        <v>29</v>
      </c>
      <c r="M86" s="134" t="s">
        <v>30</v>
      </c>
      <c r="N86" s="134" t="s">
        <v>31</v>
      </c>
      <c r="O86" s="134"/>
      <c r="P86" s="134" t="s">
        <v>32</v>
      </c>
      <c r="Q86" s="134" t="s">
        <v>351</v>
      </c>
      <c r="R86" s="134" t="s">
        <v>34</v>
      </c>
      <c r="S86" s="134" t="s">
        <v>35</v>
      </c>
      <c r="T86" s="134" t="s">
        <v>36</v>
      </c>
      <c r="U86" s="135" t="s">
        <v>37</v>
      </c>
      <c r="V86" s="134" t="s">
        <v>38</v>
      </c>
      <c r="W86" s="135" t="s">
        <v>39</v>
      </c>
      <c r="X86" s="135" t="s">
        <v>40</v>
      </c>
      <c r="Y86" s="136"/>
      <c r="AB86" s="38" t="s">
        <v>41</v>
      </c>
      <c r="AC86" s="38" t="s">
        <v>42</v>
      </c>
      <c r="AD86" s="38" t="s">
        <v>43</v>
      </c>
      <c r="AE86" s="38" t="s">
        <v>44</v>
      </c>
      <c r="AF86" s="38" t="s">
        <v>45</v>
      </c>
      <c r="AG86" s="38" t="s">
        <v>46</v>
      </c>
      <c r="AH86" s="38" t="s">
        <v>47</v>
      </c>
      <c r="AI86" s="38" t="s">
        <v>48</v>
      </c>
      <c r="AJ86" s="38" t="s">
        <v>49</v>
      </c>
      <c r="AK86" s="38" t="s">
        <v>50</v>
      </c>
      <c r="AL86" s="38" t="s">
        <v>51</v>
      </c>
      <c r="AM86" s="38" t="s">
        <v>52</v>
      </c>
      <c r="AN86" s="38" t="s">
        <v>53</v>
      </c>
      <c r="AO86" s="38" t="s">
        <v>54</v>
      </c>
      <c r="AP86" s="38" t="s">
        <v>55</v>
      </c>
      <c r="AQ86" s="38" t="s">
        <v>56</v>
      </c>
      <c r="AR86" s="38" t="s">
        <v>57</v>
      </c>
      <c r="AS86" s="38" t="s">
        <v>352</v>
      </c>
      <c r="AT86" s="38" t="s">
        <v>353</v>
      </c>
      <c r="AU86" s="38" t="s">
        <v>58</v>
      </c>
      <c r="AV86" s="38" t="s">
        <v>59</v>
      </c>
      <c r="AW86" s="38" t="s">
        <v>60</v>
      </c>
      <c r="AX86" s="38"/>
      <c r="AY86" s="38" t="s">
        <v>61</v>
      </c>
      <c r="AZ86" s="38" t="s">
        <v>62</v>
      </c>
      <c r="BA86" s="38" t="s">
        <v>63</v>
      </c>
      <c r="BB86" s="38"/>
      <c r="BC86" s="38" t="s">
        <v>64</v>
      </c>
      <c r="BD86" s="40" t="s">
        <v>65</v>
      </c>
      <c r="BE86" s="38" t="s">
        <v>66</v>
      </c>
      <c r="BF86" s="38" t="s">
        <v>67</v>
      </c>
      <c r="BG86" s="38" t="s">
        <v>354</v>
      </c>
      <c r="BH86" s="38" t="s">
        <v>355</v>
      </c>
      <c r="BI86" s="38" t="s">
        <v>68</v>
      </c>
      <c r="BJ86" s="38" t="s">
        <v>69</v>
      </c>
      <c r="BK86" s="38" t="s">
        <v>70</v>
      </c>
      <c r="BL86" s="38" t="s">
        <v>71</v>
      </c>
      <c r="BM86" s="38" t="s">
        <v>72</v>
      </c>
      <c r="BN86" s="38" t="s">
        <v>73</v>
      </c>
      <c r="BO86" s="38" t="s">
        <v>74</v>
      </c>
      <c r="BP86" s="38" t="s">
        <v>75</v>
      </c>
      <c r="BQ86" s="38" t="s">
        <v>76</v>
      </c>
      <c r="BR86" s="38" t="s">
        <v>77</v>
      </c>
      <c r="BS86" s="38" t="s">
        <v>78</v>
      </c>
      <c r="BT86" s="38" t="s">
        <v>79</v>
      </c>
      <c r="BU86" s="38" t="s">
        <v>80</v>
      </c>
      <c r="BV86" s="38" t="s">
        <v>81</v>
      </c>
      <c r="BW86" s="38" t="s">
        <v>82</v>
      </c>
      <c r="BX86" s="38" t="s">
        <v>83</v>
      </c>
      <c r="BY86" s="38" t="s">
        <v>84</v>
      </c>
      <c r="BZ86" s="38" t="s">
        <v>85</v>
      </c>
      <c r="CA86" s="38" t="s">
        <v>86</v>
      </c>
      <c r="CB86" s="38" t="s">
        <v>87</v>
      </c>
      <c r="CC86" s="38" t="s">
        <v>88</v>
      </c>
      <c r="CD86" s="38" t="s">
        <v>89</v>
      </c>
      <c r="CF86" s="41"/>
      <c r="CG86" s="41" t="s">
        <v>90</v>
      </c>
      <c r="CH86" s="41" t="s">
        <v>91</v>
      </c>
      <c r="CI86" s="41" t="s">
        <v>92</v>
      </c>
      <c r="CJ86" s="41" t="s">
        <v>93</v>
      </c>
      <c r="CK86" s="41" t="s">
        <v>94</v>
      </c>
      <c r="CL86" s="41"/>
      <c r="CM86" s="41" t="s">
        <v>95</v>
      </c>
      <c r="CN86" s="41" t="s">
        <v>96</v>
      </c>
      <c r="CO86" s="41" t="s">
        <v>45</v>
      </c>
      <c r="CP86" s="41" t="s">
        <v>97</v>
      </c>
      <c r="CQ86" s="41" t="s">
        <v>98</v>
      </c>
      <c r="CR86" s="41" t="s">
        <v>99</v>
      </c>
      <c r="CS86" s="41" t="s">
        <v>48</v>
      </c>
      <c r="CT86" s="41" t="s">
        <v>100</v>
      </c>
      <c r="CU86" s="41" t="s">
        <v>101</v>
      </c>
      <c r="CV86" s="41" t="s">
        <v>102</v>
      </c>
      <c r="CW86" s="41" t="s">
        <v>103</v>
      </c>
      <c r="CX86" s="41" t="s">
        <v>67</v>
      </c>
      <c r="CY86" s="41" t="s">
        <v>104</v>
      </c>
      <c r="CZ86" s="41" t="s">
        <v>105</v>
      </c>
      <c r="DA86" s="41" t="s">
        <v>107</v>
      </c>
      <c r="DB86" s="41" t="s">
        <v>108</v>
      </c>
      <c r="DC86" s="41" t="s">
        <v>109</v>
      </c>
      <c r="DD86" s="41" t="s">
        <v>110</v>
      </c>
      <c r="DE86" s="41" t="s">
        <v>111</v>
      </c>
      <c r="DF86" s="41" t="s">
        <v>112</v>
      </c>
      <c r="DG86" s="41" t="s">
        <v>113</v>
      </c>
      <c r="DH86" s="41" t="s">
        <v>114</v>
      </c>
      <c r="DI86" s="41" t="s">
        <v>115</v>
      </c>
      <c r="DJ86" s="41" t="s">
        <v>116</v>
      </c>
      <c r="DK86" s="41" t="s">
        <v>117</v>
      </c>
      <c r="DL86" s="41" t="s">
        <v>118</v>
      </c>
      <c r="DM86" s="41" t="s">
        <v>119</v>
      </c>
      <c r="DP86" s="64"/>
      <c r="DQ86" s="43"/>
      <c r="DR86" s="43" t="s">
        <v>356</v>
      </c>
      <c r="DS86" s="44" t="s">
        <v>357</v>
      </c>
      <c r="DT86" s="43" t="s">
        <v>120</v>
      </c>
      <c r="DU86" s="43" t="s">
        <v>121</v>
      </c>
      <c r="DV86" s="43" t="s">
        <v>122</v>
      </c>
      <c r="DW86" s="43"/>
      <c r="DX86" s="43" t="s">
        <v>123</v>
      </c>
      <c r="DY86" s="43" t="s">
        <v>124</v>
      </c>
      <c r="DZ86" s="44" t="s">
        <v>125</v>
      </c>
      <c r="EA86" s="43" t="s">
        <v>126</v>
      </c>
      <c r="EB86" s="44" t="s">
        <v>358</v>
      </c>
      <c r="EC86" s="43" t="s">
        <v>359</v>
      </c>
      <c r="ED86" s="44" t="s">
        <v>360</v>
      </c>
      <c r="EE86" s="43" t="s">
        <v>127</v>
      </c>
      <c r="EF86" s="43" t="s">
        <v>128</v>
      </c>
      <c r="EG86" s="43" t="s">
        <v>129</v>
      </c>
      <c r="EH86" s="43" t="s">
        <v>130</v>
      </c>
      <c r="EI86" s="43" t="s">
        <v>131</v>
      </c>
      <c r="EJ86" s="43" t="s">
        <v>132</v>
      </c>
      <c r="EK86" s="43" t="s">
        <v>133</v>
      </c>
      <c r="EL86" s="43" t="s">
        <v>134</v>
      </c>
      <c r="EM86" s="43" t="s">
        <v>135</v>
      </c>
      <c r="EN86" s="44" t="s">
        <v>361</v>
      </c>
      <c r="EO86" s="43" t="s">
        <v>136</v>
      </c>
      <c r="EP86" s="43" t="s">
        <v>137</v>
      </c>
      <c r="EQ86" s="43" t="s">
        <v>138</v>
      </c>
      <c r="ER86" s="43" t="s">
        <v>139</v>
      </c>
      <c r="ES86" s="43" t="s">
        <v>140</v>
      </c>
      <c r="ET86" s="43" t="s">
        <v>141</v>
      </c>
      <c r="EU86" s="43"/>
      <c r="EV86" s="43" t="s">
        <v>143</v>
      </c>
      <c r="EW86" s="43" t="s">
        <v>144</v>
      </c>
      <c r="EX86" s="44" t="s">
        <v>145</v>
      </c>
      <c r="EY86" s="43" t="s">
        <v>146</v>
      </c>
      <c r="EZ86" s="43" t="s">
        <v>147</v>
      </c>
      <c r="FA86" s="43" t="s">
        <v>148</v>
      </c>
      <c r="FB86" s="44" t="s">
        <v>362</v>
      </c>
      <c r="FC86" s="43" t="s">
        <v>149</v>
      </c>
      <c r="FD86" s="43" t="s">
        <v>151</v>
      </c>
      <c r="FE86" s="44" t="s">
        <v>363</v>
      </c>
      <c r="FF86" s="43" t="s">
        <v>152</v>
      </c>
      <c r="FG86" s="43" t="s">
        <v>153</v>
      </c>
      <c r="FH86" s="43" t="s">
        <v>364</v>
      </c>
      <c r="FI86" s="43" t="s">
        <v>154</v>
      </c>
      <c r="FJ86" s="43" t="s">
        <v>155</v>
      </c>
      <c r="FK86" s="44" t="s">
        <v>156</v>
      </c>
      <c r="FL86" s="44" t="s">
        <v>157</v>
      </c>
      <c r="FM86" s="44" t="s">
        <v>158</v>
      </c>
      <c r="FN86" s="43" t="s">
        <v>159</v>
      </c>
      <c r="FO86" s="43" t="s">
        <v>160</v>
      </c>
      <c r="FP86" s="44" t="s">
        <v>365</v>
      </c>
      <c r="FQ86" s="43" t="s">
        <v>161</v>
      </c>
      <c r="FR86" s="43" t="s">
        <v>162</v>
      </c>
      <c r="FS86" s="44" t="s">
        <v>366</v>
      </c>
      <c r="FT86" s="44" t="s">
        <v>367</v>
      </c>
      <c r="FU86" s="43" t="s">
        <v>368</v>
      </c>
      <c r="FV86" s="43" t="s">
        <v>163</v>
      </c>
      <c r="FW86" s="43" t="s">
        <v>164</v>
      </c>
      <c r="FX86" s="46" t="s">
        <v>165</v>
      </c>
      <c r="FY86" s="43" t="s">
        <v>369</v>
      </c>
      <c r="FZ86" s="43" t="s">
        <v>167</v>
      </c>
      <c r="GA86" s="43" t="s">
        <v>168</v>
      </c>
      <c r="GB86" s="43" t="s">
        <v>169</v>
      </c>
      <c r="GC86" s="43" t="s">
        <v>170</v>
      </c>
      <c r="GD86" s="43" t="s">
        <v>171</v>
      </c>
      <c r="GE86" s="43" t="s">
        <v>172</v>
      </c>
      <c r="GF86" s="43" t="s">
        <v>173</v>
      </c>
      <c r="GG86" s="43" t="s">
        <v>174</v>
      </c>
      <c r="GH86" s="43" t="s">
        <v>175</v>
      </c>
      <c r="GI86" s="43" t="s">
        <v>176</v>
      </c>
      <c r="GJ86" s="47" t="s">
        <v>177</v>
      </c>
      <c r="GK86" s="43" t="s">
        <v>178</v>
      </c>
      <c r="GL86" s="43" t="s">
        <v>179</v>
      </c>
      <c r="GM86" s="43" t="s">
        <v>180</v>
      </c>
      <c r="GN86" s="43"/>
      <c r="GO86" s="43" t="s">
        <v>181</v>
      </c>
      <c r="GP86" s="44" t="s">
        <v>370</v>
      </c>
      <c r="GQ86" s="43" t="s">
        <v>182</v>
      </c>
      <c r="GR86" s="43" t="s">
        <v>183</v>
      </c>
      <c r="GS86" s="43" t="s">
        <v>184</v>
      </c>
      <c r="GT86" s="43" t="s">
        <v>185</v>
      </c>
      <c r="GU86" s="43" t="s">
        <v>186</v>
      </c>
      <c r="GV86" s="43" t="s">
        <v>187</v>
      </c>
      <c r="GW86" s="43" t="s">
        <v>188</v>
      </c>
      <c r="GX86" s="43" t="s">
        <v>189</v>
      </c>
      <c r="GY86" s="43" t="s">
        <v>190</v>
      </c>
      <c r="GZ86" s="43" t="s">
        <v>191</v>
      </c>
      <c r="HA86" s="44" t="s">
        <v>371</v>
      </c>
      <c r="HB86" s="44" t="s">
        <v>372</v>
      </c>
      <c r="HC86" s="43" t="s">
        <v>192</v>
      </c>
      <c r="HD86" s="44" t="s">
        <v>373</v>
      </c>
      <c r="HE86" s="44" t="s">
        <v>374</v>
      </c>
      <c r="HF86" s="47" t="s">
        <v>194</v>
      </c>
      <c r="HG86" s="43" t="s">
        <v>195</v>
      </c>
      <c r="HH86" s="43" t="s">
        <v>196</v>
      </c>
      <c r="HI86" s="43" t="s">
        <v>197</v>
      </c>
      <c r="HJ86" s="43" t="s">
        <v>198</v>
      </c>
      <c r="HK86" s="43" t="s">
        <v>199</v>
      </c>
      <c r="HL86" s="43" t="s">
        <v>200</v>
      </c>
      <c r="HM86" s="44" t="s">
        <v>201</v>
      </c>
      <c r="HN86" s="43" t="s">
        <v>202</v>
      </c>
      <c r="HO86" s="43" t="s">
        <v>203</v>
      </c>
      <c r="HP86" s="43" t="s">
        <v>204</v>
      </c>
      <c r="HQ86" s="43" t="s">
        <v>205</v>
      </c>
      <c r="HR86" s="43" t="s">
        <v>206</v>
      </c>
      <c r="HS86" s="43" t="s">
        <v>207</v>
      </c>
      <c r="HT86" s="43" t="s">
        <v>208</v>
      </c>
      <c r="HU86" s="43" t="s">
        <v>209</v>
      </c>
      <c r="HV86" s="43" t="s">
        <v>210</v>
      </c>
      <c r="HW86" s="43" t="s">
        <v>211</v>
      </c>
      <c r="HX86" s="43" t="s">
        <v>212</v>
      </c>
      <c r="HY86" s="43" t="s">
        <v>213</v>
      </c>
      <c r="HZ86" s="43" t="s">
        <v>214</v>
      </c>
      <c r="IA86" s="43" t="s">
        <v>215</v>
      </c>
      <c r="IB86" s="43" t="s">
        <v>216</v>
      </c>
      <c r="IC86" s="43" t="s">
        <v>217</v>
      </c>
      <c r="ID86" s="43" t="s">
        <v>218</v>
      </c>
      <c r="IE86" s="43" t="s">
        <v>219</v>
      </c>
      <c r="IF86" s="43" t="s">
        <v>220</v>
      </c>
      <c r="IG86" s="43" t="s">
        <v>221</v>
      </c>
      <c r="IH86" s="43" t="s">
        <v>222</v>
      </c>
      <c r="II86" s="44" t="s">
        <v>375</v>
      </c>
      <c r="IJ86" s="44" t="s">
        <v>376</v>
      </c>
      <c r="IK86" s="43" t="s">
        <v>223</v>
      </c>
      <c r="IL86" s="43" t="s">
        <v>224</v>
      </c>
      <c r="IM86" s="43" t="s">
        <v>225</v>
      </c>
      <c r="IN86" s="43" t="s">
        <v>226</v>
      </c>
      <c r="IO86" s="43" t="s">
        <v>228</v>
      </c>
      <c r="IP86" s="43" t="s">
        <v>229</v>
      </c>
      <c r="IQ86" s="43" t="s">
        <v>230</v>
      </c>
      <c r="IR86" s="44" t="s">
        <v>231</v>
      </c>
      <c r="IS86" s="43" t="s">
        <v>232</v>
      </c>
      <c r="IT86" s="43" t="s">
        <v>233</v>
      </c>
      <c r="IU86" s="43" t="s">
        <v>234</v>
      </c>
      <c r="IV86" s="43" t="s">
        <v>235</v>
      </c>
      <c r="IW86" s="43" t="s">
        <v>236</v>
      </c>
      <c r="IX86" s="43" t="s">
        <v>237</v>
      </c>
      <c r="IY86" s="44" t="s">
        <v>238</v>
      </c>
      <c r="IZ86" s="44" t="s">
        <v>239</v>
      </c>
      <c r="JA86" s="43" t="s">
        <v>240</v>
      </c>
      <c r="JB86" s="43" t="s">
        <v>241</v>
      </c>
      <c r="JC86" s="44" t="s">
        <v>242</v>
      </c>
      <c r="JD86" s="44" t="s">
        <v>243</v>
      </c>
      <c r="JE86" s="43" t="s">
        <v>244</v>
      </c>
      <c r="JF86" s="44" t="s">
        <v>377</v>
      </c>
      <c r="JG86" s="43" t="s">
        <v>378</v>
      </c>
      <c r="JH86" s="43" t="s">
        <v>245</v>
      </c>
      <c r="JI86" s="43" t="s">
        <v>246</v>
      </c>
      <c r="JJ86" s="44" t="s">
        <v>247</v>
      </c>
      <c r="JK86" s="43" t="s">
        <v>248</v>
      </c>
      <c r="JL86" s="43" t="s">
        <v>249</v>
      </c>
      <c r="JM86" s="43" t="s">
        <v>250</v>
      </c>
      <c r="JN86" s="43" t="s">
        <v>251</v>
      </c>
      <c r="JO86" s="43" t="s">
        <v>252</v>
      </c>
      <c r="JP86" s="43" t="s">
        <v>253</v>
      </c>
      <c r="JQ86" s="43" t="s">
        <v>254</v>
      </c>
      <c r="JR86" s="43" t="s">
        <v>255</v>
      </c>
      <c r="JS86" s="43" t="s">
        <v>256</v>
      </c>
      <c r="JT86" s="43" t="s">
        <v>257</v>
      </c>
      <c r="JU86" s="43"/>
      <c r="JV86" s="43" t="s">
        <v>258</v>
      </c>
      <c r="JW86" s="43" t="s">
        <v>259</v>
      </c>
      <c r="JX86" s="43" t="s">
        <v>260</v>
      </c>
      <c r="JY86" s="43" t="s">
        <v>261</v>
      </c>
      <c r="JZ86" s="43" t="s">
        <v>262</v>
      </c>
      <c r="KA86" s="43"/>
      <c r="KB86" s="43" t="s">
        <v>263</v>
      </c>
      <c r="KC86" s="43" t="s">
        <v>25</v>
      </c>
      <c r="KD86" s="43" t="s">
        <v>265</v>
      </c>
      <c r="KE86" s="43"/>
      <c r="KF86" s="43" t="s">
        <v>266</v>
      </c>
      <c r="KG86" s="43" t="s">
        <v>267</v>
      </c>
      <c r="KH86" s="43" t="s">
        <v>268</v>
      </c>
      <c r="KI86" s="43" t="s">
        <v>269</v>
      </c>
      <c r="KJ86" s="43" t="s">
        <v>270</v>
      </c>
      <c r="KK86" s="43" t="s">
        <v>271</v>
      </c>
      <c r="KL86" s="43" t="s">
        <v>272</v>
      </c>
      <c r="KM86" s="43" t="s">
        <v>273</v>
      </c>
      <c r="KN86" s="43" t="s">
        <v>274</v>
      </c>
      <c r="KO86" s="43"/>
      <c r="KP86" s="43" t="s">
        <v>275</v>
      </c>
      <c r="KQ86" s="43" t="s">
        <v>276</v>
      </c>
      <c r="KR86" s="43" t="s">
        <v>277</v>
      </c>
      <c r="KS86" s="43"/>
      <c r="KT86" s="43" t="s">
        <v>278</v>
      </c>
      <c r="KU86" s="44" t="s">
        <v>379</v>
      </c>
      <c r="KV86" s="43" t="s">
        <v>279</v>
      </c>
      <c r="KW86" s="43" t="s">
        <v>280</v>
      </c>
      <c r="KX86" s="43" t="s">
        <v>281</v>
      </c>
      <c r="KY86" s="43" t="s">
        <v>282</v>
      </c>
      <c r="KZ86" s="43" t="s">
        <v>283</v>
      </c>
      <c r="LA86" s="44" t="s">
        <v>380</v>
      </c>
      <c r="LB86" s="43" t="s">
        <v>284</v>
      </c>
      <c r="LC86" s="43" t="s">
        <v>285</v>
      </c>
      <c r="LD86" s="44" t="s">
        <v>381</v>
      </c>
      <c r="LE86" s="43" t="s">
        <v>286</v>
      </c>
      <c r="LF86" s="43"/>
      <c r="LG86" s="43" t="s">
        <v>287</v>
      </c>
      <c r="LH86" s="43" t="s">
        <v>33</v>
      </c>
      <c r="LI86" s="43" t="s">
        <v>288</v>
      </c>
      <c r="LJ86" s="43" t="s">
        <v>289</v>
      </c>
      <c r="LK86" s="110"/>
    </row>
    <row r="87">
      <c r="A87" s="49" t="s">
        <v>291</v>
      </c>
      <c r="C87" s="87"/>
      <c r="D87" s="147"/>
      <c r="E87" s="146"/>
      <c r="F87" s="146"/>
      <c r="G87" s="149"/>
      <c r="H87" s="146"/>
      <c r="I87" s="53"/>
      <c r="J87" s="53"/>
      <c r="K87" s="146"/>
      <c r="L87" s="149"/>
      <c r="M87" s="146"/>
      <c r="N87" s="52"/>
      <c r="O87" s="146"/>
      <c r="P87" s="53"/>
      <c r="Q87" s="146"/>
      <c r="R87" s="146"/>
      <c r="S87" s="146"/>
      <c r="T87" s="53"/>
      <c r="U87" s="27"/>
      <c r="V87" s="28"/>
      <c r="W87" s="28"/>
      <c r="X87" s="195"/>
      <c r="Y87" s="27"/>
      <c r="AB87" s="27"/>
      <c r="AC87" s="27"/>
      <c r="AD87" s="28"/>
      <c r="AE87" s="28"/>
      <c r="AF87" s="28"/>
      <c r="AG87" s="28"/>
      <c r="AH87" s="28"/>
      <c r="AI87" s="28"/>
      <c r="AJ87" s="27"/>
      <c r="AK87" s="28"/>
      <c r="AL87" s="28"/>
      <c r="AM87" s="28"/>
      <c r="AN87" s="28"/>
      <c r="AO87" s="27"/>
      <c r="AP87" s="27"/>
      <c r="AQ87" s="28"/>
      <c r="AR87" s="28"/>
      <c r="AS87" s="28"/>
      <c r="AT87" s="28"/>
      <c r="AU87" s="28"/>
      <c r="AV87" s="62"/>
      <c r="AW87" s="62"/>
      <c r="AX87" s="27"/>
      <c r="AY87" s="27"/>
      <c r="AZ87" s="27"/>
      <c r="BA87" s="28"/>
      <c r="BB87" s="27"/>
      <c r="BC87" s="27"/>
      <c r="BD87" s="27"/>
      <c r="BE87" s="28"/>
      <c r="BF87" s="27"/>
      <c r="BG87" s="28"/>
      <c r="BH87" s="28"/>
      <c r="BI87" s="28"/>
      <c r="BJ87" s="27"/>
      <c r="BK87" s="28"/>
      <c r="BL87" s="28"/>
      <c r="BM87" s="27"/>
      <c r="BN87" s="27"/>
      <c r="BO87" s="28"/>
      <c r="BP87" s="27"/>
      <c r="BQ87" s="28"/>
      <c r="BR87" s="27"/>
      <c r="BS87" s="28"/>
      <c r="BT87" s="28"/>
      <c r="BU87" s="27"/>
      <c r="BV87" s="28"/>
      <c r="BW87" s="27"/>
      <c r="BX87" s="28"/>
      <c r="BY87" s="28"/>
      <c r="BZ87" s="28"/>
      <c r="CA87" s="27"/>
      <c r="CB87" s="28"/>
      <c r="CC87" s="62"/>
      <c r="CD87" s="62"/>
      <c r="CF87" s="49" t="s">
        <v>291</v>
      </c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P87" s="64"/>
      <c r="DQ87" s="49" t="s">
        <v>291</v>
      </c>
      <c r="DR87" s="28"/>
      <c r="DS87" s="28"/>
      <c r="DT87" s="28"/>
      <c r="DU87" s="28"/>
      <c r="DV87" s="62"/>
      <c r="DW87" s="28"/>
      <c r="DX87" s="28"/>
      <c r="DY87" s="28"/>
      <c r="DZ87" s="28"/>
      <c r="EA87" s="28"/>
      <c r="EB87" s="28"/>
      <c r="EC87" s="28"/>
      <c r="ED87" s="28"/>
      <c r="EE87" s="28"/>
      <c r="EF87" s="28"/>
      <c r="EG87" s="28"/>
      <c r="EH87" s="28"/>
      <c r="EI87" s="28"/>
      <c r="EJ87" s="28"/>
      <c r="EK87" s="28"/>
      <c r="EL87" s="28"/>
      <c r="EM87" s="28"/>
      <c r="EN87" s="28"/>
      <c r="EO87" s="28"/>
      <c r="EP87" s="28"/>
      <c r="EQ87" s="28"/>
      <c r="ER87" s="28"/>
      <c r="ES87" s="28"/>
      <c r="ET87" s="28"/>
      <c r="EU87" s="28"/>
      <c r="EV87" s="28"/>
      <c r="EW87" s="28"/>
      <c r="EX87" s="28"/>
      <c r="EY87" s="28"/>
      <c r="EZ87" s="28"/>
      <c r="FA87" s="28"/>
      <c r="FB87" s="28"/>
      <c r="FC87" s="28"/>
      <c r="FD87" s="28"/>
      <c r="FE87" s="28"/>
      <c r="FF87" s="28"/>
      <c r="FG87" s="28"/>
      <c r="FH87" s="28"/>
      <c r="FI87" s="28"/>
      <c r="FJ87" s="28"/>
      <c r="FK87" s="28"/>
      <c r="FL87" s="28"/>
      <c r="FM87" s="28"/>
      <c r="FN87" s="28"/>
      <c r="FO87" s="28"/>
      <c r="FP87" s="28"/>
      <c r="FQ87" s="28"/>
      <c r="FR87" s="28"/>
      <c r="FS87" s="28"/>
      <c r="FT87" s="28"/>
      <c r="FU87" s="28"/>
      <c r="FV87" s="28"/>
      <c r="FW87" s="28"/>
      <c r="FX87" s="28"/>
      <c r="FY87" s="28"/>
      <c r="FZ87" s="28"/>
      <c r="GA87" s="28"/>
      <c r="GB87" s="28"/>
      <c r="GC87" s="28"/>
      <c r="GD87" s="28"/>
      <c r="GE87" s="28"/>
      <c r="GF87" s="28"/>
      <c r="GG87" s="28"/>
      <c r="GH87" s="28"/>
      <c r="GI87" s="28"/>
      <c r="GJ87" s="28"/>
      <c r="GK87" s="28"/>
      <c r="GL87" s="28"/>
      <c r="GM87" s="62"/>
      <c r="GN87" s="28"/>
      <c r="GO87" s="28"/>
      <c r="GP87" s="28"/>
      <c r="GQ87" s="28"/>
      <c r="GR87" s="28"/>
      <c r="GS87" s="28"/>
      <c r="GT87" s="28"/>
      <c r="GU87" s="28"/>
      <c r="GV87" s="28"/>
      <c r="GW87" s="28"/>
      <c r="GX87" s="28"/>
      <c r="GY87" s="28"/>
      <c r="GZ87" s="28"/>
      <c r="HA87" s="28"/>
      <c r="HB87" s="28"/>
      <c r="HC87" s="28"/>
      <c r="HD87" s="28"/>
      <c r="HE87" s="28"/>
      <c r="HF87" s="27"/>
      <c r="HG87" s="28"/>
      <c r="HH87" s="28"/>
      <c r="HI87" s="28"/>
      <c r="HJ87" s="28"/>
      <c r="HK87" s="28"/>
      <c r="HL87" s="28"/>
      <c r="HM87" s="28"/>
      <c r="HN87" s="28"/>
      <c r="HO87" s="28"/>
      <c r="HP87" s="28"/>
      <c r="HQ87" s="28"/>
      <c r="HR87" s="28"/>
      <c r="HS87" s="28"/>
      <c r="HT87" s="28"/>
      <c r="HU87" s="28"/>
      <c r="HV87" s="28"/>
      <c r="HW87" s="28"/>
      <c r="HX87" s="28"/>
      <c r="HY87" s="28"/>
      <c r="HZ87" s="28"/>
      <c r="IA87" s="28"/>
      <c r="IB87" s="28"/>
      <c r="IC87" s="28"/>
      <c r="ID87" s="28"/>
      <c r="IE87" s="28"/>
      <c r="IF87" s="28"/>
      <c r="IG87" s="28"/>
      <c r="IH87" s="28"/>
      <c r="II87" s="28"/>
      <c r="IJ87" s="28"/>
      <c r="IK87" s="28"/>
      <c r="IL87" s="28"/>
      <c r="IM87" s="28"/>
      <c r="IN87" s="28"/>
      <c r="IO87" s="28"/>
      <c r="IP87" s="28"/>
      <c r="IQ87" s="28"/>
      <c r="IR87" s="28"/>
      <c r="IS87" s="28"/>
      <c r="IT87" s="28"/>
      <c r="IU87" s="28"/>
      <c r="IV87" s="28"/>
      <c r="IW87" s="28"/>
      <c r="IX87" s="28"/>
      <c r="IY87" s="28"/>
      <c r="IZ87" s="28"/>
      <c r="JA87" s="28"/>
      <c r="JB87" s="28"/>
      <c r="JC87" s="28"/>
      <c r="JD87" s="28"/>
      <c r="JE87" s="28"/>
      <c r="JF87" s="28"/>
      <c r="JG87" s="28"/>
      <c r="JH87" s="28"/>
      <c r="JI87" s="28"/>
      <c r="JJ87" s="28"/>
      <c r="JK87" s="28"/>
      <c r="JL87" s="28"/>
      <c r="JM87" s="28"/>
      <c r="JN87" s="28"/>
      <c r="JO87" s="28"/>
      <c r="JP87" s="28"/>
      <c r="JQ87" s="28"/>
      <c r="JR87" s="28"/>
      <c r="JS87" s="28"/>
      <c r="JT87" s="62"/>
      <c r="JU87" s="28"/>
      <c r="JV87" s="28"/>
      <c r="JW87" s="28"/>
      <c r="JX87" s="28"/>
      <c r="JY87" s="28"/>
      <c r="JZ87" s="62"/>
      <c r="KA87" s="28"/>
      <c r="KB87" s="28"/>
      <c r="KC87" s="28"/>
      <c r="KD87" s="62"/>
      <c r="KE87" s="28"/>
      <c r="KF87" s="28"/>
      <c r="KG87" s="28"/>
      <c r="KH87" s="28"/>
      <c r="KI87" s="28"/>
      <c r="KJ87" s="28"/>
      <c r="KK87" s="28"/>
      <c r="KL87" s="28"/>
      <c r="KM87" s="28"/>
      <c r="KN87" s="62"/>
      <c r="KO87" s="28"/>
      <c r="KP87" s="28"/>
      <c r="KQ87" s="28"/>
      <c r="KR87" s="28"/>
      <c r="KS87" s="28"/>
      <c r="KT87" s="28"/>
      <c r="KU87" s="28"/>
      <c r="KV87" s="28"/>
      <c r="KW87" s="28"/>
      <c r="KX87" s="28"/>
      <c r="KY87" s="28"/>
      <c r="KZ87" s="28"/>
      <c r="LA87" s="28"/>
      <c r="LB87" s="28"/>
      <c r="LC87" s="28"/>
      <c r="LD87" s="28"/>
      <c r="LE87" s="62"/>
      <c r="LF87" s="28"/>
      <c r="LG87" s="28"/>
      <c r="LH87" s="28"/>
      <c r="LI87" s="28"/>
      <c r="LJ87" s="28"/>
      <c r="LK87" s="110"/>
    </row>
    <row r="88">
      <c r="A88" s="49" t="s">
        <v>296</v>
      </c>
      <c r="B88" s="149"/>
      <c r="C88" s="87"/>
      <c r="D88" s="147"/>
      <c r="E88" s="146"/>
      <c r="F88" s="146"/>
      <c r="G88" s="149"/>
      <c r="H88" s="146"/>
      <c r="I88" s="53"/>
      <c r="J88" s="53"/>
      <c r="K88" s="146"/>
      <c r="L88" s="149"/>
      <c r="M88" s="146"/>
      <c r="N88" s="52"/>
      <c r="O88" s="146"/>
      <c r="P88" s="53"/>
      <c r="Q88" s="146"/>
      <c r="R88" s="146"/>
      <c r="S88" s="146"/>
      <c r="T88" s="53"/>
      <c r="U88" s="27"/>
      <c r="V88" s="28"/>
      <c r="W88" s="28"/>
      <c r="X88" s="195"/>
      <c r="Y88" s="27"/>
      <c r="AB88" s="27"/>
      <c r="AC88" s="27"/>
      <c r="AD88" s="28"/>
      <c r="AE88" s="28"/>
      <c r="AF88" s="28"/>
      <c r="AG88" s="28"/>
      <c r="AH88" s="28"/>
      <c r="AI88" s="28"/>
      <c r="AJ88" s="27"/>
      <c r="AK88" s="28"/>
      <c r="AL88" s="28"/>
      <c r="AM88" s="28"/>
      <c r="AN88" s="28"/>
      <c r="AO88" s="27"/>
      <c r="AP88" s="27"/>
      <c r="AQ88" s="28"/>
      <c r="AR88" s="28"/>
      <c r="AS88" s="28"/>
      <c r="AT88" s="28"/>
      <c r="AU88" s="28"/>
      <c r="AV88" s="62"/>
      <c r="AW88" s="62"/>
      <c r="AX88" s="27"/>
      <c r="AY88" s="27"/>
      <c r="AZ88" s="27"/>
      <c r="BA88" s="28"/>
      <c r="BB88" s="27"/>
      <c r="BC88" s="27"/>
      <c r="BD88" s="27"/>
      <c r="BE88" s="28"/>
      <c r="BF88" s="27"/>
      <c r="BG88" s="28"/>
      <c r="BH88" s="28"/>
      <c r="BI88" s="28"/>
      <c r="BJ88" s="27"/>
      <c r="BK88" s="28"/>
      <c r="BL88" s="28"/>
      <c r="BM88" s="27"/>
      <c r="BN88" s="27"/>
      <c r="BO88" s="28"/>
      <c r="BP88" s="27"/>
      <c r="BQ88" s="28"/>
      <c r="BR88" s="27"/>
      <c r="BS88" s="28"/>
      <c r="BT88" s="28"/>
      <c r="BU88" s="27"/>
      <c r="BV88" s="28"/>
      <c r="BW88" s="27"/>
      <c r="BX88" s="28"/>
      <c r="BY88" s="28"/>
      <c r="BZ88" s="28"/>
      <c r="CA88" s="27"/>
      <c r="CB88" s="28"/>
      <c r="CC88" s="62"/>
      <c r="CD88" s="62"/>
      <c r="CF88" s="49" t="s">
        <v>296</v>
      </c>
      <c r="CG88" s="27"/>
      <c r="CH88" s="28"/>
      <c r="CI88" s="27"/>
      <c r="CJ88" s="28"/>
      <c r="CK88" s="27"/>
      <c r="CL88" s="27"/>
      <c r="CM88" s="27"/>
      <c r="CN88" s="28"/>
      <c r="CO88" s="28"/>
      <c r="CP88" s="28"/>
      <c r="CQ88" s="28"/>
      <c r="CR88" s="28"/>
      <c r="CS88" s="28"/>
      <c r="CT88" s="27"/>
      <c r="CU88" s="28"/>
      <c r="CV88" s="28"/>
      <c r="CW88" s="28"/>
      <c r="CX88" s="27"/>
      <c r="CY88" s="27"/>
      <c r="CZ88" s="28"/>
      <c r="DA88" s="28"/>
      <c r="DB88" s="27"/>
      <c r="DC88" s="28"/>
      <c r="DD88" s="27"/>
      <c r="DE88" s="28"/>
      <c r="DF88" s="28"/>
      <c r="DG88" s="27"/>
      <c r="DH88" s="28"/>
      <c r="DI88" s="27"/>
      <c r="DJ88" s="28"/>
      <c r="DK88" s="28"/>
      <c r="DL88" s="28"/>
      <c r="DM88" s="28"/>
      <c r="DP88" s="64"/>
      <c r="DQ88" s="49" t="s">
        <v>296</v>
      </c>
      <c r="DR88" s="28"/>
      <c r="DS88" s="28"/>
      <c r="DT88" s="28"/>
      <c r="DU88" s="28"/>
      <c r="DV88" s="62"/>
      <c r="DW88" s="28"/>
      <c r="DX88" s="28"/>
      <c r="DY88" s="28"/>
      <c r="DZ88" s="28"/>
      <c r="EA88" s="28"/>
      <c r="EB88" s="28"/>
      <c r="EC88" s="27"/>
      <c r="ED88" s="28"/>
      <c r="EE88" s="28"/>
      <c r="EF88" s="28"/>
      <c r="EG88" s="28"/>
      <c r="EH88" s="28"/>
      <c r="EI88" s="28"/>
      <c r="EJ88" s="28"/>
      <c r="EK88" s="28"/>
      <c r="EL88" s="28"/>
      <c r="EM88" s="28"/>
      <c r="EN88" s="28"/>
      <c r="EO88" s="28"/>
      <c r="EP88" s="28"/>
      <c r="EQ88" s="28"/>
      <c r="ER88" s="28"/>
      <c r="ES88" s="28"/>
      <c r="ET88" s="28"/>
      <c r="EU88" s="28"/>
      <c r="EV88" s="28"/>
      <c r="EW88" s="28"/>
      <c r="EX88" s="28"/>
      <c r="EY88" s="28"/>
      <c r="EZ88" s="28"/>
      <c r="FA88" s="28"/>
      <c r="FB88" s="28"/>
      <c r="FC88" s="28"/>
      <c r="FD88" s="28"/>
      <c r="FE88" s="28"/>
      <c r="FF88" s="28"/>
      <c r="FG88" s="28"/>
      <c r="FH88" s="28"/>
      <c r="FI88" s="28"/>
      <c r="FJ88" s="28"/>
      <c r="FK88" s="28"/>
      <c r="FL88" s="28"/>
      <c r="FM88" s="28"/>
      <c r="FN88" s="28"/>
      <c r="FO88" s="28"/>
      <c r="FP88" s="28"/>
      <c r="FQ88" s="28"/>
      <c r="FR88" s="28"/>
      <c r="FS88" s="28"/>
      <c r="FT88" s="28"/>
      <c r="FU88" s="28"/>
      <c r="FV88" s="28"/>
      <c r="FW88" s="28"/>
      <c r="FX88" s="28"/>
      <c r="FY88" s="28"/>
      <c r="FZ88" s="28"/>
      <c r="GA88" s="28"/>
      <c r="GB88" s="28"/>
      <c r="GC88" s="28"/>
      <c r="GD88" s="28"/>
      <c r="GE88" s="28"/>
      <c r="GF88" s="28"/>
      <c r="GG88" s="28"/>
      <c r="GH88" s="28"/>
      <c r="GI88" s="28"/>
      <c r="GJ88" s="28"/>
      <c r="GK88" s="28"/>
      <c r="GL88" s="28"/>
      <c r="GM88" s="62"/>
      <c r="GN88" s="28"/>
      <c r="GO88" s="28"/>
      <c r="GP88" s="28"/>
      <c r="GQ88" s="28"/>
      <c r="GR88" s="28"/>
      <c r="GS88" s="28"/>
      <c r="GT88" s="28"/>
      <c r="GU88" s="28"/>
      <c r="GV88" s="28"/>
      <c r="GW88" s="28"/>
      <c r="GX88" s="28"/>
      <c r="GY88" s="28"/>
      <c r="GZ88" s="28"/>
      <c r="HA88" s="27"/>
      <c r="HB88" s="28"/>
      <c r="HC88" s="28"/>
      <c r="HD88" s="28"/>
      <c r="HE88" s="28"/>
      <c r="HF88" s="28"/>
      <c r="HG88" s="28"/>
      <c r="HH88" s="28"/>
      <c r="HI88" s="28"/>
      <c r="HJ88" s="28"/>
      <c r="HK88" s="28"/>
      <c r="HL88" s="28"/>
      <c r="HM88" s="28"/>
      <c r="HN88" s="28"/>
      <c r="HO88" s="28"/>
      <c r="HP88" s="28"/>
      <c r="HQ88" s="28"/>
      <c r="HR88" s="28"/>
      <c r="HS88" s="27"/>
      <c r="HT88" s="28"/>
      <c r="HU88" s="28"/>
      <c r="HV88" s="27"/>
      <c r="HW88" s="27"/>
      <c r="HX88" s="28"/>
      <c r="HY88" s="28"/>
      <c r="HZ88" s="28"/>
      <c r="IA88" s="28"/>
      <c r="IB88" s="28"/>
      <c r="IC88" s="28"/>
      <c r="ID88" s="28"/>
      <c r="IE88" s="28"/>
      <c r="IF88" s="28"/>
      <c r="IG88" s="28"/>
      <c r="IH88" s="28"/>
      <c r="II88" s="28"/>
      <c r="IJ88" s="28"/>
      <c r="IK88" s="28"/>
      <c r="IL88" s="28"/>
      <c r="IM88" s="28"/>
      <c r="IN88" s="28"/>
      <c r="IO88" s="28"/>
      <c r="IP88" s="28"/>
      <c r="IQ88" s="28"/>
      <c r="IR88" s="28"/>
      <c r="IS88" s="28"/>
      <c r="IT88" s="28"/>
      <c r="IU88" s="28"/>
      <c r="IV88" s="28"/>
      <c r="IW88" s="28"/>
      <c r="IX88" s="28"/>
      <c r="IY88" s="28"/>
      <c r="IZ88" s="28"/>
      <c r="JA88" s="28"/>
      <c r="JB88" s="28"/>
      <c r="JC88" s="28"/>
      <c r="JD88" s="28"/>
      <c r="JE88" s="28"/>
      <c r="JF88" s="28"/>
      <c r="JG88" s="28"/>
      <c r="JH88" s="28"/>
      <c r="JI88" s="28"/>
      <c r="JJ88" s="28"/>
      <c r="JK88" s="28"/>
      <c r="JL88" s="28"/>
      <c r="JM88" s="28"/>
      <c r="JN88" s="28"/>
      <c r="JO88" s="28"/>
      <c r="JP88" s="28"/>
      <c r="JQ88" s="28"/>
      <c r="JR88" s="28"/>
      <c r="JS88" s="28"/>
      <c r="JT88" s="62"/>
      <c r="JU88" s="28"/>
      <c r="JV88" s="28"/>
      <c r="JW88" s="28"/>
      <c r="JX88" s="28"/>
      <c r="JY88" s="28"/>
      <c r="JZ88" s="62"/>
      <c r="KA88" s="28"/>
      <c r="KB88" s="28"/>
      <c r="KC88" s="28"/>
      <c r="KD88" s="62"/>
      <c r="KE88" s="28"/>
      <c r="KF88" s="28"/>
      <c r="KG88" s="28"/>
      <c r="KH88" s="28"/>
      <c r="KI88" s="28"/>
      <c r="KJ88" s="28"/>
      <c r="KK88" s="28"/>
      <c r="KL88" s="28"/>
      <c r="KM88" s="28"/>
      <c r="KN88" s="62"/>
      <c r="KO88" s="28"/>
      <c r="KP88" s="28"/>
      <c r="KQ88" s="28"/>
      <c r="KR88" s="28"/>
      <c r="KS88" s="28"/>
      <c r="KT88" s="28"/>
      <c r="KU88" s="28"/>
      <c r="KV88" s="28"/>
      <c r="KW88" s="28"/>
      <c r="KX88" s="28"/>
      <c r="KY88" s="28"/>
      <c r="KZ88" s="28"/>
      <c r="LA88" s="28"/>
      <c r="LB88" s="28"/>
      <c r="LC88" s="28"/>
      <c r="LD88" s="28"/>
      <c r="LE88" s="62"/>
      <c r="LF88" s="28"/>
      <c r="LG88" s="28"/>
      <c r="LH88" s="28"/>
      <c r="LI88" s="28"/>
      <c r="LJ88" s="28"/>
      <c r="LK88" s="110"/>
    </row>
    <row r="89">
      <c r="A89" s="49" t="s">
        <v>299</v>
      </c>
      <c r="B89" s="149"/>
      <c r="C89" s="87"/>
      <c r="D89" s="147"/>
      <c r="E89" s="146"/>
      <c r="F89" s="146"/>
      <c r="G89" s="149"/>
      <c r="H89" s="146"/>
      <c r="I89" s="53"/>
      <c r="J89" s="53"/>
      <c r="K89" s="146"/>
      <c r="L89" s="149"/>
      <c r="M89" s="146"/>
      <c r="N89" s="52"/>
      <c r="O89" s="146"/>
      <c r="P89" s="53"/>
      <c r="Q89" s="146"/>
      <c r="R89" s="146"/>
      <c r="S89" s="146"/>
      <c r="T89" s="53"/>
      <c r="U89" s="27"/>
      <c r="V89" s="28"/>
      <c r="W89" s="28"/>
      <c r="X89" s="195"/>
      <c r="Y89" s="27"/>
      <c r="AB89" s="27"/>
      <c r="AC89" s="27"/>
      <c r="AD89" s="28"/>
      <c r="AE89" s="28"/>
      <c r="AF89" s="28"/>
      <c r="AG89" s="28"/>
      <c r="AH89" s="28"/>
      <c r="AI89" s="28"/>
      <c r="AJ89" s="27"/>
      <c r="AK89" s="28"/>
      <c r="AL89" s="28"/>
      <c r="AM89" s="28"/>
      <c r="AN89" s="28"/>
      <c r="AO89" s="27"/>
      <c r="AP89" s="27"/>
      <c r="AQ89" s="28"/>
      <c r="AR89" s="28"/>
      <c r="AS89" s="28"/>
      <c r="AT89" s="28"/>
      <c r="AU89" s="28"/>
      <c r="AV89" s="62"/>
      <c r="AW89" s="62"/>
      <c r="AX89" s="27"/>
      <c r="AY89" s="27"/>
      <c r="AZ89" s="27"/>
      <c r="BA89" s="28"/>
      <c r="BB89" s="27"/>
      <c r="BC89" s="27"/>
      <c r="BD89" s="27"/>
      <c r="BE89" s="28"/>
      <c r="BF89" s="27"/>
      <c r="BG89" s="28"/>
      <c r="BH89" s="28"/>
      <c r="BI89" s="28"/>
      <c r="BJ89" s="27"/>
      <c r="BK89" s="28"/>
      <c r="BL89" s="28"/>
      <c r="BM89" s="27"/>
      <c r="BN89" s="27"/>
      <c r="BO89" s="28"/>
      <c r="BP89" s="27"/>
      <c r="BQ89" s="28"/>
      <c r="BR89" s="27"/>
      <c r="BS89" s="28"/>
      <c r="BT89" s="28"/>
      <c r="BU89" s="27"/>
      <c r="BV89" s="28"/>
      <c r="BW89" s="27"/>
      <c r="BX89" s="28"/>
      <c r="BY89" s="28"/>
      <c r="BZ89" s="28"/>
      <c r="CA89" s="27"/>
      <c r="CB89" s="28"/>
      <c r="CC89" s="62"/>
      <c r="CD89" s="62"/>
      <c r="CF89" s="49" t="s">
        <v>299</v>
      </c>
      <c r="CG89" s="27"/>
      <c r="CH89" s="28"/>
      <c r="CI89" s="27"/>
      <c r="CJ89" s="28"/>
      <c r="CK89" s="27"/>
      <c r="CL89" s="27"/>
      <c r="CM89" s="27"/>
      <c r="CN89" s="28"/>
      <c r="CO89" s="28"/>
      <c r="CP89" s="28"/>
      <c r="CQ89" s="28"/>
      <c r="CR89" s="28"/>
      <c r="CS89" s="28"/>
      <c r="CT89" s="27"/>
      <c r="CU89" s="28"/>
      <c r="CV89" s="28"/>
      <c r="CW89" s="28"/>
      <c r="CX89" s="27"/>
      <c r="CY89" s="27"/>
      <c r="CZ89" s="28"/>
      <c r="DA89" s="28"/>
      <c r="DB89" s="27"/>
      <c r="DC89" s="28"/>
      <c r="DD89" s="27"/>
      <c r="DE89" s="28"/>
      <c r="DF89" s="28"/>
      <c r="DG89" s="27"/>
      <c r="DH89" s="28"/>
      <c r="DI89" s="27"/>
      <c r="DJ89" s="28"/>
      <c r="DK89" s="28"/>
      <c r="DL89" s="28"/>
      <c r="DM89" s="28"/>
      <c r="DP89" s="64"/>
      <c r="DQ89" s="49" t="s">
        <v>299</v>
      </c>
      <c r="DR89" s="28"/>
      <c r="DS89" s="28"/>
      <c r="DT89" s="28"/>
      <c r="DU89" s="28"/>
      <c r="DV89" s="62"/>
      <c r="DW89" s="28"/>
      <c r="DX89" s="28"/>
      <c r="DY89" s="28"/>
      <c r="DZ89" s="28"/>
      <c r="EA89" s="28"/>
      <c r="EB89" s="28"/>
      <c r="EC89" s="28"/>
      <c r="ED89" s="28"/>
      <c r="EE89" s="28"/>
      <c r="EF89" s="28"/>
      <c r="EG89" s="28"/>
      <c r="EH89" s="28"/>
      <c r="EI89" s="28"/>
      <c r="EJ89" s="28"/>
      <c r="EK89" s="28"/>
      <c r="EL89" s="28"/>
      <c r="EM89" s="28"/>
      <c r="EN89" s="28"/>
      <c r="EO89" s="28"/>
      <c r="EP89" s="28"/>
      <c r="EQ89" s="28"/>
      <c r="ER89" s="28"/>
      <c r="ES89" s="28"/>
      <c r="ET89" s="28"/>
      <c r="EU89" s="28"/>
      <c r="EV89" s="28"/>
      <c r="EW89" s="28"/>
      <c r="EX89" s="28"/>
      <c r="EY89" s="28"/>
      <c r="EZ89" s="28"/>
      <c r="FA89" s="28"/>
      <c r="FB89" s="28"/>
      <c r="FC89" s="28"/>
      <c r="FD89" s="28"/>
      <c r="FE89" s="28"/>
      <c r="FF89" s="28"/>
      <c r="FG89" s="28"/>
      <c r="FH89" s="28"/>
      <c r="FI89" s="28"/>
      <c r="FJ89" s="28"/>
      <c r="FK89" s="28"/>
      <c r="FL89" s="28"/>
      <c r="FM89" s="28"/>
      <c r="FN89" s="28"/>
      <c r="FO89" s="28"/>
      <c r="FP89" s="28"/>
      <c r="FQ89" s="28"/>
      <c r="FR89" s="28"/>
      <c r="FS89" s="28"/>
      <c r="FT89" s="28"/>
      <c r="FU89" s="28"/>
      <c r="FV89" s="28"/>
      <c r="FW89" s="28"/>
      <c r="FX89" s="28"/>
      <c r="FY89" s="28"/>
      <c r="FZ89" s="28"/>
      <c r="GA89" s="28"/>
      <c r="GB89" s="28"/>
      <c r="GC89" s="28"/>
      <c r="GD89" s="28"/>
      <c r="GE89" s="28"/>
      <c r="GF89" s="28"/>
      <c r="GG89" s="28"/>
      <c r="GH89" s="28"/>
      <c r="GI89" s="28"/>
      <c r="GJ89" s="28"/>
      <c r="GK89" s="28"/>
      <c r="GL89" s="28"/>
      <c r="GM89" s="62"/>
      <c r="GN89" s="28"/>
      <c r="GO89" s="28"/>
      <c r="GP89" s="28"/>
      <c r="GQ89" s="28"/>
      <c r="GR89" s="28"/>
      <c r="GS89" s="28"/>
      <c r="GT89" s="28"/>
      <c r="GU89" s="28"/>
      <c r="GV89" s="28"/>
      <c r="GW89" s="28"/>
      <c r="GX89" s="28"/>
      <c r="GY89" s="28"/>
      <c r="GZ89" s="28"/>
      <c r="HA89" s="28"/>
      <c r="HB89" s="28"/>
      <c r="HC89" s="28"/>
      <c r="HD89" s="28"/>
      <c r="HE89" s="28"/>
      <c r="HF89" s="28"/>
      <c r="HG89" s="28"/>
      <c r="HH89" s="28"/>
      <c r="HI89" s="28"/>
      <c r="HJ89" s="28"/>
      <c r="HK89" s="28"/>
      <c r="HL89" s="28"/>
      <c r="HM89" s="28"/>
      <c r="HN89" s="28"/>
      <c r="HO89" s="28"/>
      <c r="HP89" s="28"/>
      <c r="HQ89" s="28"/>
      <c r="HR89" s="28"/>
      <c r="HS89" s="28"/>
      <c r="HT89" s="28"/>
      <c r="HU89" s="28"/>
      <c r="HV89" s="28"/>
      <c r="HW89" s="28"/>
      <c r="HX89" s="28"/>
      <c r="HY89" s="28"/>
      <c r="HZ89" s="28"/>
      <c r="IA89" s="28"/>
      <c r="IB89" s="28"/>
      <c r="IC89" s="28"/>
      <c r="ID89" s="28"/>
      <c r="IE89" s="28"/>
      <c r="IF89" s="28"/>
      <c r="IG89" s="28"/>
      <c r="IH89" s="28"/>
      <c r="II89" s="28"/>
      <c r="IJ89" s="28"/>
      <c r="IK89" s="28"/>
      <c r="IL89" s="28"/>
      <c r="IM89" s="28"/>
      <c r="IN89" s="28"/>
      <c r="IO89" s="28"/>
      <c r="IP89" s="28"/>
      <c r="IQ89" s="28"/>
      <c r="IR89" s="28"/>
      <c r="IS89" s="28"/>
      <c r="IT89" s="28"/>
      <c r="IU89" s="28"/>
      <c r="IV89" s="28"/>
      <c r="IW89" s="28"/>
      <c r="IX89" s="28"/>
      <c r="IY89" s="28"/>
      <c r="IZ89" s="28"/>
      <c r="JA89" s="28"/>
      <c r="JB89" s="28"/>
      <c r="JC89" s="28"/>
      <c r="JD89" s="28"/>
      <c r="JE89" s="28"/>
      <c r="JF89" s="28"/>
      <c r="JG89" s="28"/>
      <c r="JH89" s="28"/>
      <c r="JI89" s="28"/>
      <c r="JJ89" s="28"/>
      <c r="JK89" s="28"/>
      <c r="JL89" s="28"/>
      <c r="JM89" s="28"/>
      <c r="JN89" s="28"/>
      <c r="JO89" s="28"/>
      <c r="JP89" s="28"/>
      <c r="JQ89" s="28"/>
      <c r="JR89" s="28"/>
      <c r="JS89" s="28"/>
      <c r="JT89" s="62"/>
      <c r="JU89" s="28"/>
      <c r="JV89" s="28"/>
      <c r="JW89" s="28"/>
      <c r="JX89" s="28"/>
      <c r="JY89" s="28"/>
      <c r="JZ89" s="62"/>
      <c r="KA89" s="28"/>
      <c r="KB89" s="28"/>
      <c r="KC89" s="28"/>
      <c r="KD89" s="62"/>
      <c r="KE89" s="28"/>
      <c r="KF89" s="28"/>
      <c r="KG89" s="28"/>
      <c r="KH89" s="28"/>
      <c r="KI89" s="28"/>
      <c r="KJ89" s="28"/>
      <c r="KK89" s="28"/>
      <c r="KL89" s="28"/>
      <c r="KM89" s="28"/>
      <c r="KN89" s="62"/>
      <c r="KO89" s="28"/>
      <c r="KP89" s="28"/>
      <c r="KQ89" s="28"/>
      <c r="KR89" s="28"/>
      <c r="KS89" s="28"/>
      <c r="KT89" s="28"/>
      <c r="KU89" s="28"/>
      <c r="KV89" s="28"/>
      <c r="KW89" s="28"/>
      <c r="KX89" s="28"/>
      <c r="KY89" s="28"/>
      <c r="KZ89" s="28"/>
      <c r="LA89" s="28"/>
      <c r="LB89" s="28"/>
      <c r="LC89" s="28"/>
      <c r="LD89" s="28"/>
      <c r="LE89" s="62"/>
      <c r="LF89" s="28"/>
      <c r="LG89" s="28"/>
      <c r="LH89" s="28"/>
      <c r="LI89" s="28"/>
      <c r="LJ89" s="28"/>
      <c r="LK89" s="110"/>
    </row>
    <row r="90">
      <c r="A90" s="49" t="s">
        <v>302</v>
      </c>
      <c r="B90" s="149"/>
      <c r="C90" s="87"/>
      <c r="D90" s="147"/>
      <c r="E90" s="146"/>
      <c r="F90" s="146"/>
      <c r="G90" s="149"/>
      <c r="H90" s="146"/>
      <c r="I90" s="53"/>
      <c r="J90" s="53"/>
      <c r="K90" s="146"/>
      <c r="L90" s="149"/>
      <c r="M90" s="146"/>
      <c r="N90" s="52"/>
      <c r="O90" s="146"/>
      <c r="P90" s="53"/>
      <c r="Q90" s="146"/>
      <c r="R90" s="146"/>
      <c r="S90" s="146"/>
      <c r="T90" s="53"/>
      <c r="U90" s="27"/>
      <c r="V90" s="28"/>
      <c r="W90" s="28"/>
      <c r="X90" s="195"/>
      <c r="Y90" s="27"/>
      <c r="AB90" s="27"/>
      <c r="AC90" s="27"/>
      <c r="AD90" s="28"/>
      <c r="AE90" s="28"/>
      <c r="AF90" s="28"/>
      <c r="AG90" s="28"/>
      <c r="AH90" s="28"/>
      <c r="AI90" s="28"/>
      <c r="AJ90" s="27"/>
      <c r="AK90" s="28"/>
      <c r="AL90" s="28"/>
      <c r="AM90" s="28"/>
      <c r="AN90" s="28"/>
      <c r="AO90" s="27"/>
      <c r="AP90" s="27"/>
      <c r="AQ90" s="28"/>
      <c r="AR90" s="28"/>
      <c r="AS90" s="28"/>
      <c r="AT90" s="28"/>
      <c r="AU90" s="28"/>
      <c r="AV90" s="62"/>
      <c r="AW90" s="62"/>
      <c r="AX90" s="27"/>
      <c r="AY90" s="27"/>
      <c r="AZ90" s="27"/>
      <c r="BA90" s="28"/>
      <c r="BB90" s="27"/>
      <c r="BC90" s="27"/>
      <c r="BD90" s="27"/>
      <c r="BE90" s="28"/>
      <c r="BF90" s="27"/>
      <c r="BG90" s="28"/>
      <c r="BH90" s="28"/>
      <c r="BI90" s="28"/>
      <c r="BJ90" s="27"/>
      <c r="BK90" s="28"/>
      <c r="BL90" s="28"/>
      <c r="BM90" s="27"/>
      <c r="BN90" s="27"/>
      <c r="BO90" s="28"/>
      <c r="BP90" s="27"/>
      <c r="BQ90" s="28"/>
      <c r="BR90" s="27"/>
      <c r="BS90" s="28"/>
      <c r="BT90" s="28"/>
      <c r="BU90" s="27"/>
      <c r="BV90" s="28"/>
      <c r="BW90" s="27"/>
      <c r="BX90" s="28"/>
      <c r="BY90" s="28"/>
      <c r="BZ90" s="28"/>
      <c r="CA90" s="27"/>
      <c r="CB90" s="28"/>
      <c r="CC90" s="62"/>
      <c r="CD90" s="62"/>
      <c r="CF90" s="49" t="s">
        <v>302</v>
      </c>
      <c r="CG90" s="27"/>
      <c r="CH90" s="28"/>
      <c r="CI90" s="27"/>
      <c r="CJ90" s="28"/>
      <c r="CK90" s="27"/>
      <c r="CL90" s="27"/>
      <c r="CM90" s="27"/>
      <c r="CN90" s="28"/>
      <c r="CO90" s="28"/>
      <c r="CP90" s="28"/>
      <c r="CQ90" s="28"/>
      <c r="CR90" s="28"/>
      <c r="CS90" s="28"/>
      <c r="CT90" s="27"/>
      <c r="CU90" s="28"/>
      <c r="CV90" s="28"/>
      <c r="CW90" s="28"/>
      <c r="CX90" s="27"/>
      <c r="CY90" s="27"/>
      <c r="CZ90" s="28"/>
      <c r="DA90" s="28"/>
      <c r="DB90" s="27"/>
      <c r="DC90" s="28"/>
      <c r="DD90" s="27"/>
      <c r="DE90" s="28"/>
      <c r="DF90" s="28"/>
      <c r="DG90" s="27"/>
      <c r="DH90" s="28"/>
      <c r="DI90" s="27"/>
      <c r="DJ90" s="28"/>
      <c r="DK90" s="28"/>
      <c r="DL90" s="28"/>
      <c r="DM90" s="28"/>
      <c r="DP90" s="64"/>
      <c r="DQ90" s="49" t="s">
        <v>302</v>
      </c>
      <c r="DR90" s="28"/>
      <c r="DS90" s="28"/>
      <c r="DT90" s="28"/>
      <c r="DU90" s="28"/>
      <c r="DV90" s="62"/>
      <c r="DW90" s="28"/>
      <c r="DX90" s="28"/>
      <c r="DY90" s="28"/>
      <c r="DZ90" s="28"/>
      <c r="EA90" s="28"/>
      <c r="EB90" s="28"/>
      <c r="EC90" s="28"/>
      <c r="ED90" s="28"/>
      <c r="EE90" s="28"/>
      <c r="EF90" s="28"/>
      <c r="EG90" s="28"/>
      <c r="EH90" s="28"/>
      <c r="EI90" s="28"/>
      <c r="EJ90" s="28"/>
      <c r="EK90" s="28"/>
      <c r="EL90" s="28"/>
      <c r="EM90" s="28"/>
      <c r="EN90" s="28"/>
      <c r="EO90" s="28"/>
      <c r="EP90" s="28"/>
      <c r="EQ90" s="28"/>
      <c r="ER90" s="28"/>
      <c r="ES90" s="28"/>
      <c r="ET90" s="28"/>
      <c r="EU90" s="28"/>
      <c r="EV90" s="28"/>
      <c r="EW90" s="28"/>
      <c r="EX90" s="28"/>
      <c r="EY90" s="28"/>
      <c r="EZ90" s="28"/>
      <c r="FA90" s="28"/>
      <c r="FB90" s="28"/>
      <c r="FC90" s="28"/>
      <c r="FD90" s="28"/>
      <c r="FE90" s="28"/>
      <c r="FF90" s="28"/>
      <c r="FG90" s="28"/>
      <c r="FH90" s="28"/>
      <c r="FI90" s="28"/>
      <c r="FJ90" s="28"/>
      <c r="FK90" s="28"/>
      <c r="FL90" s="28"/>
      <c r="FM90" s="28"/>
      <c r="FN90" s="28"/>
      <c r="FO90" s="28"/>
      <c r="FP90" s="28"/>
      <c r="FQ90" s="28"/>
      <c r="FR90" s="28"/>
      <c r="FS90" s="28"/>
      <c r="FT90" s="28"/>
      <c r="FU90" s="28"/>
      <c r="FV90" s="28"/>
      <c r="FW90" s="28"/>
      <c r="FX90" s="28"/>
      <c r="FY90" s="28"/>
      <c r="FZ90" s="28"/>
      <c r="GA90" s="28"/>
      <c r="GB90" s="28"/>
      <c r="GC90" s="28"/>
      <c r="GD90" s="28"/>
      <c r="GE90" s="28"/>
      <c r="GF90" s="28"/>
      <c r="GG90" s="28"/>
      <c r="GH90" s="28"/>
      <c r="GI90" s="28"/>
      <c r="GJ90" s="28"/>
      <c r="GK90" s="28"/>
      <c r="GL90" s="28"/>
      <c r="GM90" s="62"/>
      <c r="GN90" s="28"/>
      <c r="GO90" s="28"/>
      <c r="GP90" s="28"/>
      <c r="GQ90" s="28"/>
      <c r="GR90" s="28"/>
      <c r="GS90" s="28"/>
      <c r="GT90" s="28"/>
      <c r="GU90" s="28"/>
      <c r="GV90" s="28"/>
      <c r="GW90" s="28"/>
      <c r="GX90" s="28"/>
      <c r="GY90" s="28"/>
      <c r="GZ90" s="28"/>
      <c r="HA90" s="28"/>
      <c r="HB90" s="28"/>
      <c r="HC90" s="28"/>
      <c r="HD90" s="28"/>
      <c r="HE90" s="28"/>
      <c r="HF90" s="28"/>
      <c r="HG90" s="28"/>
      <c r="HH90" s="28"/>
      <c r="HI90" s="28"/>
      <c r="HJ90" s="28"/>
      <c r="HK90" s="28"/>
      <c r="HL90" s="28"/>
      <c r="HM90" s="28"/>
      <c r="HN90" s="28"/>
      <c r="HO90" s="28"/>
      <c r="HP90" s="28"/>
      <c r="HQ90" s="28"/>
      <c r="HR90" s="28"/>
      <c r="HS90" s="28"/>
      <c r="HT90" s="28"/>
      <c r="HU90" s="28"/>
      <c r="HV90" s="28"/>
      <c r="HW90" s="28"/>
      <c r="HX90" s="28"/>
      <c r="HY90" s="28"/>
      <c r="HZ90" s="28"/>
      <c r="IA90" s="28"/>
      <c r="IB90" s="28"/>
      <c r="IC90" s="28"/>
      <c r="ID90" s="28"/>
      <c r="IE90" s="28"/>
      <c r="IF90" s="28"/>
      <c r="IG90" s="28"/>
      <c r="IH90" s="28"/>
      <c r="II90" s="28"/>
      <c r="IJ90" s="28"/>
      <c r="IK90" s="28"/>
      <c r="IL90" s="28"/>
      <c r="IM90" s="28"/>
      <c r="IN90" s="28"/>
      <c r="IO90" s="28"/>
      <c r="IP90" s="28"/>
      <c r="IQ90" s="28"/>
      <c r="IR90" s="28"/>
      <c r="IS90" s="28"/>
      <c r="IT90" s="28"/>
      <c r="IU90" s="28"/>
      <c r="IV90" s="28"/>
      <c r="IW90" s="28"/>
      <c r="IX90" s="28"/>
      <c r="IY90" s="28"/>
      <c r="IZ90" s="28"/>
      <c r="JA90" s="28"/>
      <c r="JB90" s="28"/>
      <c r="JC90" s="28"/>
      <c r="JD90" s="28"/>
      <c r="JE90" s="28"/>
      <c r="JF90" s="28"/>
      <c r="JG90" s="28"/>
      <c r="JH90" s="28"/>
      <c r="JI90" s="28"/>
      <c r="JJ90" s="28"/>
      <c r="JK90" s="28"/>
      <c r="JL90" s="28"/>
      <c r="JM90" s="28"/>
      <c r="JN90" s="28"/>
      <c r="JO90" s="28"/>
      <c r="JP90" s="28"/>
      <c r="JQ90" s="28"/>
      <c r="JR90" s="28"/>
      <c r="JS90" s="28"/>
      <c r="JT90" s="62"/>
      <c r="JU90" s="28"/>
      <c r="JV90" s="28"/>
      <c r="JW90" s="28"/>
      <c r="JX90" s="28"/>
      <c r="JY90" s="28"/>
      <c r="JZ90" s="62"/>
      <c r="KA90" s="28"/>
      <c r="KB90" s="28"/>
      <c r="KC90" s="28"/>
      <c r="KD90" s="62"/>
      <c r="KE90" s="28"/>
      <c r="KF90" s="28"/>
      <c r="KG90" s="28"/>
      <c r="KH90" s="28"/>
      <c r="KI90" s="28"/>
      <c r="KJ90" s="28"/>
      <c r="KK90" s="28"/>
      <c r="KL90" s="28"/>
      <c r="KM90" s="28"/>
      <c r="KN90" s="62"/>
      <c r="KO90" s="28"/>
      <c r="KP90" s="28"/>
      <c r="KQ90" s="28"/>
      <c r="KR90" s="28"/>
      <c r="KS90" s="28"/>
      <c r="KT90" s="28"/>
      <c r="KU90" s="28"/>
      <c r="KV90" s="28"/>
      <c r="KW90" s="28"/>
      <c r="KX90" s="28"/>
      <c r="KY90" s="28"/>
      <c r="KZ90" s="28"/>
      <c r="LA90" s="28"/>
      <c r="LB90" s="28"/>
      <c r="LC90" s="28"/>
      <c r="LD90" s="28"/>
      <c r="LE90" s="62"/>
      <c r="LF90" s="28"/>
      <c r="LG90" s="28"/>
      <c r="LH90" s="28"/>
      <c r="LI90" s="28"/>
      <c r="LJ90" s="28"/>
      <c r="LK90" s="110"/>
    </row>
    <row r="91">
      <c r="A91" s="49" t="s">
        <v>304</v>
      </c>
      <c r="B91" s="149"/>
      <c r="C91" s="87"/>
      <c r="D91" s="147"/>
      <c r="E91" s="146"/>
      <c r="F91" s="146"/>
      <c r="G91" s="149"/>
      <c r="H91" s="146"/>
      <c r="I91" s="53"/>
      <c r="J91" s="53"/>
      <c r="K91" s="146"/>
      <c r="L91" s="149"/>
      <c r="M91" s="146"/>
      <c r="N91" s="52"/>
      <c r="O91" s="146"/>
      <c r="P91" s="53"/>
      <c r="Q91" s="146"/>
      <c r="R91" s="146"/>
      <c r="S91" s="146"/>
      <c r="T91" s="53"/>
      <c r="U91" s="27"/>
      <c r="V91" s="28"/>
      <c r="W91" s="28"/>
      <c r="X91" s="195"/>
      <c r="Y91" s="27"/>
      <c r="AB91" s="27"/>
      <c r="AC91" s="27"/>
      <c r="AD91" s="28"/>
      <c r="AE91" s="28"/>
      <c r="AF91" s="28"/>
      <c r="AG91" s="28"/>
      <c r="AH91" s="28"/>
      <c r="AI91" s="28"/>
      <c r="AJ91" s="27"/>
      <c r="AK91" s="28"/>
      <c r="AL91" s="28"/>
      <c r="AM91" s="28"/>
      <c r="AN91" s="28"/>
      <c r="AO91" s="27"/>
      <c r="AP91" s="27"/>
      <c r="AQ91" s="28"/>
      <c r="AR91" s="28"/>
      <c r="AS91" s="28"/>
      <c r="AT91" s="28"/>
      <c r="AU91" s="28"/>
      <c r="AV91" s="62"/>
      <c r="AW91" s="62"/>
      <c r="AX91" s="27"/>
      <c r="AY91" s="27"/>
      <c r="AZ91" s="27"/>
      <c r="BA91" s="28"/>
      <c r="BB91" s="27"/>
      <c r="BC91" s="27"/>
      <c r="BD91" s="27"/>
      <c r="BE91" s="28"/>
      <c r="BF91" s="27"/>
      <c r="BG91" s="28"/>
      <c r="BH91" s="28"/>
      <c r="BI91" s="28"/>
      <c r="BJ91" s="27"/>
      <c r="BK91" s="28"/>
      <c r="BL91" s="28"/>
      <c r="BM91" s="27"/>
      <c r="BN91" s="27"/>
      <c r="BO91" s="28"/>
      <c r="BP91" s="27"/>
      <c r="BQ91" s="28"/>
      <c r="BR91" s="27"/>
      <c r="BS91" s="28"/>
      <c r="BT91" s="28"/>
      <c r="BU91" s="27"/>
      <c r="BV91" s="28"/>
      <c r="BW91" s="27"/>
      <c r="BX91" s="28"/>
      <c r="BY91" s="28"/>
      <c r="BZ91" s="28"/>
      <c r="CA91" s="27"/>
      <c r="CB91" s="28"/>
      <c r="CC91" s="62"/>
      <c r="CD91" s="62"/>
      <c r="CF91" s="49" t="s">
        <v>304</v>
      </c>
      <c r="CG91" s="27"/>
      <c r="CH91" s="28"/>
      <c r="CI91" s="27"/>
      <c r="CJ91" s="28"/>
      <c r="CK91" s="27"/>
      <c r="CL91" s="27"/>
      <c r="CM91" s="27"/>
      <c r="CN91" s="28"/>
      <c r="CO91" s="28"/>
      <c r="CP91" s="28"/>
      <c r="CQ91" s="28"/>
      <c r="CR91" s="28"/>
      <c r="CS91" s="28"/>
      <c r="CT91" s="27"/>
      <c r="CU91" s="28"/>
      <c r="CV91" s="28"/>
      <c r="CW91" s="28"/>
      <c r="CX91" s="27"/>
      <c r="CY91" s="27"/>
      <c r="CZ91" s="28"/>
      <c r="DA91" s="28"/>
      <c r="DB91" s="27"/>
      <c r="DC91" s="28"/>
      <c r="DD91" s="27"/>
      <c r="DE91" s="28"/>
      <c r="DF91" s="28"/>
      <c r="DG91" s="27"/>
      <c r="DH91" s="28"/>
      <c r="DI91" s="27"/>
      <c r="DJ91" s="28"/>
      <c r="DK91" s="28"/>
      <c r="DL91" s="28"/>
      <c r="DM91" s="28"/>
      <c r="DP91" s="64"/>
      <c r="DQ91" s="49" t="s">
        <v>304</v>
      </c>
      <c r="DR91" s="28"/>
      <c r="DS91" s="28"/>
      <c r="DT91" s="28"/>
      <c r="DU91" s="28"/>
      <c r="DV91" s="62"/>
      <c r="DW91" s="28"/>
      <c r="DX91" s="28"/>
      <c r="DY91" s="28"/>
      <c r="DZ91" s="28"/>
      <c r="EA91" s="28"/>
      <c r="EB91" s="28"/>
      <c r="EC91" s="28"/>
      <c r="ED91" s="28"/>
      <c r="EE91" s="28"/>
      <c r="EF91" s="28"/>
      <c r="EG91" s="28"/>
      <c r="EH91" s="28"/>
      <c r="EI91" s="28"/>
      <c r="EJ91" s="28"/>
      <c r="EK91" s="28"/>
      <c r="EL91" s="28"/>
      <c r="EM91" s="28"/>
      <c r="EN91" s="28"/>
      <c r="EO91" s="28"/>
      <c r="EP91" s="28"/>
      <c r="EQ91" s="28"/>
      <c r="ER91" s="28"/>
      <c r="ES91" s="28"/>
      <c r="ET91" s="28"/>
      <c r="EU91" s="28"/>
      <c r="EV91" s="28"/>
      <c r="EW91" s="28"/>
      <c r="EX91" s="28"/>
      <c r="EY91" s="28"/>
      <c r="EZ91" s="28"/>
      <c r="FA91" s="28"/>
      <c r="FB91" s="28"/>
      <c r="FC91" s="28"/>
      <c r="FD91" s="28"/>
      <c r="FE91" s="28"/>
      <c r="FF91" s="28"/>
      <c r="FG91" s="28"/>
      <c r="FH91" s="28"/>
      <c r="FI91" s="28"/>
      <c r="FJ91" s="28"/>
      <c r="FK91" s="28"/>
      <c r="FL91" s="28"/>
      <c r="FM91" s="28"/>
      <c r="FN91" s="28"/>
      <c r="FO91" s="28"/>
      <c r="FP91" s="28"/>
      <c r="FQ91" s="28"/>
      <c r="FR91" s="28"/>
      <c r="FS91" s="28"/>
      <c r="FT91" s="28"/>
      <c r="FU91" s="28"/>
      <c r="FV91" s="28"/>
      <c r="FW91" s="28"/>
      <c r="FX91" s="28"/>
      <c r="FY91" s="28"/>
      <c r="FZ91" s="28"/>
      <c r="GA91" s="28"/>
      <c r="GB91" s="28"/>
      <c r="GC91" s="28"/>
      <c r="GD91" s="28"/>
      <c r="GE91" s="28"/>
      <c r="GF91" s="28"/>
      <c r="GG91" s="28"/>
      <c r="GH91" s="28"/>
      <c r="GI91" s="28"/>
      <c r="GJ91" s="28"/>
      <c r="GK91" s="28"/>
      <c r="GL91" s="28"/>
      <c r="GM91" s="62"/>
      <c r="GN91" s="28"/>
      <c r="GO91" s="28"/>
      <c r="GP91" s="28"/>
      <c r="GQ91" s="28"/>
      <c r="GR91" s="28"/>
      <c r="GS91" s="28"/>
      <c r="GT91" s="28"/>
      <c r="GU91" s="28"/>
      <c r="GV91" s="28"/>
      <c r="GW91" s="28"/>
      <c r="GX91" s="28"/>
      <c r="GY91" s="28"/>
      <c r="GZ91" s="28"/>
      <c r="HA91" s="28"/>
      <c r="HB91" s="28"/>
      <c r="HC91" s="28"/>
      <c r="HD91" s="28"/>
      <c r="HE91" s="28"/>
      <c r="HF91" s="28"/>
      <c r="HG91" s="28"/>
      <c r="HH91" s="28"/>
      <c r="HI91" s="28"/>
      <c r="HJ91" s="28"/>
      <c r="HK91" s="28"/>
      <c r="HL91" s="28"/>
      <c r="HM91" s="28"/>
      <c r="HN91" s="28"/>
      <c r="HO91" s="28"/>
      <c r="HP91" s="28"/>
      <c r="HQ91" s="28"/>
      <c r="HR91" s="28"/>
      <c r="HS91" s="28"/>
      <c r="HT91" s="28"/>
      <c r="HU91" s="28"/>
      <c r="HV91" s="28"/>
      <c r="HW91" s="28"/>
      <c r="HX91" s="28"/>
      <c r="HY91" s="28"/>
      <c r="HZ91" s="28"/>
      <c r="IA91" s="28"/>
      <c r="IB91" s="28"/>
      <c r="IC91" s="28"/>
      <c r="ID91" s="28"/>
      <c r="IE91" s="28"/>
      <c r="IF91" s="28"/>
      <c r="IG91" s="28"/>
      <c r="IH91" s="28"/>
      <c r="II91" s="28"/>
      <c r="IJ91" s="28"/>
      <c r="IK91" s="28"/>
      <c r="IL91" s="28"/>
      <c r="IM91" s="28"/>
      <c r="IN91" s="28"/>
      <c r="IO91" s="28"/>
      <c r="IP91" s="28"/>
      <c r="IQ91" s="28"/>
      <c r="IR91" s="28"/>
      <c r="IS91" s="28"/>
      <c r="IT91" s="28"/>
      <c r="IU91" s="28"/>
      <c r="IV91" s="28"/>
      <c r="IW91" s="28"/>
      <c r="IX91" s="28"/>
      <c r="IY91" s="28"/>
      <c r="IZ91" s="28"/>
      <c r="JA91" s="28"/>
      <c r="JB91" s="28"/>
      <c r="JC91" s="28"/>
      <c r="JD91" s="28"/>
      <c r="JE91" s="28"/>
      <c r="JF91" s="28"/>
      <c r="JG91" s="28"/>
      <c r="JH91" s="28"/>
      <c r="JI91" s="28"/>
      <c r="JJ91" s="28"/>
      <c r="JK91" s="28"/>
      <c r="JL91" s="28"/>
      <c r="JM91" s="28"/>
      <c r="JN91" s="28"/>
      <c r="JO91" s="28"/>
      <c r="JP91" s="28"/>
      <c r="JQ91" s="28"/>
      <c r="JR91" s="28"/>
      <c r="JS91" s="28"/>
      <c r="JT91" s="62"/>
      <c r="JU91" s="28"/>
      <c r="JV91" s="28"/>
      <c r="JW91" s="28"/>
      <c r="JX91" s="28"/>
      <c r="JY91" s="28"/>
      <c r="JZ91" s="62"/>
      <c r="KA91" s="28"/>
      <c r="KB91" s="28"/>
      <c r="KC91" s="28"/>
      <c r="KD91" s="62"/>
      <c r="KE91" s="28"/>
      <c r="KF91" s="28"/>
      <c r="KG91" s="28"/>
      <c r="KH91" s="28"/>
      <c r="KI91" s="28"/>
      <c r="KJ91" s="28"/>
      <c r="KK91" s="28"/>
      <c r="KL91" s="28"/>
      <c r="KM91" s="28"/>
      <c r="KN91" s="62"/>
      <c r="KO91" s="28"/>
      <c r="KP91" s="28"/>
      <c r="KQ91" s="28"/>
      <c r="KR91" s="28"/>
      <c r="KS91" s="28"/>
      <c r="KT91" s="28"/>
      <c r="KU91" s="28"/>
      <c r="KV91" s="28"/>
      <c r="KW91" s="28"/>
      <c r="KX91" s="28"/>
      <c r="KY91" s="28"/>
      <c r="KZ91" s="28"/>
      <c r="LA91" s="28"/>
      <c r="LB91" s="28"/>
      <c r="LC91" s="28"/>
      <c r="LD91" s="28"/>
      <c r="LE91" s="62"/>
      <c r="LF91" s="28"/>
      <c r="LG91" s="28"/>
      <c r="LH91" s="28"/>
      <c r="LI91" s="28"/>
      <c r="LJ91" s="28"/>
      <c r="LK91" s="110"/>
    </row>
    <row r="92">
      <c r="A92" s="49" t="s">
        <v>313</v>
      </c>
      <c r="B92" s="149"/>
      <c r="C92" s="87"/>
      <c r="D92" s="147"/>
      <c r="E92" s="146"/>
      <c r="F92" s="146"/>
      <c r="G92" s="149"/>
      <c r="H92" s="146"/>
      <c r="I92" s="53"/>
      <c r="J92" s="53"/>
      <c r="K92" s="146"/>
      <c r="L92" s="149"/>
      <c r="M92" s="146"/>
      <c r="N92" s="52"/>
      <c r="O92" s="146"/>
      <c r="P92" s="53"/>
      <c r="Q92" s="146"/>
      <c r="R92" s="146"/>
      <c r="S92" s="146"/>
      <c r="T92" s="53"/>
      <c r="U92" s="27"/>
      <c r="V92" s="28"/>
      <c r="W92" s="28"/>
      <c r="X92" s="195"/>
      <c r="Y92" s="27"/>
      <c r="AB92" s="27"/>
      <c r="AC92" s="27"/>
      <c r="AD92" s="28"/>
      <c r="AE92" s="28"/>
      <c r="AF92" s="28"/>
      <c r="AG92" s="28"/>
      <c r="AH92" s="28"/>
      <c r="AI92" s="28"/>
      <c r="AJ92" s="27"/>
      <c r="AK92" s="28"/>
      <c r="AL92" s="28"/>
      <c r="AM92" s="28"/>
      <c r="AN92" s="28"/>
      <c r="AO92" s="27"/>
      <c r="AP92" s="27"/>
      <c r="AQ92" s="28"/>
      <c r="AR92" s="28"/>
      <c r="AS92" s="28"/>
      <c r="AT92" s="28"/>
      <c r="AU92" s="28"/>
      <c r="AV92" s="62"/>
      <c r="AW92" s="62"/>
      <c r="AX92" s="27"/>
      <c r="AY92" s="27"/>
      <c r="AZ92" s="27"/>
      <c r="BA92" s="28"/>
      <c r="BB92" s="27"/>
      <c r="BC92" s="27"/>
      <c r="BD92" s="27"/>
      <c r="BE92" s="28"/>
      <c r="BF92" s="27"/>
      <c r="BG92" s="28"/>
      <c r="BH92" s="28"/>
      <c r="BI92" s="28"/>
      <c r="BJ92" s="27"/>
      <c r="BK92" s="28"/>
      <c r="BL92" s="28"/>
      <c r="BM92" s="27"/>
      <c r="BN92" s="27"/>
      <c r="BO92" s="28"/>
      <c r="BP92" s="27"/>
      <c r="BQ92" s="28"/>
      <c r="BR92" s="27"/>
      <c r="BS92" s="28"/>
      <c r="BT92" s="28"/>
      <c r="BU92" s="27"/>
      <c r="BV92" s="28"/>
      <c r="BW92" s="27"/>
      <c r="BX92" s="28"/>
      <c r="BY92" s="28"/>
      <c r="BZ92" s="28"/>
      <c r="CA92" s="27"/>
      <c r="CB92" s="28"/>
      <c r="CC92" s="62"/>
      <c r="CD92" s="62"/>
      <c r="CF92" s="49" t="s">
        <v>313</v>
      </c>
      <c r="CG92" s="27"/>
      <c r="CH92" s="98"/>
      <c r="CI92" s="98"/>
      <c r="CJ92" s="98"/>
      <c r="CK92" s="98"/>
      <c r="CL92" s="27"/>
      <c r="CM92" s="27"/>
      <c r="CN92" s="98"/>
      <c r="CO92" s="98"/>
      <c r="CP92" s="98"/>
      <c r="CQ92" s="98"/>
      <c r="CR92" s="98"/>
      <c r="CS92" s="98"/>
      <c r="CT92" s="98"/>
      <c r="CU92" s="98"/>
      <c r="CV92" s="98"/>
      <c r="CW92" s="98"/>
      <c r="CX92" s="98"/>
      <c r="CY92" s="98"/>
      <c r="CZ92" s="98"/>
      <c r="DA92" s="98"/>
      <c r="DB92" s="27"/>
      <c r="DC92" s="98"/>
      <c r="DD92" s="98"/>
      <c r="DE92" s="98"/>
      <c r="DF92" s="98"/>
      <c r="DG92" s="27"/>
      <c r="DH92" s="98"/>
      <c r="DI92" s="98"/>
      <c r="DJ92" s="98"/>
      <c r="DK92" s="98"/>
      <c r="DL92" s="98"/>
      <c r="DM92" s="98"/>
      <c r="DP92" s="64"/>
      <c r="DQ92" s="49" t="s">
        <v>313</v>
      </c>
      <c r="DR92" s="28"/>
      <c r="DS92" s="28"/>
      <c r="DT92" s="28"/>
      <c r="DU92" s="28"/>
      <c r="DV92" s="62"/>
      <c r="DW92" s="28"/>
      <c r="DX92" s="28"/>
      <c r="DY92" s="28"/>
      <c r="DZ92" s="28"/>
      <c r="EA92" s="28"/>
      <c r="EB92" s="28"/>
      <c r="EC92" s="28"/>
      <c r="ED92" s="28"/>
      <c r="EE92" s="28"/>
      <c r="EF92" s="28"/>
      <c r="EG92" s="28"/>
      <c r="EH92" s="28"/>
      <c r="EI92" s="28"/>
      <c r="EJ92" s="28"/>
      <c r="EK92" s="28"/>
      <c r="EL92" s="28"/>
      <c r="EM92" s="28"/>
      <c r="EN92" s="28"/>
      <c r="EO92" s="28"/>
      <c r="EP92" s="28"/>
      <c r="EQ92" s="28"/>
      <c r="ER92" s="28"/>
      <c r="ES92" s="28"/>
      <c r="ET92" s="28"/>
      <c r="EU92" s="28"/>
      <c r="EV92" s="28"/>
      <c r="EW92" s="28"/>
      <c r="EX92" s="28"/>
      <c r="EY92" s="28"/>
      <c r="EZ92" s="28"/>
      <c r="FA92" s="28"/>
      <c r="FB92" s="28"/>
      <c r="FC92" s="28"/>
      <c r="FD92" s="28"/>
      <c r="FE92" s="28"/>
      <c r="FF92" s="28"/>
      <c r="FG92" s="28"/>
      <c r="FH92" s="28"/>
      <c r="FI92" s="28"/>
      <c r="FJ92" s="28"/>
      <c r="FK92" s="28"/>
      <c r="FL92" s="28"/>
      <c r="FM92" s="28"/>
      <c r="FN92" s="28"/>
      <c r="FO92" s="28"/>
      <c r="FP92" s="28"/>
      <c r="FQ92" s="28"/>
      <c r="FR92" s="28"/>
      <c r="FS92" s="28"/>
      <c r="FT92" s="28"/>
      <c r="FU92" s="28"/>
      <c r="FV92" s="28"/>
      <c r="FW92" s="28"/>
      <c r="FX92" s="28"/>
      <c r="FY92" s="28"/>
      <c r="FZ92" s="28"/>
      <c r="GA92" s="28"/>
      <c r="GB92" s="28"/>
      <c r="GC92" s="28"/>
      <c r="GD92" s="28"/>
      <c r="GE92" s="28"/>
      <c r="GF92" s="28"/>
      <c r="GG92" s="28"/>
      <c r="GH92" s="28"/>
      <c r="GI92" s="28"/>
      <c r="GJ92" s="28"/>
      <c r="GK92" s="28"/>
      <c r="GL92" s="28"/>
      <c r="GM92" s="62"/>
      <c r="GN92" s="28"/>
      <c r="GO92" s="28"/>
      <c r="GP92" s="28"/>
      <c r="GQ92" s="27"/>
      <c r="GR92" s="27"/>
      <c r="GS92" s="27"/>
      <c r="GT92" s="27"/>
      <c r="GU92" s="27"/>
      <c r="GV92" s="27"/>
      <c r="GW92" s="27"/>
      <c r="GX92" s="27"/>
      <c r="GY92" s="27"/>
      <c r="GZ92" s="27"/>
      <c r="HA92" s="27"/>
      <c r="HB92" s="27"/>
      <c r="HC92" s="27"/>
      <c r="HD92" s="27"/>
      <c r="HE92" s="27"/>
      <c r="HF92" s="27"/>
      <c r="HG92" s="27"/>
      <c r="HH92" s="27"/>
      <c r="HI92" s="27"/>
      <c r="HJ92" s="27"/>
      <c r="HK92" s="27"/>
      <c r="HL92" s="27"/>
      <c r="HM92" s="27"/>
      <c r="HN92" s="27"/>
      <c r="HO92" s="27"/>
      <c r="HP92" s="27"/>
      <c r="HQ92" s="27"/>
      <c r="HR92" s="27"/>
      <c r="HS92" s="27"/>
      <c r="HT92" s="27"/>
      <c r="HU92" s="27"/>
      <c r="HV92" s="27"/>
      <c r="HW92" s="27"/>
      <c r="HX92" s="27"/>
      <c r="HY92" s="27"/>
      <c r="HZ92" s="27"/>
      <c r="IA92" s="27"/>
      <c r="IB92" s="27"/>
      <c r="IC92" s="27"/>
      <c r="ID92" s="27"/>
      <c r="IE92" s="27"/>
      <c r="IF92" s="27"/>
      <c r="IG92" s="27"/>
      <c r="IH92" s="27"/>
      <c r="II92" s="27"/>
      <c r="IJ92" s="27"/>
      <c r="IK92" s="27"/>
      <c r="IL92" s="27"/>
      <c r="IM92" s="27"/>
      <c r="IN92" s="27"/>
      <c r="IO92" s="27"/>
      <c r="IP92" s="27"/>
      <c r="IQ92" s="27"/>
      <c r="IR92" s="27"/>
      <c r="IS92" s="27"/>
      <c r="IT92" s="27"/>
      <c r="IU92" s="27"/>
      <c r="IV92" s="27"/>
      <c r="IW92" s="27"/>
      <c r="IX92" s="27"/>
      <c r="IY92" s="27"/>
      <c r="IZ92" s="27"/>
      <c r="JA92" s="27"/>
      <c r="JB92" s="27"/>
      <c r="JC92" s="27"/>
      <c r="JD92" s="27"/>
      <c r="JE92" s="27"/>
      <c r="JF92" s="27"/>
      <c r="JG92" s="27"/>
      <c r="JH92" s="27"/>
      <c r="JI92" s="27"/>
      <c r="JJ92" s="27"/>
      <c r="JK92" s="27"/>
      <c r="JL92" s="27"/>
      <c r="JM92" s="27"/>
      <c r="JN92" s="27"/>
      <c r="JO92" s="27"/>
      <c r="JP92" s="27"/>
      <c r="JQ92" s="27"/>
      <c r="JR92" s="27"/>
      <c r="JS92" s="27"/>
      <c r="JT92" s="27"/>
      <c r="JU92" s="27"/>
      <c r="JV92" s="27"/>
      <c r="JW92" s="27"/>
      <c r="JX92" s="27"/>
      <c r="JY92" s="27"/>
      <c r="JZ92" s="27"/>
      <c r="KA92" s="27"/>
      <c r="KB92" s="27"/>
      <c r="KC92" s="27"/>
      <c r="KD92" s="27"/>
      <c r="KE92" s="27"/>
      <c r="KF92" s="27"/>
      <c r="KG92" s="27"/>
      <c r="KH92" s="27"/>
      <c r="KI92" s="27"/>
      <c r="KJ92" s="27"/>
      <c r="KK92" s="27"/>
      <c r="KL92" s="27"/>
      <c r="KM92" s="27"/>
      <c r="KN92" s="27"/>
      <c r="KO92" s="27"/>
      <c r="KP92" s="27"/>
      <c r="KQ92" s="27"/>
      <c r="KR92" s="27"/>
      <c r="KS92" s="27"/>
      <c r="KT92" s="27"/>
      <c r="KU92" s="27"/>
      <c r="KV92" s="27"/>
      <c r="KW92" s="27"/>
      <c r="KX92" s="27"/>
      <c r="KY92" s="27"/>
      <c r="KZ92" s="27"/>
      <c r="LA92" s="27"/>
      <c r="LB92" s="27"/>
      <c r="LC92" s="27"/>
      <c r="LD92" s="27"/>
      <c r="LE92" s="27"/>
      <c r="LF92" s="27"/>
      <c r="LG92" s="27"/>
      <c r="LH92" s="27"/>
      <c r="LI92" s="27"/>
      <c r="LJ92" s="27"/>
      <c r="LK92" s="110"/>
    </row>
    <row r="93">
      <c r="A93" s="49" t="s">
        <v>316</v>
      </c>
      <c r="B93" s="149"/>
      <c r="C93" s="87"/>
      <c r="D93" s="147"/>
      <c r="E93" s="146"/>
      <c r="F93" s="146"/>
      <c r="G93" s="149"/>
      <c r="H93" s="146"/>
      <c r="I93" s="53"/>
      <c r="J93" s="53"/>
      <c r="K93" s="146"/>
      <c r="L93" s="149"/>
      <c r="M93" s="146"/>
      <c r="N93" s="52"/>
      <c r="O93" s="146"/>
      <c r="P93" s="53"/>
      <c r="Q93" s="146"/>
      <c r="R93" s="146"/>
      <c r="S93" s="146"/>
      <c r="T93" s="53"/>
      <c r="U93" s="27"/>
      <c r="V93" s="28"/>
      <c r="W93" s="28"/>
      <c r="X93" s="195"/>
      <c r="Y93" s="27"/>
      <c r="AB93" s="27"/>
      <c r="AC93" s="27"/>
      <c r="AD93" s="28"/>
      <c r="AE93" s="28"/>
      <c r="AF93" s="28"/>
      <c r="AG93" s="28"/>
      <c r="AH93" s="28"/>
      <c r="AI93" s="28"/>
      <c r="AJ93" s="27"/>
      <c r="AK93" s="28"/>
      <c r="AL93" s="28"/>
      <c r="AM93" s="28"/>
      <c r="AN93" s="28"/>
      <c r="AO93" s="27"/>
      <c r="AP93" s="27"/>
      <c r="AQ93" s="28"/>
      <c r="AR93" s="28"/>
      <c r="AS93" s="28"/>
      <c r="AT93" s="28"/>
      <c r="AU93" s="28"/>
      <c r="AV93" s="62"/>
      <c r="AW93" s="62"/>
      <c r="AX93" s="27"/>
      <c r="AY93" s="27"/>
      <c r="AZ93" s="27"/>
      <c r="BA93" s="28"/>
      <c r="BB93" s="27"/>
      <c r="BC93" s="27"/>
      <c r="BD93" s="27"/>
      <c r="BE93" s="28"/>
      <c r="BF93" s="27"/>
      <c r="BG93" s="28"/>
      <c r="BH93" s="28"/>
      <c r="BI93" s="28"/>
      <c r="BJ93" s="27"/>
      <c r="BK93" s="28"/>
      <c r="BL93" s="28"/>
      <c r="BM93" s="27"/>
      <c r="BN93" s="27"/>
      <c r="BO93" s="28"/>
      <c r="BP93" s="27"/>
      <c r="BQ93" s="28"/>
      <c r="BR93" s="27"/>
      <c r="BS93" s="28"/>
      <c r="BT93" s="28"/>
      <c r="BU93" s="27"/>
      <c r="BV93" s="28"/>
      <c r="BW93" s="27"/>
      <c r="BX93" s="28"/>
      <c r="BY93" s="28"/>
      <c r="BZ93" s="28"/>
      <c r="CA93" s="27"/>
      <c r="CB93" s="28"/>
      <c r="CC93" s="62"/>
      <c r="CD93" s="62"/>
      <c r="CF93" s="49" t="s">
        <v>316</v>
      </c>
      <c r="CG93" s="27"/>
      <c r="CH93" s="98"/>
      <c r="CI93" s="98"/>
      <c r="CJ93" s="98"/>
      <c r="CK93" s="98"/>
      <c r="CL93" s="27"/>
      <c r="CM93" s="27"/>
      <c r="CN93" s="98"/>
      <c r="CO93" s="98"/>
      <c r="CP93" s="98"/>
      <c r="CQ93" s="98"/>
      <c r="CR93" s="98"/>
      <c r="CS93" s="98"/>
      <c r="CT93" s="98"/>
      <c r="CU93" s="98"/>
      <c r="CV93" s="98"/>
      <c r="CW93" s="98"/>
      <c r="CX93" s="98"/>
      <c r="CY93" s="98"/>
      <c r="CZ93" s="98"/>
      <c r="DA93" s="98"/>
      <c r="DB93" s="27"/>
      <c r="DC93" s="98"/>
      <c r="DD93" s="98"/>
      <c r="DE93" s="98"/>
      <c r="DF93" s="98"/>
      <c r="DG93" s="27"/>
      <c r="DH93" s="98"/>
      <c r="DI93" s="98"/>
      <c r="DJ93" s="98"/>
      <c r="DK93" s="98"/>
      <c r="DL93" s="98"/>
      <c r="DM93" s="98"/>
      <c r="DP93" s="64"/>
      <c r="DQ93" s="49" t="s">
        <v>316</v>
      </c>
      <c r="DR93" s="28"/>
      <c r="DS93" s="28"/>
      <c r="DT93" s="28"/>
      <c r="DU93" s="28"/>
      <c r="DV93" s="62"/>
      <c r="DW93" s="28"/>
      <c r="DX93" s="28"/>
      <c r="DY93" s="28"/>
      <c r="DZ93" s="28"/>
      <c r="EA93" s="28"/>
      <c r="EB93" s="28"/>
      <c r="EC93" s="28"/>
      <c r="ED93" s="28"/>
      <c r="EE93" s="28"/>
      <c r="EF93" s="28"/>
      <c r="EG93" s="28"/>
      <c r="EH93" s="28"/>
      <c r="EI93" s="28"/>
      <c r="EJ93" s="28"/>
      <c r="EK93" s="28"/>
      <c r="EL93" s="28"/>
      <c r="EM93" s="28"/>
      <c r="EN93" s="28"/>
      <c r="EO93" s="28"/>
      <c r="EP93" s="28"/>
      <c r="EQ93" s="28"/>
      <c r="ER93" s="28"/>
      <c r="ES93" s="28"/>
      <c r="ET93" s="28"/>
      <c r="EU93" s="28"/>
      <c r="EV93" s="28"/>
      <c r="EW93" s="28"/>
      <c r="EX93" s="28"/>
      <c r="EY93" s="28"/>
      <c r="EZ93" s="28"/>
      <c r="FA93" s="28"/>
      <c r="FB93" s="28"/>
      <c r="FC93" s="28"/>
      <c r="FD93" s="28"/>
      <c r="FE93" s="28"/>
      <c r="FF93" s="28"/>
      <c r="FG93" s="28"/>
      <c r="FH93" s="27"/>
      <c r="FI93" s="28"/>
      <c r="FJ93" s="28"/>
      <c r="FK93" s="27"/>
      <c r="FL93" s="28"/>
      <c r="FM93" s="28"/>
      <c r="FN93" s="28"/>
      <c r="FO93" s="28"/>
      <c r="FP93" s="28"/>
      <c r="FQ93" s="202"/>
      <c r="FR93" s="28"/>
      <c r="FS93" s="28"/>
      <c r="FT93" s="28"/>
      <c r="FU93" s="28"/>
      <c r="FV93" s="28"/>
      <c r="FW93" s="28"/>
      <c r="FX93" s="28"/>
      <c r="FY93" s="28"/>
      <c r="FZ93" s="28"/>
      <c r="GA93" s="28"/>
      <c r="GB93" s="28"/>
      <c r="GC93" s="28"/>
      <c r="GD93" s="28"/>
      <c r="GE93" s="28"/>
      <c r="GF93" s="28"/>
      <c r="GG93" s="28"/>
      <c r="GH93" s="28"/>
      <c r="GI93" s="28"/>
      <c r="GJ93" s="28"/>
      <c r="GK93" s="28"/>
      <c r="GL93" s="28"/>
      <c r="GM93" s="62"/>
      <c r="GN93" s="28"/>
      <c r="GO93" s="28"/>
      <c r="GP93" s="28"/>
      <c r="GQ93" s="28"/>
      <c r="GR93" s="28"/>
      <c r="GS93" s="28"/>
      <c r="GT93" s="28"/>
      <c r="GU93" s="28"/>
      <c r="GV93" s="28"/>
      <c r="GW93" s="28"/>
      <c r="GX93" s="28"/>
      <c r="GY93" s="28"/>
      <c r="GZ93" s="28"/>
      <c r="HA93" s="28"/>
      <c r="HB93" s="28"/>
      <c r="HC93" s="28"/>
      <c r="HD93" s="28"/>
      <c r="HE93" s="28"/>
      <c r="HF93" s="28"/>
      <c r="HG93" s="28"/>
      <c r="HH93" s="28"/>
      <c r="HI93" s="28"/>
      <c r="HJ93" s="28"/>
      <c r="HK93" s="28"/>
      <c r="HL93" s="28"/>
      <c r="HM93" s="28"/>
      <c r="HN93" s="28"/>
      <c r="HO93" s="28"/>
      <c r="HP93" s="28"/>
      <c r="HQ93" s="28"/>
      <c r="HR93" s="28"/>
      <c r="HS93" s="28"/>
      <c r="HT93" s="28"/>
      <c r="HU93" s="28"/>
      <c r="HV93" s="28"/>
      <c r="HW93" s="28"/>
      <c r="HX93" s="28"/>
      <c r="HY93" s="28"/>
      <c r="HZ93" s="28"/>
      <c r="IA93" s="28"/>
      <c r="IB93" s="28"/>
      <c r="IC93" s="28"/>
      <c r="ID93" s="28"/>
      <c r="IE93" s="28"/>
      <c r="IF93" s="28"/>
      <c r="IG93" s="28"/>
      <c r="IH93" s="28"/>
      <c r="II93" s="28"/>
      <c r="IJ93" s="28"/>
      <c r="IK93" s="28"/>
      <c r="IL93" s="28"/>
      <c r="IM93" s="28"/>
      <c r="IN93" s="28"/>
      <c r="IO93" s="28"/>
      <c r="IP93" s="28"/>
      <c r="IQ93" s="28"/>
      <c r="IR93" s="28"/>
      <c r="IS93" s="28"/>
      <c r="IT93" s="28"/>
      <c r="IU93" s="28"/>
      <c r="IV93" s="28"/>
      <c r="IW93" s="28"/>
      <c r="IX93" s="28"/>
      <c r="IY93" s="28"/>
      <c r="IZ93" s="28"/>
      <c r="JA93" s="28"/>
      <c r="JB93" s="28"/>
      <c r="JC93" s="28"/>
      <c r="JD93" s="28"/>
      <c r="JE93" s="28"/>
      <c r="JF93" s="28"/>
      <c r="JG93" s="28"/>
      <c r="JH93" s="28"/>
      <c r="JI93" s="28"/>
      <c r="JJ93" s="28"/>
      <c r="JK93" s="28"/>
      <c r="JL93" s="28"/>
      <c r="JM93" s="28"/>
      <c r="JN93" s="28"/>
      <c r="JO93" s="28"/>
      <c r="JP93" s="28"/>
      <c r="JQ93" s="28"/>
      <c r="JR93" s="28"/>
      <c r="JS93" s="28"/>
      <c r="JT93" s="62"/>
      <c r="JU93" s="28"/>
      <c r="JV93" s="28"/>
      <c r="JW93" s="28"/>
      <c r="JX93" s="28"/>
      <c r="JY93" s="28"/>
      <c r="JZ93" s="62"/>
      <c r="KA93" s="28"/>
      <c r="KB93" s="28"/>
      <c r="KC93" s="28"/>
      <c r="KD93" s="62"/>
      <c r="KE93" s="28"/>
      <c r="KF93" s="28"/>
      <c r="KG93" s="28"/>
      <c r="KH93" s="28"/>
      <c r="KI93" s="28"/>
      <c r="KJ93" s="28"/>
      <c r="KK93" s="28"/>
      <c r="KL93" s="28"/>
      <c r="KM93" s="28"/>
      <c r="KN93" s="62"/>
      <c r="KO93" s="28"/>
      <c r="KP93" s="28"/>
      <c r="KQ93" s="28"/>
      <c r="KR93" s="28"/>
      <c r="KS93" s="28"/>
      <c r="KT93" s="28"/>
      <c r="KU93" s="28"/>
      <c r="KV93" s="28"/>
      <c r="KW93" s="28"/>
      <c r="KX93" s="28"/>
      <c r="KY93" s="28"/>
      <c r="KZ93" s="28"/>
      <c r="LA93" s="28"/>
      <c r="LB93" s="28"/>
      <c r="LC93" s="28"/>
      <c r="LD93" s="28"/>
      <c r="LE93" s="62"/>
      <c r="LF93" s="28"/>
      <c r="LG93" s="28"/>
      <c r="LH93" s="28"/>
      <c r="LI93" s="28"/>
      <c r="LJ93" s="28"/>
      <c r="LK93" s="110"/>
    </row>
    <row r="94">
      <c r="A94" s="49" t="s">
        <v>318</v>
      </c>
      <c r="B94" s="149"/>
      <c r="C94" s="87"/>
      <c r="D94" s="147"/>
      <c r="E94" s="146"/>
      <c r="F94" s="146"/>
      <c r="G94" s="149"/>
      <c r="H94" s="146"/>
      <c r="I94" s="53"/>
      <c r="J94" s="53"/>
      <c r="K94" s="146"/>
      <c r="L94" s="149"/>
      <c r="M94" s="146"/>
      <c r="N94" s="52"/>
      <c r="O94" s="146"/>
      <c r="P94" s="53"/>
      <c r="Q94" s="146"/>
      <c r="R94" s="146"/>
      <c r="S94" s="146"/>
      <c r="T94" s="53"/>
      <c r="U94" s="27"/>
      <c r="V94" s="28"/>
      <c r="W94" s="28"/>
      <c r="X94" s="195"/>
      <c r="Y94" s="27"/>
      <c r="AB94" s="27"/>
      <c r="AC94" s="27"/>
      <c r="AD94" s="28"/>
      <c r="AE94" s="28"/>
      <c r="AF94" s="28"/>
      <c r="AG94" s="28"/>
      <c r="AH94" s="28"/>
      <c r="AI94" s="28"/>
      <c r="AJ94" s="27"/>
      <c r="AK94" s="28"/>
      <c r="AL94" s="28"/>
      <c r="AM94" s="28"/>
      <c r="AN94" s="28"/>
      <c r="AO94" s="27"/>
      <c r="AP94" s="27"/>
      <c r="AQ94" s="28"/>
      <c r="AR94" s="28"/>
      <c r="AS94" s="28"/>
      <c r="AT94" s="28"/>
      <c r="AU94" s="28"/>
      <c r="AV94" s="62"/>
      <c r="AW94" s="62"/>
      <c r="AX94" s="27"/>
      <c r="AY94" s="27"/>
      <c r="AZ94" s="27"/>
      <c r="BA94" s="28"/>
      <c r="BB94" s="27"/>
      <c r="BC94" s="27"/>
      <c r="BD94" s="27"/>
      <c r="BE94" s="28"/>
      <c r="BF94" s="27"/>
      <c r="BG94" s="28"/>
      <c r="BH94" s="28"/>
      <c r="BI94" s="28"/>
      <c r="BJ94" s="27"/>
      <c r="BK94" s="28"/>
      <c r="BL94" s="28"/>
      <c r="BM94" s="27"/>
      <c r="BN94" s="27"/>
      <c r="BO94" s="28"/>
      <c r="BP94" s="27"/>
      <c r="BQ94" s="28"/>
      <c r="BR94" s="27"/>
      <c r="BS94" s="28"/>
      <c r="BT94" s="28"/>
      <c r="BU94" s="27"/>
      <c r="BV94" s="28"/>
      <c r="BW94" s="27"/>
      <c r="BX94" s="28"/>
      <c r="BY94" s="28"/>
      <c r="BZ94" s="28"/>
      <c r="CA94" s="27"/>
      <c r="CB94" s="28"/>
      <c r="CC94" s="62"/>
      <c r="CD94" s="62"/>
      <c r="CF94" s="49" t="s">
        <v>318</v>
      </c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P94" s="64"/>
      <c r="DQ94" s="49" t="s">
        <v>318</v>
      </c>
      <c r="DR94" s="28"/>
      <c r="DS94" s="28"/>
      <c r="DT94" s="28"/>
      <c r="DU94" s="28"/>
      <c r="DV94" s="62"/>
      <c r="DW94" s="28"/>
      <c r="DX94" s="28"/>
      <c r="DY94" s="28"/>
      <c r="DZ94" s="28"/>
      <c r="EA94" s="28"/>
      <c r="EB94" s="28"/>
      <c r="EC94" s="28"/>
      <c r="ED94" s="28"/>
      <c r="EE94" s="28"/>
      <c r="EF94" s="28"/>
      <c r="EG94" s="28"/>
      <c r="EH94" s="28"/>
      <c r="EI94" s="28"/>
      <c r="EJ94" s="28"/>
      <c r="EK94" s="28"/>
      <c r="EL94" s="28"/>
      <c r="EM94" s="28"/>
      <c r="EN94" s="27"/>
      <c r="EO94" s="28"/>
      <c r="EP94" s="28"/>
      <c r="EQ94" s="28"/>
      <c r="ER94" s="28"/>
      <c r="ES94" s="28"/>
      <c r="ET94" s="28"/>
      <c r="EU94" s="28"/>
      <c r="EV94" s="28"/>
      <c r="EW94" s="28"/>
      <c r="EX94" s="28"/>
      <c r="EY94" s="28"/>
      <c r="EZ94" s="28"/>
      <c r="FA94" s="28"/>
      <c r="FB94" s="28"/>
      <c r="FC94" s="28"/>
      <c r="FD94" s="28"/>
      <c r="FE94" s="28"/>
      <c r="FF94" s="28"/>
      <c r="FG94" s="28"/>
      <c r="FH94" s="28"/>
      <c r="FI94" s="28"/>
      <c r="FJ94" s="28"/>
      <c r="FK94" s="28"/>
      <c r="FL94" s="28"/>
      <c r="FM94" s="28"/>
      <c r="FN94" s="28"/>
      <c r="FO94" s="28"/>
      <c r="FP94" s="28"/>
      <c r="FQ94" s="28"/>
      <c r="FR94" s="28"/>
      <c r="FS94" s="28"/>
      <c r="FT94" s="28"/>
      <c r="FU94" s="28"/>
      <c r="FV94" s="28"/>
      <c r="FW94" s="28"/>
      <c r="FX94" s="28"/>
      <c r="FY94" s="28"/>
      <c r="FZ94" s="28"/>
      <c r="GA94" s="28"/>
      <c r="GB94" s="28"/>
      <c r="GC94" s="28"/>
      <c r="GD94" s="28"/>
      <c r="GE94" s="28"/>
      <c r="GF94" s="28"/>
      <c r="GG94" s="28"/>
      <c r="GH94" s="28"/>
      <c r="GI94" s="28"/>
      <c r="GJ94" s="28"/>
      <c r="GK94" s="28"/>
      <c r="GL94" s="28"/>
      <c r="GM94" s="62"/>
      <c r="GN94" s="28"/>
      <c r="GO94" s="28"/>
      <c r="GP94" s="28"/>
      <c r="GQ94" s="28"/>
      <c r="GR94" s="28"/>
      <c r="GS94" s="28"/>
      <c r="GT94" s="28"/>
      <c r="GU94" s="28"/>
      <c r="GV94" s="28"/>
      <c r="GW94" s="28"/>
      <c r="GX94" s="28"/>
      <c r="GY94" s="28"/>
      <c r="GZ94" s="28"/>
      <c r="HA94" s="27"/>
      <c r="HB94" s="27"/>
      <c r="HC94" s="28"/>
      <c r="HD94" s="28"/>
      <c r="HE94" s="28"/>
      <c r="HF94" s="28"/>
      <c r="HG94" s="28"/>
      <c r="HH94" s="28"/>
      <c r="HI94" s="28"/>
      <c r="HJ94" s="28"/>
      <c r="HK94" s="28"/>
      <c r="HL94" s="28"/>
      <c r="HM94" s="28"/>
      <c r="HN94" s="28"/>
      <c r="HO94" s="28"/>
      <c r="HP94" s="28"/>
      <c r="HQ94" s="28"/>
      <c r="HR94" s="28"/>
      <c r="HS94" s="27"/>
      <c r="HT94" s="28"/>
      <c r="HU94" s="28"/>
      <c r="HV94" s="28"/>
      <c r="HW94" s="28"/>
      <c r="HX94" s="28"/>
      <c r="HY94" s="28"/>
      <c r="HZ94" s="28"/>
      <c r="IA94" s="28"/>
      <c r="IB94" s="28"/>
      <c r="IC94" s="28"/>
      <c r="ID94" s="28"/>
      <c r="IE94" s="28"/>
      <c r="IF94" s="28"/>
      <c r="IG94" s="28"/>
      <c r="IH94" s="28"/>
      <c r="II94" s="28"/>
      <c r="IJ94" s="28"/>
      <c r="IK94" s="28"/>
      <c r="IL94" s="28"/>
      <c r="IM94" s="28"/>
      <c r="IN94" s="28"/>
      <c r="IO94" s="28"/>
      <c r="IP94" s="28"/>
      <c r="IQ94" s="28"/>
      <c r="IR94" s="28"/>
      <c r="IS94" s="28"/>
      <c r="IT94" s="28"/>
      <c r="IU94" s="28"/>
      <c r="IV94" s="28"/>
      <c r="IW94" s="28"/>
      <c r="IX94" s="28"/>
      <c r="IY94" s="28"/>
      <c r="IZ94" s="28"/>
      <c r="JA94" s="28"/>
      <c r="JB94" s="28"/>
      <c r="JC94" s="28"/>
      <c r="JD94" s="28"/>
      <c r="JE94" s="28"/>
      <c r="JF94" s="28"/>
      <c r="JG94" s="28"/>
      <c r="JH94" s="28"/>
      <c r="JI94" s="28"/>
      <c r="JJ94" s="28"/>
      <c r="JK94" s="28"/>
      <c r="JL94" s="28"/>
      <c r="JM94" s="28"/>
      <c r="JN94" s="28"/>
      <c r="JO94" s="28"/>
      <c r="JP94" s="28"/>
      <c r="JQ94" s="28"/>
      <c r="JR94" s="28"/>
      <c r="JS94" s="28"/>
      <c r="JT94" s="62"/>
      <c r="JU94" s="28"/>
      <c r="JV94" s="28"/>
      <c r="JW94" s="28"/>
      <c r="JX94" s="28"/>
      <c r="JY94" s="28"/>
      <c r="JZ94" s="62"/>
      <c r="KA94" s="28"/>
      <c r="KB94" s="28"/>
      <c r="KC94" s="28"/>
      <c r="KD94" s="62"/>
      <c r="KE94" s="28"/>
      <c r="KF94" s="28"/>
      <c r="KG94" s="28"/>
      <c r="KH94" s="28"/>
      <c r="KI94" s="28"/>
      <c r="KJ94" s="28"/>
      <c r="KK94" s="28"/>
      <c r="KL94" s="27"/>
      <c r="KM94" s="28"/>
      <c r="KN94" s="62"/>
      <c r="KO94" s="28"/>
      <c r="KP94" s="28"/>
      <c r="KQ94" s="28"/>
      <c r="KR94" s="194"/>
      <c r="KS94" s="28"/>
      <c r="KT94" s="28"/>
      <c r="KU94" s="28"/>
      <c r="KV94" s="28"/>
      <c r="KW94" s="28"/>
      <c r="KX94" s="28"/>
      <c r="KY94" s="28"/>
      <c r="KZ94" s="28"/>
      <c r="LA94" s="28"/>
      <c r="LB94" s="28"/>
      <c r="LC94" s="28"/>
      <c r="LD94" s="28"/>
      <c r="LE94" s="62"/>
      <c r="LF94" s="28"/>
      <c r="LG94" s="28"/>
      <c r="LH94" s="28"/>
      <c r="LI94" s="28"/>
      <c r="LJ94" s="28"/>
      <c r="LK94" s="110"/>
    </row>
    <row r="95">
      <c r="A95" s="49" t="s">
        <v>3</v>
      </c>
      <c r="B95" s="149"/>
      <c r="C95" s="87"/>
      <c r="D95" s="147"/>
      <c r="E95" s="146"/>
      <c r="F95" s="146"/>
      <c r="G95" s="149"/>
      <c r="H95" s="146"/>
      <c r="I95" s="53"/>
      <c r="J95" s="53"/>
      <c r="K95" s="146"/>
      <c r="L95" s="149"/>
      <c r="M95" s="146"/>
      <c r="N95" s="52"/>
      <c r="O95" s="146"/>
      <c r="P95" s="53"/>
      <c r="Q95" s="146"/>
      <c r="R95" s="146"/>
      <c r="S95" s="146"/>
      <c r="T95" s="53"/>
      <c r="U95" s="27"/>
      <c r="V95" s="28"/>
      <c r="W95" s="28"/>
      <c r="X95" s="195"/>
      <c r="Y95" s="27"/>
      <c r="AB95" s="27"/>
      <c r="AC95" s="27"/>
      <c r="AD95" s="28"/>
      <c r="AE95" s="28"/>
      <c r="AF95" s="28"/>
      <c r="AG95" s="28"/>
      <c r="AH95" s="28"/>
      <c r="AI95" s="28"/>
      <c r="AJ95" s="27"/>
      <c r="AK95" s="28"/>
      <c r="AL95" s="28"/>
      <c r="AM95" s="28"/>
      <c r="AN95" s="28"/>
      <c r="AO95" s="27"/>
      <c r="AP95" s="27"/>
      <c r="AQ95" s="28"/>
      <c r="AR95" s="28"/>
      <c r="AS95" s="28"/>
      <c r="AT95" s="28"/>
      <c r="AU95" s="28"/>
      <c r="AV95" s="62"/>
      <c r="AW95" s="62"/>
      <c r="AX95" s="27"/>
      <c r="AY95" s="27"/>
      <c r="AZ95" s="27"/>
      <c r="BA95" s="28"/>
      <c r="BB95" s="27"/>
      <c r="BC95" s="27"/>
      <c r="BD95" s="27"/>
      <c r="BE95" s="28"/>
      <c r="BF95" s="27"/>
      <c r="BG95" s="28"/>
      <c r="BH95" s="28"/>
      <c r="BI95" s="28"/>
      <c r="BJ95" s="27"/>
      <c r="BK95" s="28"/>
      <c r="BL95" s="28"/>
      <c r="BM95" s="27"/>
      <c r="BN95" s="27"/>
      <c r="BO95" s="28"/>
      <c r="BP95" s="27"/>
      <c r="BQ95" s="28"/>
      <c r="BR95" s="27"/>
      <c r="BS95" s="28"/>
      <c r="BT95" s="28"/>
      <c r="BU95" s="27"/>
      <c r="BV95" s="28"/>
      <c r="BW95" s="27"/>
      <c r="BX95" s="28"/>
      <c r="BY95" s="28"/>
      <c r="BZ95" s="28"/>
      <c r="CA95" s="27"/>
      <c r="CB95" s="28"/>
      <c r="CC95" s="62"/>
      <c r="CD95" s="62"/>
      <c r="CF95" s="49" t="s">
        <v>3</v>
      </c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P95" s="64"/>
      <c r="DQ95" s="49" t="s">
        <v>3</v>
      </c>
      <c r="DR95" s="28"/>
      <c r="DS95" s="28"/>
      <c r="DT95" s="28"/>
      <c r="DU95" s="28"/>
      <c r="DV95" s="62"/>
      <c r="DW95" s="28"/>
      <c r="DX95" s="28"/>
      <c r="DY95" s="28"/>
      <c r="DZ95" s="28"/>
      <c r="EA95" s="28"/>
      <c r="EB95" s="28"/>
      <c r="EC95" s="28"/>
      <c r="ED95" s="28"/>
      <c r="EE95" s="28"/>
      <c r="EF95" s="28"/>
      <c r="EG95" s="28"/>
      <c r="EH95" s="28"/>
      <c r="EI95" s="28"/>
      <c r="EJ95" s="28"/>
      <c r="EK95" s="28"/>
      <c r="EL95" s="28"/>
      <c r="EM95" s="28"/>
      <c r="EN95" s="28"/>
      <c r="EO95" s="28"/>
      <c r="EP95" s="28"/>
      <c r="EQ95" s="28"/>
      <c r="ER95" s="28"/>
      <c r="ES95" s="28"/>
      <c r="ET95" s="28"/>
      <c r="EU95" s="28"/>
      <c r="EV95" s="28"/>
      <c r="EW95" s="28"/>
      <c r="EX95" s="28"/>
      <c r="EY95" s="28"/>
      <c r="EZ95" s="28"/>
      <c r="FA95" s="28"/>
      <c r="FB95" s="28"/>
      <c r="FC95" s="28"/>
      <c r="FD95" s="28"/>
      <c r="FE95" s="28"/>
      <c r="FF95" s="28"/>
      <c r="FG95" s="28"/>
      <c r="FH95" s="28"/>
      <c r="FI95" s="28"/>
      <c r="FJ95" s="28"/>
      <c r="FK95" s="28"/>
      <c r="FL95" s="28"/>
      <c r="FM95" s="28"/>
      <c r="FN95" s="28"/>
      <c r="FO95" s="28"/>
      <c r="FP95" s="28"/>
      <c r="FQ95" s="28"/>
      <c r="FR95" s="28"/>
      <c r="FS95" s="28"/>
      <c r="FT95" s="28"/>
      <c r="FU95" s="28"/>
      <c r="FV95" s="28"/>
      <c r="FW95" s="28"/>
      <c r="FX95" s="28"/>
      <c r="FY95" s="28"/>
      <c r="FZ95" s="28"/>
      <c r="GA95" s="28"/>
      <c r="GB95" s="28"/>
      <c r="GC95" s="28"/>
      <c r="GD95" s="28"/>
      <c r="GE95" s="28"/>
      <c r="GF95" s="28"/>
      <c r="GG95" s="28"/>
      <c r="GH95" s="28"/>
      <c r="GI95" s="28"/>
      <c r="GJ95" s="28"/>
      <c r="GK95" s="28"/>
      <c r="GL95" s="28"/>
      <c r="GM95" s="62"/>
      <c r="GN95" s="28"/>
      <c r="GO95" s="28"/>
      <c r="GP95" s="28"/>
      <c r="GQ95" s="28"/>
      <c r="GR95" s="28"/>
      <c r="GS95" s="28"/>
      <c r="GT95" s="28"/>
      <c r="GU95" s="28"/>
      <c r="GV95" s="28"/>
      <c r="GW95" s="28"/>
      <c r="GX95" s="28"/>
      <c r="GY95" s="28"/>
      <c r="GZ95" s="28"/>
      <c r="HA95" s="28"/>
      <c r="HB95" s="28"/>
      <c r="HC95" s="28"/>
      <c r="HD95" s="28"/>
      <c r="HE95" s="28"/>
      <c r="HF95" s="28"/>
      <c r="HG95" s="28"/>
      <c r="HH95" s="28"/>
      <c r="HI95" s="28"/>
      <c r="HJ95" s="28"/>
      <c r="HK95" s="28"/>
      <c r="HL95" s="28"/>
      <c r="HM95" s="28"/>
      <c r="HN95" s="28"/>
      <c r="HO95" s="28"/>
      <c r="HP95" s="28"/>
      <c r="HQ95" s="28"/>
      <c r="HR95" s="28"/>
      <c r="HS95" s="28"/>
      <c r="HT95" s="28"/>
      <c r="HU95" s="28"/>
      <c r="HV95" s="28"/>
      <c r="HW95" s="28"/>
      <c r="HX95" s="28"/>
      <c r="HY95" s="28"/>
      <c r="HZ95" s="28"/>
      <c r="IA95" s="28"/>
      <c r="IB95" s="28"/>
      <c r="IC95" s="28"/>
      <c r="ID95" s="28"/>
      <c r="IE95" s="28"/>
      <c r="IF95" s="28"/>
      <c r="IG95" s="28"/>
      <c r="IH95" s="28"/>
      <c r="II95" s="28"/>
      <c r="IJ95" s="28"/>
      <c r="IK95" s="28"/>
      <c r="IL95" s="28"/>
      <c r="IM95" s="28"/>
      <c r="IN95" s="28"/>
      <c r="IO95" s="28"/>
      <c r="IP95" s="28"/>
      <c r="IQ95" s="28"/>
      <c r="IR95" s="28"/>
      <c r="IS95" s="28"/>
      <c r="IT95" s="28"/>
      <c r="IU95" s="28"/>
      <c r="IV95" s="28"/>
      <c r="IW95" s="28"/>
      <c r="IX95" s="28"/>
      <c r="IY95" s="28"/>
      <c r="IZ95" s="28"/>
      <c r="JA95" s="28"/>
      <c r="JB95" s="28"/>
      <c r="JC95" s="28"/>
      <c r="JD95" s="28"/>
      <c r="JE95" s="28"/>
      <c r="JF95" s="28"/>
      <c r="JG95" s="28"/>
      <c r="JH95" s="28"/>
      <c r="JI95" s="28"/>
      <c r="JJ95" s="28"/>
      <c r="JK95" s="28"/>
      <c r="JL95" s="28"/>
      <c r="JM95" s="28"/>
      <c r="JN95" s="28"/>
      <c r="JO95" s="28"/>
      <c r="JP95" s="28"/>
      <c r="JQ95" s="28"/>
      <c r="JR95" s="28"/>
      <c r="JS95" s="28"/>
      <c r="JT95" s="62"/>
      <c r="JU95" s="28"/>
      <c r="JV95" s="28"/>
      <c r="JW95" s="28"/>
      <c r="JX95" s="28"/>
      <c r="JY95" s="28"/>
      <c r="JZ95" s="62"/>
      <c r="KA95" s="28"/>
      <c r="KB95" s="28"/>
      <c r="KC95" s="28"/>
      <c r="KD95" s="62"/>
      <c r="KE95" s="28"/>
      <c r="KF95" s="28"/>
      <c r="KG95" s="28"/>
      <c r="KH95" s="28"/>
      <c r="KI95" s="28"/>
      <c r="KJ95" s="28"/>
      <c r="KK95" s="28"/>
      <c r="KL95" s="28"/>
      <c r="KM95" s="28"/>
      <c r="KN95" s="62"/>
      <c r="KO95" s="28"/>
      <c r="KP95" s="28"/>
      <c r="KQ95" s="28"/>
      <c r="KR95" s="28"/>
      <c r="KS95" s="28"/>
      <c r="KT95" s="28"/>
      <c r="KU95" s="28"/>
      <c r="KV95" s="28"/>
      <c r="KW95" s="28"/>
      <c r="KX95" s="28"/>
      <c r="KY95" s="28"/>
      <c r="KZ95" s="28"/>
      <c r="LA95" s="28"/>
      <c r="LB95" s="28"/>
      <c r="LC95" s="28"/>
      <c r="LD95" s="28"/>
      <c r="LE95" s="62"/>
      <c r="LF95" s="28"/>
      <c r="LG95" s="28"/>
      <c r="LH95" s="28"/>
      <c r="LI95" s="28"/>
      <c r="LJ95" s="28"/>
      <c r="LK95" s="110"/>
    </row>
    <row r="96">
      <c r="A96" s="49" t="s">
        <v>322</v>
      </c>
      <c r="B96" s="149"/>
      <c r="C96" s="87"/>
      <c r="D96" s="147"/>
      <c r="E96" s="146"/>
      <c r="F96" s="146"/>
      <c r="G96" s="149"/>
      <c r="H96" s="146"/>
      <c r="I96" s="53"/>
      <c r="J96" s="53"/>
      <c r="K96" s="146"/>
      <c r="L96" s="149"/>
      <c r="M96" s="146"/>
      <c r="N96" s="52"/>
      <c r="O96" s="146"/>
      <c r="P96" s="53"/>
      <c r="Q96" s="146"/>
      <c r="R96" s="146"/>
      <c r="S96" s="146"/>
      <c r="T96" s="53"/>
      <c r="U96" s="27"/>
      <c r="V96" s="28"/>
      <c r="W96" s="28"/>
      <c r="X96" s="195"/>
      <c r="Y96" s="27"/>
      <c r="AB96" s="27"/>
      <c r="AC96" s="27"/>
      <c r="AD96" s="28"/>
      <c r="AE96" s="28"/>
      <c r="AF96" s="28"/>
      <c r="AG96" s="28"/>
      <c r="AH96" s="28"/>
      <c r="AI96" s="28"/>
      <c r="AJ96" s="27"/>
      <c r="AK96" s="28"/>
      <c r="AL96" s="28"/>
      <c r="AM96" s="28"/>
      <c r="AN96" s="28"/>
      <c r="AO96" s="27"/>
      <c r="AP96" s="27"/>
      <c r="AQ96" s="28"/>
      <c r="AR96" s="28"/>
      <c r="AS96" s="28"/>
      <c r="AT96" s="28"/>
      <c r="AU96" s="28"/>
      <c r="AV96" s="62"/>
      <c r="AW96" s="62"/>
      <c r="AX96" s="27"/>
      <c r="AY96" s="27"/>
      <c r="AZ96" s="27"/>
      <c r="BA96" s="28"/>
      <c r="BB96" s="27"/>
      <c r="BC96" s="27"/>
      <c r="BD96" s="27"/>
      <c r="BE96" s="28"/>
      <c r="BF96" s="27"/>
      <c r="BG96" s="28"/>
      <c r="BH96" s="28"/>
      <c r="BI96" s="28"/>
      <c r="BJ96" s="27"/>
      <c r="BK96" s="28"/>
      <c r="BL96" s="28"/>
      <c r="BM96" s="27"/>
      <c r="BN96" s="27"/>
      <c r="BO96" s="28"/>
      <c r="BP96" s="27"/>
      <c r="BQ96" s="28"/>
      <c r="BR96" s="27"/>
      <c r="BS96" s="28"/>
      <c r="BT96" s="28"/>
      <c r="BU96" s="27"/>
      <c r="BV96" s="28"/>
      <c r="BW96" s="27"/>
      <c r="BX96" s="28"/>
      <c r="BY96" s="28"/>
      <c r="BZ96" s="28"/>
      <c r="CA96" s="27"/>
      <c r="CB96" s="28"/>
      <c r="CC96" s="62"/>
      <c r="CD96" s="62"/>
      <c r="CF96" s="49" t="s">
        <v>322</v>
      </c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P96" s="64"/>
      <c r="DQ96" s="49" t="s">
        <v>322</v>
      </c>
      <c r="DR96" s="28"/>
      <c r="DS96" s="28"/>
      <c r="DT96" s="28"/>
      <c r="DU96" s="28"/>
      <c r="DV96" s="62"/>
      <c r="DW96" s="28"/>
      <c r="DX96" s="28"/>
      <c r="DY96" s="28"/>
      <c r="DZ96" s="28"/>
      <c r="EA96" s="28"/>
      <c r="EB96" s="28"/>
      <c r="EC96" s="28"/>
      <c r="ED96" s="28"/>
      <c r="EE96" s="28"/>
      <c r="EF96" s="28"/>
      <c r="EG96" s="28"/>
      <c r="EH96" s="28"/>
      <c r="EI96" s="28"/>
      <c r="EJ96" s="28"/>
      <c r="EK96" s="28"/>
      <c r="EL96" s="28"/>
      <c r="EM96" s="28"/>
      <c r="EN96" s="28"/>
      <c r="EO96" s="28"/>
      <c r="EP96" s="28"/>
      <c r="EQ96" s="28"/>
      <c r="ER96" s="28"/>
      <c r="ES96" s="28"/>
      <c r="ET96" s="28"/>
      <c r="EU96" s="28"/>
      <c r="EV96" s="28"/>
      <c r="EW96" s="28"/>
      <c r="EX96" s="28"/>
      <c r="EY96" s="28"/>
      <c r="EZ96" s="28"/>
      <c r="FA96" s="28"/>
      <c r="FB96" s="28"/>
      <c r="FC96" s="28"/>
      <c r="FD96" s="28"/>
      <c r="FE96" s="28"/>
      <c r="FF96" s="28"/>
      <c r="FG96" s="28"/>
      <c r="FH96" s="28"/>
      <c r="FI96" s="28"/>
      <c r="FJ96" s="28"/>
      <c r="FK96" s="28"/>
      <c r="FL96" s="28"/>
      <c r="FM96" s="28"/>
      <c r="FN96" s="28"/>
      <c r="FO96" s="28"/>
      <c r="FP96" s="28"/>
      <c r="FQ96" s="28"/>
      <c r="FR96" s="28"/>
      <c r="FS96" s="28"/>
      <c r="FT96" s="28"/>
      <c r="FU96" s="28"/>
      <c r="FV96" s="28"/>
      <c r="FW96" s="28"/>
      <c r="FX96" s="28"/>
      <c r="FY96" s="28"/>
      <c r="FZ96" s="28"/>
      <c r="GA96" s="28"/>
      <c r="GB96" s="28"/>
      <c r="GC96" s="28"/>
      <c r="GD96" s="28"/>
      <c r="GE96" s="28"/>
      <c r="GF96" s="28"/>
      <c r="GG96" s="28"/>
      <c r="GH96" s="28"/>
      <c r="GI96" s="28"/>
      <c r="GJ96" s="28"/>
      <c r="GK96" s="28"/>
      <c r="GL96" s="28"/>
      <c r="GM96" s="62"/>
      <c r="GN96" s="28"/>
      <c r="GO96" s="28"/>
      <c r="GP96" s="28"/>
      <c r="GQ96" s="28"/>
      <c r="GR96" s="28"/>
      <c r="GS96" s="28"/>
      <c r="GT96" s="28"/>
      <c r="GU96" s="28"/>
      <c r="GV96" s="28"/>
      <c r="GW96" s="28"/>
      <c r="GX96" s="28"/>
      <c r="GY96" s="28"/>
      <c r="GZ96" s="28"/>
      <c r="HA96" s="28"/>
      <c r="HB96" s="28"/>
      <c r="HC96" s="28"/>
      <c r="HD96" s="28"/>
      <c r="HE96" s="28"/>
      <c r="HF96" s="28"/>
      <c r="HG96" s="28"/>
      <c r="HH96" s="28"/>
      <c r="HI96" s="28"/>
      <c r="HJ96" s="28"/>
      <c r="HK96" s="28"/>
      <c r="HL96" s="28"/>
      <c r="HM96" s="28"/>
      <c r="HN96" s="28"/>
      <c r="HO96" s="28"/>
      <c r="HP96" s="28"/>
      <c r="HQ96" s="28"/>
      <c r="HR96" s="28"/>
      <c r="HS96" s="28"/>
      <c r="HT96" s="28"/>
      <c r="HU96" s="28"/>
      <c r="HV96" s="28"/>
      <c r="HW96" s="28"/>
      <c r="HX96" s="28"/>
      <c r="HY96" s="28"/>
      <c r="HZ96" s="28"/>
      <c r="IA96" s="28"/>
      <c r="IB96" s="28"/>
      <c r="IC96" s="28"/>
      <c r="ID96" s="28"/>
      <c r="IE96" s="28"/>
      <c r="IF96" s="28"/>
      <c r="IG96" s="28"/>
      <c r="IH96" s="28"/>
      <c r="II96" s="28"/>
      <c r="IJ96" s="28"/>
      <c r="IK96" s="28"/>
      <c r="IL96" s="28"/>
      <c r="IM96" s="28"/>
      <c r="IN96" s="28"/>
      <c r="IO96" s="28"/>
      <c r="IP96" s="28"/>
      <c r="IQ96" s="28"/>
      <c r="IR96" s="28"/>
      <c r="IS96" s="28"/>
      <c r="IT96" s="28"/>
      <c r="IU96" s="28"/>
      <c r="IV96" s="28"/>
      <c r="IW96" s="28"/>
      <c r="IX96" s="28"/>
      <c r="IY96" s="28"/>
      <c r="IZ96" s="28"/>
      <c r="JA96" s="28"/>
      <c r="JB96" s="28"/>
      <c r="JC96" s="28"/>
      <c r="JD96" s="28"/>
      <c r="JE96" s="28"/>
      <c r="JF96" s="28"/>
      <c r="JG96" s="28"/>
      <c r="JH96" s="28"/>
      <c r="JI96" s="28"/>
      <c r="JJ96" s="28"/>
      <c r="JK96" s="28"/>
      <c r="JL96" s="28"/>
      <c r="JM96" s="28"/>
      <c r="JN96" s="28"/>
      <c r="JO96" s="28"/>
      <c r="JP96" s="28"/>
      <c r="JQ96" s="28"/>
      <c r="JR96" s="28"/>
      <c r="JS96" s="28"/>
      <c r="JT96" s="62"/>
      <c r="JU96" s="28"/>
      <c r="JV96" s="28"/>
      <c r="JW96" s="28"/>
      <c r="JX96" s="28"/>
      <c r="JY96" s="28"/>
      <c r="JZ96" s="62"/>
      <c r="KA96" s="28"/>
      <c r="KB96" s="28"/>
      <c r="KC96" s="28"/>
      <c r="KD96" s="62"/>
      <c r="KE96" s="28"/>
      <c r="KF96" s="28"/>
      <c r="KG96" s="28"/>
      <c r="KH96" s="28"/>
      <c r="KI96" s="28"/>
      <c r="KJ96" s="28"/>
      <c r="KK96" s="28"/>
      <c r="KL96" s="28"/>
      <c r="KM96" s="28"/>
      <c r="KN96" s="62"/>
      <c r="KO96" s="28"/>
      <c r="KP96" s="28"/>
      <c r="KQ96" s="28"/>
      <c r="KR96" s="28"/>
      <c r="KS96" s="28"/>
      <c r="KT96" s="28"/>
      <c r="KU96" s="28"/>
      <c r="KV96" s="28"/>
      <c r="KW96" s="28"/>
      <c r="KX96" s="28"/>
      <c r="KY96" s="28"/>
      <c r="KZ96" s="28"/>
      <c r="LA96" s="28"/>
      <c r="LB96" s="28"/>
      <c r="LC96" s="28"/>
      <c r="LD96" s="28"/>
      <c r="LE96" s="62"/>
      <c r="LF96" s="28"/>
      <c r="LG96" s="28"/>
      <c r="LH96" s="28"/>
      <c r="LI96" s="28"/>
      <c r="LJ96" s="28"/>
      <c r="LK96" s="110"/>
    </row>
    <row r="97">
      <c r="A97" s="49" t="s">
        <v>323</v>
      </c>
      <c r="B97" s="149"/>
      <c r="C97" s="87"/>
      <c r="D97" s="147"/>
      <c r="E97" s="146"/>
      <c r="F97" s="146"/>
      <c r="G97" s="149"/>
      <c r="H97" s="146"/>
      <c r="I97" s="53"/>
      <c r="J97" s="53"/>
      <c r="K97" s="146"/>
      <c r="L97" s="149"/>
      <c r="M97" s="146"/>
      <c r="N97" s="52"/>
      <c r="O97" s="146"/>
      <c r="P97" s="53"/>
      <c r="Q97" s="146"/>
      <c r="R97" s="146"/>
      <c r="S97" s="146"/>
      <c r="T97" s="53"/>
      <c r="U97" s="27"/>
      <c r="V97" s="28"/>
      <c r="W97" s="28"/>
      <c r="X97" s="195"/>
      <c r="Y97" s="27"/>
      <c r="AB97" s="27"/>
      <c r="AC97" s="27"/>
      <c r="AD97" s="28"/>
      <c r="AE97" s="28"/>
      <c r="AF97" s="28"/>
      <c r="AG97" s="28"/>
      <c r="AH97" s="28"/>
      <c r="AI97" s="28"/>
      <c r="AJ97" s="27"/>
      <c r="AK97" s="28"/>
      <c r="AL97" s="28"/>
      <c r="AM97" s="28"/>
      <c r="AN97" s="28"/>
      <c r="AO97" s="27"/>
      <c r="AP97" s="27"/>
      <c r="AQ97" s="28"/>
      <c r="AR97" s="28"/>
      <c r="AS97" s="28"/>
      <c r="AT97" s="28"/>
      <c r="AU97" s="28"/>
      <c r="AV97" s="62"/>
      <c r="AW97" s="62"/>
      <c r="AX97" s="27"/>
      <c r="AY97" s="27"/>
      <c r="AZ97" s="27"/>
      <c r="BA97" s="28"/>
      <c r="BB97" s="27"/>
      <c r="BC97" s="27"/>
      <c r="BD97" s="27"/>
      <c r="BE97" s="28"/>
      <c r="BF97" s="27"/>
      <c r="BG97" s="28"/>
      <c r="BH97" s="28"/>
      <c r="BI97" s="28"/>
      <c r="BJ97" s="27"/>
      <c r="BK97" s="28"/>
      <c r="BL97" s="28"/>
      <c r="BM97" s="27"/>
      <c r="BN97" s="27"/>
      <c r="BO97" s="28"/>
      <c r="BP97" s="27"/>
      <c r="BQ97" s="28"/>
      <c r="BR97" s="27"/>
      <c r="BS97" s="28"/>
      <c r="BT97" s="28"/>
      <c r="BU97" s="27"/>
      <c r="BV97" s="28"/>
      <c r="BW97" s="27"/>
      <c r="BX97" s="28"/>
      <c r="BY97" s="28"/>
      <c r="BZ97" s="28"/>
      <c r="CA97" s="27"/>
      <c r="CB97" s="28"/>
      <c r="CC97" s="62"/>
      <c r="CD97" s="62"/>
      <c r="CF97" s="49" t="s">
        <v>323</v>
      </c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P97" s="64"/>
      <c r="DQ97" s="49" t="s">
        <v>323</v>
      </c>
      <c r="DR97" s="28"/>
      <c r="DS97" s="28"/>
      <c r="DT97" s="28"/>
      <c r="DU97" s="28"/>
      <c r="DV97" s="62"/>
      <c r="DW97" s="28"/>
      <c r="DX97" s="28"/>
      <c r="DY97" s="28"/>
      <c r="DZ97" s="28"/>
      <c r="EA97" s="28"/>
      <c r="EB97" s="28"/>
      <c r="EC97" s="28"/>
      <c r="ED97" s="28"/>
      <c r="EE97" s="28"/>
      <c r="EF97" s="28"/>
      <c r="EG97" s="28"/>
      <c r="EH97" s="28"/>
      <c r="EI97" s="28"/>
      <c r="EJ97" s="28"/>
      <c r="EK97" s="28"/>
      <c r="EL97" s="28"/>
      <c r="EM97" s="28"/>
      <c r="EN97" s="28"/>
      <c r="EO97" s="28"/>
      <c r="EP97" s="28"/>
      <c r="EQ97" s="28"/>
      <c r="ER97" s="28"/>
      <c r="ES97" s="28"/>
      <c r="ET97" s="28"/>
      <c r="EU97" s="28"/>
      <c r="EV97" s="28"/>
      <c r="EW97" s="28"/>
      <c r="EX97" s="28"/>
      <c r="EY97" s="28"/>
      <c r="EZ97" s="28"/>
      <c r="FA97" s="28"/>
      <c r="FB97" s="28"/>
      <c r="FC97" s="28"/>
      <c r="FD97" s="28"/>
      <c r="FE97" s="28"/>
      <c r="FF97" s="28"/>
      <c r="FG97" s="28"/>
      <c r="FH97" s="28"/>
      <c r="FI97" s="28"/>
      <c r="FJ97" s="28"/>
      <c r="FK97" s="28"/>
      <c r="FL97" s="28"/>
      <c r="FM97" s="28"/>
      <c r="FN97" s="28"/>
      <c r="FO97" s="28"/>
      <c r="FP97" s="28"/>
      <c r="FQ97" s="28"/>
      <c r="FR97" s="28"/>
      <c r="FS97" s="28"/>
      <c r="FT97" s="28"/>
      <c r="FU97" s="28"/>
      <c r="FV97" s="28"/>
      <c r="FW97" s="28"/>
      <c r="FX97" s="28"/>
      <c r="FY97" s="28"/>
      <c r="FZ97" s="28"/>
      <c r="GA97" s="28"/>
      <c r="GB97" s="28"/>
      <c r="GC97" s="28"/>
      <c r="GD97" s="28"/>
      <c r="GE97" s="28"/>
      <c r="GF97" s="28"/>
      <c r="GG97" s="28"/>
      <c r="GH97" s="28"/>
      <c r="GI97" s="28"/>
      <c r="GJ97" s="28"/>
      <c r="GK97" s="28"/>
      <c r="GL97" s="28"/>
      <c r="GM97" s="62"/>
      <c r="GN97" s="28"/>
      <c r="GO97" s="28"/>
      <c r="GP97" s="28"/>
      <c r="GQ97" s="28"/>
      <c r="GR97" s="28"/>
      <c r="GS97" s="28"/>
      <c r="GT97" s="28"/>
      <c r="GU97" s="28"/>
      <c r="GV97" s="28"/>
      <c r="GW97" s="28"/>
      <c r="GX97" s="28"/>
      <c r="GY97" s="28"/>
      <c r="GZ97" s="28"/>
      <c r="HA97" s="28"/>
      <c r="HB97" s="28"/>
      <c r="HC97" s="28"/>
      <c r="HD97" s="28"/>
      <c r="HE97" s="28"/>
      <c r="HF97" s="28"/>
      <c r="HG97" s="28"/>
      <c r="HH97" s="28"/>
      <c r="HI97" s="28"/>
      <c r="HJ97" s="28"/>
      <c r="HK97" s="28"/>
      <c r="HL97" s="28"/>
      <c r="HM97" s="28"/>
      <c r="HN97" s="28"/>
      <c r="HO97" s="28"/>
      <c r="HP97" s="28"/>
      <c r="HQ97" s="28"/>
      <c r="HR97" s="28"/>
      <c r="HS97" s="28"/>
      <c r="HT97" s="28"/>
      <c r="HU97" s="28"/>
      <c r="HV97" s="28"/>
      <c r="HW97" s="28"/>
      <c r="HX97" s="28"/>
      <c r="HY97" s="28"/>
      <c r="HZ97" s="28"/>
      <c r="IA97" s="28"/>
      <c r="IB97" s="28"/>
      <c r="IC97" s="28"/>
      <c r="ID97" s="28"/>
      <c r="IE97" s="28"/>
      <c r="IF97" s="28"/>
      <c r="IG97" s="28"/>
      <c r="IH97" s="28"/>
      <c r="II97" s="28"/>
      <c r="IJ97" s="28"/>
      <c r="IK97" s="28"/>
      <c r="IL97" s="28"/>
      <c r="IM97" s="28"/>
      <c r="IN97" s="28"/>
      <c r="IO97" s="28"/>
      <c r="IP97" s="28"/>
      <c r="IQ97" s="28"/>
      <c r="IR97" s="28"/>
      <c r="IS97" s="28"/>
      <c r="IT97" s="28"/>
      <c r="IU97" s="28"/>
      <c r="IV97" s="28"/>
      <c r="IW97" s="28"/>
      <c r="IX97" s="28"/>
      <c r="IY97" s="28"/>
      <c r="IZ97" s="28"/>
      <c r="JA97" s="28"/>
      <c r="JB97" s="28"/>
      <c r="JC97" s="28"/>
      <c r="JD97" s="28"/>
      <c r="JE97" s="28"/>
      <c r="JF97" s="28"/>
      <c r="JG97" s="28"/>
      <c r="JH97" s="28"/>
      <c r="JI97" s="28"/>
      <c r="JJ97" s="28"/>
      <c r="JK97" s="28"/>
      <c r="JL97" s="28"/>
      <c r="JM97" s="28"/>
      <c r="JN97" s="28"/>
      <c r="JO97" s="28"/>
      <c r="JP97" s="28"/>
      <c r="JQ97" s="28"/>
      <c r="JR97" s="28"/>
      <c r="JS97" s="28"/>
      <c r="JT97" s="62"/>
      <c r="JU97" s="28"/>
      <c r="JV97" s="28"/>
      <c r="JW97" s="28"/>
      <c r="JX97" s="28"/>
      <c r="JY97" s="28"/>
      <c r="JZ97" s="62"/>
      <c r="KA97" s="28"/>
      <c r="KB97" s="28"/>
      <c r="KC97" s="28"/>
      <c r="KD97" s="62"/>
      <c r="KE97" s="28"/>
      <c r="KF97" s="28"/>
      <c r="KG97" s="28"/>
      <c r="KH97" s="28"/>
      <c r="KI97" s="28"/>
      <c r="KJ97" s="28"/>
      <c r="KK97" s="28"/>
      <c r="KL97" s="28"/>
      <c r="KM97" s="28"/>
      <c r="KN97" s="62"/>
      <c r="KO97" s="28"/>
      <c r="KP97" s="28"/>
      <c r="KQ97" s="28"/>
      <c r="KR97" s="28"/>
      <c r="KS97" s="28"/>
      <c r="KT97" s="28"/>
      <c r="KU97" s="28"/>
      <c r="KV97" s="28"/>
      <c r="KW97" s="28"/>
      <c r="KX97" s="28"/>
      <c r="KY97" s="28"/>
      <c r="KZ97" s="28"/>
      <c r="LA97" s="28"/>
      <c r="LB97" s="28"/>
      <c r="LC97" s="28"/>
      <c r="LD97" s="28"/>
      <c r="LE97" s="62"/>
      <c r="LF97" s="28"/>
      <c r="LG97" s="28"/>
      <c r="LH97" s="28"/>
      <c r="LI97" s="28"/>
      <c r="LJ97" s="28"/>
      <c r="LK97" s="110"/>
    </row>
    <row r="98">
      <c r="A98" s="49" t="s">
        <v>324</v>
      </c>
      <c r="B98" s="149">
        <v>2.84561861389E11</v>
      </c>
      <c r="C98" s="87">
        <v>-2.1801135627E11</v>
      </c>
      <c r="D98" s="147">
        <v>6.6550505119E10</v>
      </c>
      <c r="E98" s="146">
        <v>-1.2032172861E10</v>
      </c>
      <c r="F98" s="146">
        <v>-2.7466314457E10</v>
      </c>
      <c r="G98" s="149"/>
      <c r="H98" s="146"/>
      <c r="I98" s="53"/>
      <c r="J98" s="53">
        <v>2.7052017801E10</v>
      </c>
      <c r="K98" s="146"/>
      <c r="L98" s="149">
        <v>3.233317723E9</v>
      </c>
      <c r="M98" s="146">
        <v>-1.6238268902E10</v>
      </c>
      <c r="N98" s="52">
        <v>-1.3004951179E10</v>
      </c>
      <c r="O98" s="146"/>
      <c r="P98" s="53">
        <v>1.4047066622E10</v>
      </c>
      <c r="Q98" s="146">
        <v>-4.912641992E9</v>
      </c>
      <c r="R98" s="146">
        <v>8.79722406E8</v>
      </c>
      <c r="S98" s="146">
        <v>-4.032919586E9</v>
      </c>
      <c r="T98" s="53">
        <v>1.0014147036E10</v>
      </c>
      <c r="U98" s="28">
        <v>-6.0415989E7</v>
      </c>
      <c r="V98" s="28"/>
      <c r="W98" s="28"/>
      <c r="X98" s="195">
        <v>9.953731047E9</v>
      </c>
      <c r="Y98" s="27"/>
      <c r="AB98" s="27"/>
      <c r="AC98" s="27"/>
      <c r="AD98" s="28">
        <v>3.039570848E10</v>
      </c>
      <c r="AE98" s="28">
        <v>5.3144410766E10</v>
      </c>
      <c r="AF98" s="28"/>
      <c r="AG98" s="28"/>
      <c r="AH98" s="28">
        <v>6.276716575E9</v>
      </c>
      <c r="AI98" s="28">
        <v>4.5477484262E10</v>
      </c>
      <c r="AJ98" s="27"/>
      <c r="AK98" s="28"/>
      <c r="AL98" s="28">
        <v>1.0040843554E10</v>
      </c>
      <c r="AM98" s="28">
        <v>4.968299386E9</v>
      </c>
      <c r="AN98" s="28"/>
      <c r="AO98" s="27"/>
      <c r="AP98" s="28">
        <v>1.7E9</v>
      </c>
      <c r="AQ98" s="28">
        <v>2.5793737156E10</v>
      </c>
      <c r="AR98" s="28"/>
      <c r="AS98" s="28">
        <v>1.95504309E8</v>
      </c>
      <c r="AT98" s="28">
        <v>1.176828294E9</v>
      </c>
      <c r="AU98" s="28">
        <v>8.96762814E8</v>
      </c>
      <c r="AV98" s="62">
        <v>2.9762832573E10</v>
      </c>
      <c r="AW98" s="62">
        <v>1.80066295596E11</v>
      </c>
      <c r="AX98" s="27"/>
      <c r="AY98" s="27"/>
      <c r="AZ98" s="27"/>
      <c r="BA98" s="28">
        <v>3.6643819128E10</v>
      </c>
      <c r="BB98" s="27"/>
      <c r="BC98" s="27"/>
      <c r="BD98" s="27"/>
      <c r="BE98" s="28">
        <v>6.431205767E9</v>
      </c>
      <c r="BF98" s="27"/>
      <c r="BG98" s="28">
        <v>6.14E7</v>
      </c>
      <c r="BH98" s="28"/>
      <c r="BI98" s="28">
        <v>6.83106458E8</v>
      </c>
      <c r="BJ98" s="27"/>
      <c r="BK98" s="28"/>
      <c r="BL98" s="28">
        <v>4.3819531353E10</v>
      </c>
      <c r="BM98" s="27"/>
      <c r="BN98" s="28">
        <v>9.4286048804E10</v>
      </c>
      <c r="BO98" s="28">
        <v>1.34757E8</v>
      </c>
      <c r="BP98" s="27"/>
      <c r="BQ98" s="28">
        <v>4.34807541E9</v>
      </c>
      <c r="BR98" s="27"/>
      <c r="BS98" s="28">
        <v>9.8768881214E10</v>
      </c>
      <c r="BT98" s="28">
        <v>1.42588412567E11</v>
      </c>
      <c r="BU98" s="27"/>
      <c r="BV98" s="28">
        <v>1.0E9</v>
      </c>
      <c r="BW98" s="28">
        <v>3.4919471652E10</v>
      </c>
      <c r="BX98" s="28"/>
      <c r="BY98" s="28"/>
      <c r="BZ98" s="28">
        <v>-6.0415989E7</v>
      </c>
      <c r="CA98" s="28">
        <v>1.618827366E9</v>
      </c>
      <c r="CB98" s="28"/>
      <c r="CC98" s="62">
        <v>3.7477883029E10</v>
      </c>
      <c r="CD98" s="62">
        <v>1.80066295596E11</v>
      </c>
      <c r="CF98" s="49" t="s">
        <v>324</v>
      </c>
      <c r="CG98" s="28">
        <v>2.597819082E9</v>
      </c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8">
        <v>4.921918506E9</v>
      </c>
      <c r="DL98" s="28">
        <v>2.5473789974E10</v>
      </c>
      <c r="DM98" s="62">
        <v>3.039570848E10</v>
      </c>
      <c r="DP98" s="64"/>
      <c r="DQ98" s="49" t="s">
        <v>324</v>
      </c>
      <c r="DR98" s="28"/>
      <c r="DS98" s="28"/>
      <c r="DT98" s="28"/>
      <c r="DU98" s="28"/>
      <c r="DV98" s="62">
        <v>2.84561861389E11</v>
      </c>
      <c r="DW98" s="28"/>
      <c r="DX98" s="28"/>
      <c r="DY98" s="28"/>
      <c r="DZ98" s="28"/>
      <c r="EA98" s="28">
        <v>3.591618E9</v>
      </c>
      <c r="EB98" s="28"/>
      <c r="EC98" s="28"/>
      <c r="ED98" s="28"/>
      <c r="EE98" s="28">
        <v>8.65612588E8</v>
      </c>
      <c r="EF98" s="28"/>
      <c r="EG98" s="28"/>
      <c r="EH98" s="28"/>
      <c r="EI98" s="28"/>
      <c r="EJ98" s="28"/>
      <c r="EK98" s="28"/>
      <c r="EL98" s="28"/>
      <c r="EM98" s="28"/>
      <c r="EN98" s="28"/>
      <c r="EO98" s="28"/>
      <c r="EP98" s="28"/>
      <c r="EQ98" s="28"/>
      <c r="ER98" s="28"/>
      <c r="ES98" s="28"/>
      <c r="ET98" s="28"/>
      <c r="EU98" s="28"/>
      <c r="EV98" s="28"/>
      <c r="EW98" s="28"/>
      <c r="EX98" s="28"/>
      <c r="EY98" s="28">
        <v>1.2894909608E10</v>
      </c>
      <c r="EZ98" s="28"/>
      <c r="FA98" s="28"/>
      <c r="FB98" s="28">
        <v>7.431197081E9</v>
      </c>
      <c r="FC98" s="28"/>
      <c r="FD98" s="28"/>
      <c r="FE98" s="28"/>
      <c r="FF98" s="28">
        <v>5.4781345E7</v>
      </c>
      <c r="FG98" s="28"/>
      <c r="FH98" s="28"/>
      <c r="FI98" s="28"/>
      <c r="FJ98" s="28"/>
      <c r="FK98" s="28"/>
      <c r="FL98" s="28"/>
      <c r="FM98" s="28"/>
      <c r="FN98" s="28"/>
      <c r="FO98" s="28"/>
      <c r="FP98" s="28"/>
      <c r="FQ98" s="28">
        <v>5.15792775E8</v>
      </c>
      <c r="FR98" s="28"/>
      <c r="FS98" s="28"/>
      <c r="FT98" s="28"/>
      <c r="FU98" s="28"/>
      <c r="FV98" s="28"/>
      <c r="FW98" s="28"/>
      <c r="FX98" s="28"/>
      <c r="FY98" s="28"/>
      <c r="FZ98" s="28"/>
      <c r="GA98" s="28"/>
      <c r="GB98" s="28"/>
      <c r="GC98" s="28"/>
      <c r="GD98" s="28"/>
      <c r="GE98" s="28"/>
      <c r="GF98" s="28"/>
      <c r="GG98" s="28"/>
      <c r="GH98" s="28"/>
      <c r="GI98" s="28"/>
      <c r="GJ98" s="28"/>
      <c r="GK98" s="28"/>
      <c r="GL98" s="28"/>
      <c r="GM98" s="62"/>
      <c r="GN98" s="28"/>
      <c r="GO98" s="28"/>
      <c r="GP98" s="28"/>
      <c r="GQ98" s="28">
        <v>4.432445317E9</v>
      </c>
      <c r="GR98" s="28"/>
      <c r="GS98" s="28"/>
      <c r="GT98" s="28"/>
      <c r="GU98" s="28"/>
      <c r="GV98" s="28"/>
      <c r="GW98" s="28"/>
      <c r="GX98" s="28"/>
      <c r="GY98" s="28"/>
      <c r="GZ98" s="28"/>
      <c r="HA98" s="28"/>
      <c r="HB98" s="28"/>
      <c r="HC98" s="28"/>
      <c r="HD98" s="28"/>
      <c r="HE98" s="28"/>
      <c r="HF98" s="28"/>
      <c r="HG98" s="28"/>
      <c r="HH98" s="28"/>
      <c r="HI98" s="28"/>
      <c r="HJ98" s="28"/>
      <c r="HK98" s="28"/>
      <c r="HL98" s="28"/>
      <c r="HM98" s="28"/>
      <c r="HN98" s="28"/>
      <c r="HO98" s="28"/>
      <c r="HP98" s="28"/>
      <c r="HQ98" s="28"/>
      <c r="HR98" s="28"/>
      <c r="HS98" s="28"/>
      <c r="HT98" s="28"/>
      <c r="HU98" s="28"/>
      <c r="HV98" s="28"/>
      <c r="HW98" s="28"/>
      <c r="HX98" s="28"/>
      <c r="HY98" s="28"/>
      <c r="HZ98" s="28"/>
      <c r="IA98" s="28"/>
      <c r="IB98" s="28"/>
      <c r="IC98" s="28"/>
      <c r="ID98" s="28"/>
      <c r="IE98" s="28"/>
      <c r="IF98" s="28"/>
      <c r="IG98" s="28"/>
      <c r="IH98" s="28"/>
      <c r="II98" s="28">
        <v>2.348249E8</v>
      </c>
      <c r="IJ98" s="28">
        <v>9256546.0</v>
      </c>
      <c r="IK98" s="28"/>
      <c r="IL98" s="28"/>
      <c r="IM98" s="28"/>
      <c r="IN98" s="28"/>
      <c r="IO98" s="28"/>
      <c r="IP98" s="28"/>
      <c r="IQ98" s="28"/>
      <c r="IR98" s="28"/>
      <c r="IS98" s="28"/>
      <c r="IT98" s="28"/>
      <c r="IU98" s="28"/>
      <c r="IV98" s="28"/>
      <c r="IW98" s="28">
        <v>8.96346E8</v>
      </c>
      <c r="IX98" s="28"/>
      <c r="IY98" s="28"/>
      <c r="IZ98" s="28"/>
      <c r="JA98" s="28"/>
      <c r="JB98" s="28"/>
      <c r="JC98" s="28">
        <v>2.963308218E9</v>
      </c>
      <c r="JD98" s="28"/>
      <c r="JE98" s="28"/>
      <c r="JF98" s="28"/>
      <c r="JG98" s="28"/>
      <c r="JH98" s="28"/>
      <c r="JI98" s="28"/>
      <c r="JJ98" s="28"/>
      <c r="JK98" s="28"/>
      <c r="JL98" s="28"/>
      <c r="JM98" s="28"/>
      <c r="JN98" s="28"/>
      <c r="JO98" s="28"/>
      <c r="JP98" s="28"/>
      <c r="JQ98" s="28"/>
      <c r="JR98" s="28"/>
      <c r="JS98" s="28"/>
      <c r="JT98" s="62"/>
      <c r="JU98" s="28"/>
      <c r="JV98" s="28"/>
      <c r="JW98" s="28"/>
      <c r="JX98" s="28"/>
      <c r="JY98" s="28">
        <v>5.642102E7</v>
      </c>
      <c r="JZ98" s="62"/>
      <c r="KA98" s="28"/>
      <c r="KB98" s="28"/>
      <c r="KC98" s="28"/>
      <c r="KD98" s="62"/>
      <c r="KE98" s="28"/>
      <c r="KF98" s="28"/>
      <c r="KG98" s="28"/>
      <c r="KH98" s="28"/>
      <c r="KI98" s="28">
        <v>2.494060197E9</v>
      </c>
      <c r="KJ98" s="28">
        <v>6.712706E7</v>
      </c>
      <c r="KK98" s="28">
        <v>82670.0</v>
      </c>
      <c r="KL98" s="28"/>
      <c r="KM98" s="28">
        <v>2.8411E8</v>
      </c>
      <c r="KN98" s="62"/>
      <c r="KO98" s="28"/>
      <c r="KP98" s="28"/>
      <c r="KQ98" s="28">
        <v>5.4276141E7</v>
      </c>
      <c r="KR98" s="28">
        <v>9.219810208E9</v>
      </c>
      <c r="KS98" s="28"/>
      <c r="KT98" s="28"/>
      <c r="KU98" s="28"/>
      <c r="KV98" s="28">
        <v>1.146847624E9</v>
      </c>
      <c r="KW98" s="28"/>
      <c r="KX98" s="28"/>
      <c r="KY98" s="28"/>
      <c r="KZ98" s="28">
        <v>1.146847624E9</v>
      </c>
      <c r="LA98" s="28">
        <v>2.50203068E8</v>
      </c>
      <c r="LB98" s="28">
        <v>1.08E8</v>
      </c>
      <c r="LC98" s="28"/>
      <c r="LD98" s="28"/>
      <c r="LE98" s="62"/>
      <c r="LF98" s="28"/>
      <c r="LG98" s="28"/>
      <c r="LH98" s="28">
        <v>1.145405419E9</v>
      </c>
      <c r="LI98" s="28"/>
      <c r="LJ98" s="28"/>
      <c r="LK98" s="110"/>
    </row>
    <row r="99">
      <c r="A99" s="116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6"/>
      <c r="V99" s="118"/>
      <c r="W99" s="116"/>
      <c r="X99" s="116"/>
      <c r="Y99" s="116"/>
      <c r="Z99" s="116"/>
      <c r="AA99" s="116"/>
      <c r="AB99" s="116"/>
      <c r="AC99" s="116"/>
      <c r="AD99" s="116"/>
      <c r="AE99" s="119"/>
      <c r="AF99" s="116"/>
      <c r="AG99" s="116"/>
      <c r="AH99" s="116"/>
      <c r="AI99" s="116"/>
      <c r="AJ99" s="116"/>
      <c r="AK99" s="116"/>
      <c r="AL99" s="116"/>
      <c r="AM99" s="120"/>
      <c r="AN99" s="121"/>
      <c r="AO99" s="116"/>
      <c r="AP99" s="116"/>
      <c r="AQ99" s="116"/>
      <c r="AR99" s="116"/>
      <c r="AS99" s="116"/>
      <c r="AT99" s="116"/>
      <c r="AU99" s="116"/>
      <c r="AV99" s="116"/>
      <c r="AW99" s="116"/>
      <c r="AX99" s="116"/>
      <c r="AY99" s="116"/>
      <c r="AZ99" s="116"/>
      <c r="BA99" s="116"/>
      <c r="BB99" s="116"/>
      <c r="BC99" s="116"/>
      <c r="BD99" s="116"/>
      <c r="BE99" s="116"/>
      <c r="BF99" s="116"/>
      <c r="BG99" s="116"/>
      <c r="BH99" s="116"/>
      <c r="BI99" s="116"/>
      <c r="BJ99" s="116"/>
      <c r="BK99" s="116"/>
      <c r="BL99" s="116"/>
      <c r="BM99" s="116"/>
      <c r="BN99" s="116"/>
      <c r="BO99" s="116"/>
      <c r="BP99" s="116"/>
      <c r="BQ99" s="116"/>
      <c r="BR99" s="116"/>
      <c r="BS99" s="116"/>
      <c r="BT99" s="121"/>
      <c r="BU99" s="116"/>
      <c r="BV99" s="116"/>
      <c r="BW99" s="116"/>
      <c r="BX99" s="116"/>
      <c r="BY99" s="116"/>
      <c r="BZ99" s="116"/>
      <c r="CA99" s="116"/>
      <c r="CB99" s="116"/>
      <c r="CC99" s="122"/>
      <c r="CD99" s="122"/>
      <c r="CE99" s="116"/>
      <c r="CF99" s="116"/>
      <c r="CG99" s="116"/>
      <c r="CH99" s="116"/>
      <c r="CI99" s="116"/>
      <c r="CJ99" s="116"/>
      <c r="CK99" s="116"/>
      <c r="CL99" s="116"/>
      <c r="CM99" s="116"/>
      <c r="CN99" s="116"/>
      <c r="CO99" s="116"/>
      <c r="CP99" s="116"/>
      <c r="CQ99" s="116"/>
      <c r="CR99" s="116"/>
      <c r="CS99" s="116"/>
      <c r="CT99" s="116"/>
      <c r="CU99" s="116"/>
      <c r="CV99" s="116"/>
      <c r="CW99" s="116"/>
      <c r="CX99" s="116"/>
      <c r="CY99" s="116"/>
      <c r="CZ99" s="116"/>
      <c r="DA99" s="116"/>
      <c r="DB99" s="116"/>
      <c r="DC99" s="116"/>
      <c r="DD99" s="116"/>
      <c r="DE99" s="116"/>
      <c r="DF99" s="116"/>
      <c r="DG99" s="116"/>
      <c r="DH99" s="116"/>
      <c r="DI99" s="116"/>
      <c r="DJ99" s="116"/>
      <c r="DK99" s="116"/>
      <c r="DL99" s="116"/>
      <c r="DM99" s="116"/>
      <c r="DN99" s="116"/>
      <c r="DO99" s="116"/>
      <c r="DP99" s="116"/>
      <c r="DQ99" s="116"/>
      <c r="DR99" s="116"/>
      <c r="DS99" s="116"/>
      <c r="DT99" s="116"/>
      <c r="DU99" s="116"/>
      <c r="DV99" s="116"/>
      <c r="DW99" s="116"/>
      <c r="DX99" s="116"/>
      <c r="DY99" s="116"/>
      <c r="DZ99" s="116"/>
      <c r="EA99" s="116"/>
      <c r="EB99" s="116"/>
      <c r="EC99" s="116"/>
      <c r="ED99" s="116"/>
      <c r="EE99" s="116"/>
      <c r="EF99" s="116"/>
      <c r="EG99" s="116"/>
      <c r="EH99" s="116"/>
      <c r="EI99" s="116"/>
      <c r="EJ99" s="116"/>
      <c r="EK99" s="116"/>
      <c r="EL99" s="116"/>
      <c r="EM99" s="116"/>
      <c r="EN99" s="116"/>
      <c r="EO99" s="116"/>
      <c r="EP99" s="116"/>
      <c r="EQ99" s="116"/>
      <c r="ER99" s="116"/>
      <c r="ES99" s="116"/>
      <c r="ET99" s="116"/>
      <c r="EU99" s="116"/>
      <c r="EV99" s="116"/>
      <c r="EW99" s="116"/>
      <c r="EX99" s="116"/>
      <c r="EY99" s="116"/>
      <c r="EZ99" s="116"/>
      <c r="FA99" s="116"/>
      <c r="FB99" s="116"/>
      <c r="FC99" s="116"/>
      <c r="FD99" s="116"/>
      <c r="FE99" s="116"/>
      <c r="FF99" s="116"/>
      <c r="FG99" s="116"/>
      <c r="FH99" s="116"/>
      <c r="FI99" s="116"/>
      <c r="FJ99" s="116"/>
      <c r="FK99" s="116"/>
      <c r="FL99" s="116"/>
      <c r="FM99" s="116"/>
      <c r="FN99" s="116"/>
      <c r="FO99" s="116"/>
      <c r="FP99" s="116"/>
      <c r="FQ99" s="116"/>
      <c r="FR99" s="116"/>
      <c r="FS99" s="116"/>
      <c r="FT99" s="116"/>
      <c r="FU99" s="116"/>
      <c r="FV99" s="116"/>
      <c r="FW99" s="116"/>
      <c r="FX99" s="116"/>
      <c r="FY99" s="116"/>
      <c r="FZ99" s="116"/>
      <c r="GA99" s="116"/>
      <c r="GB99" s="116"/>
      <c r="GC99" s="116"/>
      <c r="GD99" s="116"/>
      <c r="GE99" s="116"/>
      <c r="GF99" s="116"/>
      <c r="GG99" s="116"/>
      <c r="GH99" s="116"/>
      <c r="GI99" s="116"/>
      <c r="GJ99" s="116"/>
      <c r="GK99" s="116"/>
      <c r="GL99" s="116"/>
      <c r="GM99" s="118"/>
      <c r="GN99" s="116"/>
      <c r="GO99" s="116"/>
      <c r="GP99" s="116"/>
      <c r="GQ99" s="116"/>
      <c r="GR99" s="116"/>
      <c r="GS99" s="116"/>
      <c r="GT99" s="116"/>
      <c r="GU99" s="116"/>
      <c r="GV99" s="116"/>
      <c r="GW99" s="116"/>
      <c r="GX99" s="116"/>
      <c r="GY99" s="116"/>
      <c r="GZ99" s="116"/>
      <c r="HA99" s="116"/>
      <c r="HB99" s="116"/>
      <c r="HC99" s="116"/>
      <c r="HD99" s="116"/>
      <c r="HE99" s="116"/>
      <c r="HF99" s="116"/>
      <c r="HG99" s="116"/>
      <c r="HH99" s="116"/>
      <c r="HI99" s="116"/>
      <c r="HJ99" s="116"/>
      <c r="HK99" s="116"/>
      <c r="HL99" s="116"/>
      <c r="HM99" s="116"/>
      <c r="HN99" s="116"/>
      <c r="HO99" s="116"/>
      <c r="HP99" s="116"/>
      <c r="HQ99" s="116"/>
      <c r="HR99" s="116"/>
      <c r="HS99" s="116"/>
      <c r="HT99" s="116"/>
      <c r="HU99" s="116"/>
      <c r="HV99" s="116"/>
      <c r="HW99" s="116"/>
      <c r="HX99" s="116"/>
      <c r="HY99" s="116"/>
      <c r="HZ99" s="116"/>
      <c r="IA99" s="116"/>
      <c r="IB99" s="116"/>
      <c r="IC99" s="116"/>
      <c r="ID99" s="116"/>
      <c r="IE99" s="116"/>
      <c r="IF99" s="116"/>
      <c r="IG99" s="116"/>
      <c r="IH99" s="116"/>
      <c r="II99" s="116"/>
      <c r="IJ99" s="116"/>
      <c r="IK99" s="116"/>
      <c r="IL99" s="116"/>
      <c r="IM99" s="116"/>
      <c r="IN99" s="116"/>
      <c r="IO99" s="116"/>
      <c r="IP99" s="116"/>
      <c r="IQ99" s="116"/>
      <c r="IR99" s="116"/>
      <c r="IS99" s="116"/>
      <c r="IT99" s="116"/>
      <c r="IU99" s="116"/>
      <c r="IV99" s="116"/>
      <c r="IW99" s="116"/>
      <c r="IX99" s="116"/>
      <c r="IY99" s="116"/>
      <c r="IZ99" s="116"/>
      <c r="JA99" s="116"/>
      <c r="JB99" s="116"/>
      <c r="JC99" s="116"/>
      <c r="JD99" s="116"/>
      <c r="JE99" s="116"/>
      <c r="JF99" s="116"/>
      <c r="JG99" s="116"/>
      <c r="JH99" s="116"/>
      <c r="JI99" s="116"/>
      <c r="JJ99" s="116"/>
      <c r="JK99" s="116"/>
      <c r="JL99" s="116"/>
      <c r="JM99" s="116"/>
      <c r="JN99" s="116"/>
      <c r="JO99" s="116"/>
      <c r="JP99" s="116"/>
      <c r="JQ99" s="116"/>
      <c r="JR99" s="116"/>
      <c r="JS99" s="116"/>
      <c r="JT99" s="123"/>
      <c r="JU99" s="116"/>
      <c r="JV99" s="116"/>
      <c r="JW99" s="116"/>
      <c r="JX99" s="116"/>
      <c r="JY99" s="116"/>
      <c r="JZ99" s="116"/>
      <c r="KA99" s="116"/>
      <c r="KB99" s="116"/>
      <c r="KC99" s="116"/>
      <c r="KD99" s="116"/>
      <c r="KE99" s="116"/>
      <c r="KF99" s="116"/>
      <c r="KG99" s="116"/>
      <c r="KH99" s="116"/>
      <c r="KI99" s="116"/>
      <c r="KJ99" s="116"/>
      <c r="KK99" s="116"/>
      <c r="KL99" s="116"/>
      <c r="KM99" s="116"/>
      <c r="KN99" s="116"/>
      <c r="KO99" s="116"/>
      <c r="KP99" s="116"/>
      <c r="KQ99" s="116"/>
      <c r="KR99" s="116"/>
      <c r="KS99" s="116"/>
      <c r="KT99" s="116"/>
      <c r="KU99" s="116"/>
      <c r="KV99" s="116"/>
      <c r="KW99" s="116"/>
      <c r="KX99" s="116"/>
      <c r="KY99" s="116"/>
      <c r="KZ99" s="116"/>
      <c r="LA99" s="116"/>
      <c r="LB99" s="116"/>
      <c r="LC99" s="116"/>
      <c r="LD99" s="116"/>
      <c r="LE99" s="116"/>
      <c r="LF99" s="116"/>
      <c r="LG99" s="116"/>
      <c r="LH99" s="116"/>
      <c r="LI99" s="116"/>
      <c r="LJ99" s="116"/>
      <c r="LK99" s="116"/>
    </row>
    <row r="100">
      <c r="A100" s="116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6"/>
      <c r="V100" s="118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116"/>
      <c r="AK100" s="116"/>
      <c r="AL100" s="116"/>
      <c r="AM100" s="120"/>
      <c r="AN100" s="121"/>
      <c r="AO100" s="116"/>
      <c r="AP100" s="116"/>
      <c r="AQ100" s="116"/>
      <c r="AR100" s="116"/>
      <c r="AS100" s="116"/>
      <c r="AT100" s="116"/>
      <c r="AU100" s="116"/>
      <c r="AV100" s="116"/>
      <c r="AW100" s="116"/>
      <c r="AX100" s="116"/>
      <c r="AY100" s="116"/>
      <c r="AZ100" s="116"/>
      <c r="BA100" s="116"/>
      <c r="BB100" s="116"/>
      <c r="BC100" s="116"/>
      <c r="BD100" s="116"/>
      <c r="BE100" s="116"/>
      <c r="BF100" s="116"/>
      <c r="BG100" s="116"/>
      <c r="BH100" s="116"/>
      <c r="BI100" s="116"/>
      <c r="BJ100" s="116"/>
      <c r="BK100" s="116"/>
      <c r="BL100" s="116"/>
      <c r="BM100" s="116"/>
      <c r="BN100" s="116"/>
      <c r="BO100" s="116"/>
      <c r="BP100" s="116"/>
      <c r="BQ100" s="116"/>
      <c r="BR100" s="116"/>
      <c r="BS100" s="116"/>
      <c r="BT100" s="121"/>
      <c r="BU100" s="116"/>
      <c r="BV100" s="116"/>
      <c r="BW100" s="116"/>
      <c r="BX100" s="116"/>
      <c r="BY100" s="116"/>
      <c r="BZ100" s="116"/>
      <c r="CA100" s="116"/>
      <c r="CB100" s="116"/>
      <c r="CC100" s="122"/>
      <c r="CD100" s="122"/>
      <c r="CE100" s="116"/>
      <c r="CF100" s="116"/>
      <c r="CG100" s="116"/>
      <c r="CH100" s="116"/>
      <c r="CI100" s="116"/>
      <c r="CJ100" s="116"/>
      <c r="CK100" s="116"/>
      <c r="CL100" s="116"/>
      <c r="CM100" s="116"/>
      <c r="CN100" s="116"/>
      <c r="CO100" s="116"/>
      <c r="CP100" s="116"/>
      <c r="CQ100" s="116"/>
      <c r="CR100" s="116"/>
      <c r="CS100" s="116"/>
      <c r="CT100" s="116"/>
      <c r="CU100" s="116"/>
      <c r="CV100" s="116"/>
      <c r="CW100" s="116"/>
      <c r="CX100" s="116"/>
      <c r="CY100" s="116"/>
      <c r="CZ100" s="116"/>
      <c r="DA100" s="116"/>
      <c r="DB100" s="116"/>
      <c r="DC100" s="116"/>
      <c r="DD100" s="116"/>
      <c r="DE100" s="116"/>
      <c r="DF100" s="116"/>
      <c r="DG100" s="116"/>
      <c r="DH100" s="116"/>
      <c r="DI100" s="116"/>
      <c r="DJ100" s="116"/>
      <c r="DK100" s="116"/>
      <c r="DL100" s="116"/>
      <c r="DM100" s="116"/>
      <c r="DN100" s="116"/>
      <c r="DO100" s="116"/>
      <c r="DP100" s="116"/>
      <c r="DQ100" s="116"/>
      <c r="DR100" s="116"/>
      <c r="DS100" s="116"/>
      <c r="DT100" s="116"/>
      <c r="DU100" s="116"/>
      <c r="DV100" s="116"/>
      <c r="DW100" s="116"/>
      <c r="DX100" s="116"/>
      <c r="DY100" s="116"/>
      <c r="DZ100" s="116"/>
      <c r="EA100" s="116"/>
      <c r="EB100" s="116"/>
      <c r="EC100" s="116"/>
      <c r="ED100" s="116"/>
      <c r="EE100" s="116"/>
      <c r="EF100" s="116"/>
      <c r="EG100" s="116"/>
      <c r="EH100" s="116"/>
      <c r="EI100" s="116"/>
      <c r="EJ100" s="116"/>
      <c r="EK100" s="116"/>
      <c r="EL100" s="116"/>
      <c r="EM100" s="116"/>
      <c r="EN100" s="116"/>
      <c r="EO100" s="116"/>
      <c r="EP100" s="116"/>
      <c r="EQ100" s="116"/>
      <c r="ER100" s="116"/>
      <c r="ES100" s="116"/>
      <c r="ET100" s="116"/>
      <c r="EU100" s="116"/>
      <c r="EV100" s="116"/>
      <c r="EW100" s="116"/>
      <c r="EX100" s="116"/>
      <c r="EY100" s="116"/>
      <c r="EZ100" s="116"/>
      <c r="FA100" s="116"/>
      <c r="FB100" s="116"/>
      <c r="FC100" s="116"/>
      <c r="FD100" s="116"/>
      <c r="FE100" s="116"/>
      <c r="FF100" s="116"/>
      <c r="FG100" s="116"/>
      <c r="FH100" s="116"/>
      <c r="FI100" s="116"/>
      <c r="FJ100" s="116"/>
      <c r="FK100" s="116"/>
      <c r="FL100" s="116"/>
      <c r="FM100" s="116"/>
      <c r="FN100" s="116"/>
      <c r="FO100" s="116"/>
      <c r="FP100" s="116"/>
      <c r="FQ100" s="116"/>
      <c r="FR100" s="116"/>
      <c r="FS100" s="116"/>
      <c r="FT100" s="116"/>
      <c r="FU100" s="116"/>
      <c r="FV100" s="116"/>
      <c r="FW100" s="116"/>
      <c r="FX100" s="116"/>
      <c r="FY100" s="116"/>
      <c r="FZ100" s="116"/>
      <c r="GA100" s="116"/>
      <c r="GB100" s="116"/>
      <c r="GC100" s="116"/>
      <c r="GD100" s="116"/>
      <c r="GE100" s="116"/>
      <c r="GF100" s="116"/>
      <c r="GG100" s="116"/>
      <c r="GH100" s="116"/>
      <c r="GI100" s="116"/>
      <c r="GJ100" s="116"/>
      <c r="GK100" s="116"/>
      <c r="GL100" s="116"/>
      <c r="GM100" s="118"/>
      <c r="GN100" s="116"/>
      <c r="GO100" s="116"/>
      <c r="GP100" s="116"/>
      <c r="GQ100" s="116"/>
      <c r="GR100" s="116"/>
      <c r="GS100" s="116"/>
      <c r="GT100" s="116"/>
      <c r="GU100" s="116"/>
      <c r="GV100" s="116"/>
      <c r="GW100" s="116"/>
      <c r="GX100" s="116"/>
      <c r="GY100" s="116"/>
      <c r="GZ100" s="116"/>
      <c r="HA100" s="116"/>
      <c r="HB100" s="116"/>
      <c r="HC100" s="116"/>
      <c r="HD100" s="116"/>
      <c r="HE100" s="116"/>
      <c r="HF100" s="116"/>
      <c r="HG100" s="116"/>
      <c r="HH100" s="116"/>
      <c r="HI100" s="116"/>
      <c r="HJ100" s="116"/>
      <c r="HK100" s="116"/>
      <c r="HL100" s="116"/>
      <c r="HM100" s="116"/>
      <c r="HN100" s="116"/>
      <c r="HO100" s="116"/>
      <c r="HP100" s="116"/>
      <c r="HQ100" s="116"/>
      <c r="HR100" s="116"/>
      <c r="HS100" s="116"/>
      <c r="HT100" s="116"/>
      <c r="HU100" s="116"/>
      <c r="HV100" s="116"/>
      <c r="HW100" s="116"/>
      <c r="HX100" s="116"/>
      <c r="HY100" s="116"/>
      <c r="HZ100" s="116"/>
      <c r="IA100" s="116"/>
      <c r="IB100" s="116"/>
      <c r="IC100" s="116"/>
      <c r="ID100" s="116"/>
      <c r="IE100" s="116"/>
      <c r="IF100" s="116"/>
      <c r="IG100" s="116"/>
      <c r="IH100" s="116"/>
      <c r="II100" s="116"/>
      <c r="IJ100" s="116"/>
      <c r="IK100" s="116"/>
      <c r="IL100" s="116"/>
      <c r="IM100" s="116"/>
      <c r="IN100" s="116"/>
      <c r="IO100" s="116"/>
      <c r="IP100" s="116"/>
      <c r="IQ100" s="116"/>
      <c r="IR100" s="116"/>
      <c r="IS100" s="116"/>
      <c r="IT100" s="116"/>
      <c r="IU100" s="116"/>
      <c r="IV100" s="116"/>
      <c r="IW100" s="116"/>
      <c r="IX100" s="116"/>
      <c r="IY100" s="116"/>
      <c r="IZ100" s="116"/>
      <c r="JA100" s="116"/>
      <c r="JB100" s="116"/>
      <c r="JC100" s="116"/>
      <c r="JD100" s="116"/>
      <c r="JE100" s="116"/>
      <c r="JF100" s="116"/>
      <c r="JG100" s="116"/>
      <c r="JH100" s="116"/>
      <c r="JI100" s="116"/>
      <c r="JJ100" s="116"/>
      <c r="JK100" s="116"/>
      <c r="JL100" s="116"/>
      <c r="JM100" s="116"/>
      <c r="JN100" s="116"/>
      <c r="JO100" s="116"/>
      <c r="JP100" s="116"/>
      <c r="JQ100" s="116"/>
      <c r="JR100" s="116"/>
      <c r="JS100" s="116"/>
      <c r="JT100" s="123"/>
      <c r="JU100" s="116"/>
      <c r="JV100" s="116"/>
      <c r="JW100" s="116"/>
      <c r="JX100" s="116"/>
      <c r="JY100" s="116"/>
      <c r="JZ100" s="116"/>
      <c r="KA100" s="116"/>
      <c r="KB100" s="116"/>
      <c r="KC100" s="116"/>
      <c r="KD100" s="116"/>
      <c r="KE100" s="116"/>
      <c r="KF100" s="116"/>
      <c r="KG100" s="116"/>
      <c r="KH100" s="116"/>
      <c r="KI100" s="116"/>
      <c r="KJ100" s="116"/>
      <c r="KK100" s="116"/>
      <c r="KL100" s="116"/>
      <c r="KM100" s="116"/>
      <c r="KN100" s="116"/>
      <c r="KO100" s="116"/>
      <c r="KP100" s="116"/>
      <c r="KQ100" s="116"/>
      <c r="KR100" s="116"/>
      <c r="KS100" s="116"/>
      <c r="KT100" s="116"/>
      <c r="KU100" s="116"/>
      <c r="KV100" s="116"/>
      <c r="KW100" s="116"/>
      <c r="KX100" s="116"/>
      <c r="KY100" s="116"/>
      <c r="KZ100" s="116"/>
      <c r="LA100" s="116"/>
      <c r="LB100" s="116"/>
      <c r="LC100" s="116"/>
      <c r="LD100" s="116"/>
      <c r="LE100" s="116"/>
      <c r="LF100" s="116"/>
      <c r="LG100" s="116"/>
      <c r="LH100" s="116"/>
      <c r="LI100" s="116"/>
      <c r="LJ100" s="116"/>
      <c r="LK100" s="116"/>
    </row>
    <row r="101">
      <c r="A101" s="15" t="s">
        <v>397</v>
      </c>
      <c r="B101" s="197"/>
      <c r="C101" s="198"/>
      <c r="D101" s="199"/>
      <c r="E101" s="177"/>
      <c r="F101" s="177"/>
      <c r="G101" s="197"/>
      <c r="H101" s="177"/>
      <c r="I101" s="200"/>
      <c r="J101" s="200"/>
      <c r="K101" s="177"/>
      <c r="L101" s="197"/>
      <c r="M101" s="177"/>
      <c r="N101" s="201"/>
      <c r="O101" s="177"/>
      <c r="P101" s="200"/>
      <c r="Q101" s="177"/>
      <c r="R101" s="177"/>
      <c r="S101" s="177"/>
      <c r="T101" s="200"/>
      <c r="V101" s="110"/>
      <c r="W101" s="110"/>
      <c r="X101" s="145"/>
      <c r="AB101" s="32" t="s">
        <v>398</v>
      </c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F101" s="32" t="s">
        <v>399</v>
      </c>
      <c r="DP101" s="64"/>
      <c r="DQ101" s="32" t="s">
        <v>400</v>
      </c>
      <c r="DR101" s="32"/>
      <c r="DS101" s="30"/>
      <c r="DT101" s="30"/>
      <c r="DU101" s="30"/>
      <c r="DV101" s="30"/>
      <c r="DW101" s="30"/>
      <c r="DX101" s="30"/>
      <c r="DY101" s="30"/>
      <c r="DZ101" s="30"/>
      <c r="EA101" s="30"/>
      <c r="EB101" s="30"/>
      <c r="EC101" s="30"/>
      <c r="ED101" s="30"/>
      <c r="EE101" s="30"/>
      <c r="EF101" s="30"/>
      <c r="EG101" s="30"/>
      <c r="EH101" s="30"/>
      <c r="EI101" s="30"/>
      <c r="EJ101" s="30"/>
      <c r="EK101" s="30"/>
      <c r="EL101" s="30"/>
      <c r="EM101" s="30"/>
      <c r="EN101" s="30"/>
      <c r="EO101" s="30"/>
      <c r="EP101" s="30"/>
      <c r="EQ101" s="30"/>
      <c r="ER101" s="30"/>
      <c r="ES101" s="30"/>
      <c r="ET101" s="30"/>
      <c r="EU101" s="30"/>
      <c r="EV101" s="30"/>
      <c r="EW101" s="30"/>
      <c r="EX101" s="30"/>
      <c r="EY101" s="30"/>
      <c r="EZ101" s="30"/>
      <c r="FA101" s="30"/>
      <c r="FB101" s="30"/>
      <c r="FC101" s="30"/>
      <c r="FD101" s="30"/>
      <c r="FE101" s="30"/>
      <c r="FF101" s="30"/>
      <c r="FG101" s="30"/>
      <c r="FH101" s="30"/>
      <c r="FI101" s="30"/>
      <c r="FJ101" s="30"/>
      <c r="FK101" s="30"/>
      <c r="FL101" s="30"/>
      <c r="FM101" s="30"/>
      <c r="FN101" s="30"/>
      <c r="FO101" s="30"/>
      <c r="FP101" s="30"/>
      <c r="FQ101" s="30"/>
      <c r="FR101" s="30"/>
      <c r="FS101" s="30"/>
      <c r="FT101" s="30"/>
      <c r="FU101" s="30"/>
      <c r="FV101" s="30"/>
      <c r="FW101" s="30"/>
      <c r="FX101" s="30"/>
      <c r="FY101" s="30"/>
      <c r="FZ101" s="30"/>
      <c r="GA101" s="30"/>
      <c r="GB101" s="30"/>
      <c r="GC101" s="30"/>
      <c r="GD101" s="30"/>
      <c r="GE101" s="30"/>
      <c r="GF101" s="30"/>
      <c r="GG101" s="30"/>
      <c r="GH101" s="30"/>
      <c r="GI101" s="30"/>
      <c r="GJ101" s="30"/>
      <c r="GK101" s="30"/>
      <c r="GL101" s="30"/>
      <c r="GM101" s="30"/>
      <c r="GN101" s="30"/>
      <c r="GO101" s="30"/>
      <c r="GP101" s="30"/>
      <c r="GQ101" s="30"/>
      <c r="GR101" s="30"/>
      <c r="GS101" s="30"/>
      <c r="GT101" s="30"/>
      <c r="GU101" s="30"/>
      <c r="GV101" s="30"/>
      <c r="GW101" s="30"/>
      <c r="GX101" s="30"/>
      <c r="GY101" s="30"/>
      <c r="GZ101" s="30"/>
      <c r="HA101" s="30"/>
      <c r="HB101" s="30"/>
      <c r="HC101" s="30"/>
      <c r="HD101" s="30"/>
      <c r="HE101" s="30"/>
      <c r="HF101" s="30"/>
      <c r="HG101" s="30"/>
      <c r="HH101" s="30"/>
      <c r="HI101" s="30"/>
      <c r="HJ101" s="30"/>
      <c r="HK101" s="30"/>
      <c r="HL101" s="30"/>
      <c r="HM101" s="30"/>
      <c r="HN101" s="30"/>
      <c r="HO101" s="30"/>
      <c r="HP101" s="30"/>
      <c r="HQ101" s="30"/>
      <c r="HR101" s="30"/>
      <c r="HS101" s="30"/>
      <c r="HT101" s="30"/>
      <c r="HU101" s="30"/>
      <c r="HV101" s="30"/>
      <c r="HW101" s="30"/>
      <c r="HX101" s="30"/>
      <c r="HY101" s="30"/>
      <c r="HZ101" s="30"/>
      <c r="IA101" s="30"/>
      <c r="IB101" s="30"/>
      <c r="IC101" s="30"/>
      <c r="ID101" s="30"/>
      <c r="IE101" s="30"/>
      <c r="IF101" s="30"/>
      <c r="IG101" s="30"/>
      <c r="IH101" s="30"/>
      <c r="II101" s="30"/>
      <c r="IJ101" s="30"/>
      <c r="IK101" s="30"/>
      <c r="IL101" s="30"/>
      <c r="IM101" s="30"/>
      <c r="IN101" s="30"/>
      <c r="IO101" s="30"/>
      <c r="IP101" s="30"/>
      <c r="IQ101" s="30"/>
      <c r="IR101" s="30"/>
      <c r="IS101" s="30"/>
      <c r="IT101" s="30"/>
      <c r="IU101" s="30"/>
      <c r="IV101" s="30"/>
      <c r="IW101" s="30"/>
      <c r="IX101" s="30"/>
      <c r="IY101" s="30"/>
      <c r="IZ101" s="30"/>
      <c r="JA101" s="30"/>
      <c r="JB101" s="30"/>
      <c r="JC101" s="30"/>
      <c r="JD101" s="30"/>
      <c r="JE101" s="30"/>
      <c r="JF101" s="30"/>
      <c r="JG101" s="30"/>
      <c r="JH101" s="30"/>
      <c r="JI101" s="30"/>
      <c r="JJ101" s="30"/>
      <c r="JK101" s="30"/>
      <c r="JL101" s="30"/>
      <c r="JM101" s="30"/>
      <c r="JN101" s="30"/>
      <c r="JO101" s="30"/>
      <c r="JP101" s="30"/>
      <c r="JQ101" s="30"/>
      <c r="JR101" s="30"/>
      <c r="JS101" s="30"/>
      <c r="JT101" s="30"/>
      <c r="JU101" s="30"/>
      <c r="JV101" s="30"/>
      <c r="JW101" s="30"/>
      <c r="JX101" s="30"/>
      <c r="JY101" s="30"/>
      <c r="JZ101" s="30"/>
      <c r="KA101" s="30"/>
      <c r="KB101" s="30"/>
      <c r="KC101" s="30"/>
      <c r="KD101" s="30"/>
      <c r="KE101" s="30"/>
      <c r="KF101" s="30"/>
      <c r="KG101" s="30"/>
      <c r="KH101" s="30"/>
      <c r="KI101" s="30"/>
      <c r="KJ101" s="30"/>
      <c r="KK101" s="30"/>
      <c r="KL101" s="30"/>
      <c r="KM101" s="30"/>
      <c r="KN101" s="30"/>
      <c r="KO101" s="30"/>
      <c r="KP101" s="30"/>
      <c r="KQ101" s="30"/>
      <c r="KR101" s="30"/>
      <c r="KS101" s="30"/>
      <c r="KT101" s="30"/>
      <c r="KU101" s="30"/>
      <c r="KV101" s="30"/>
      <c r="KW101" s="30"/>
      <c r="KX101" s="30"/>
      <c r="KY101" s="30"/>
      <c r="KZ101" s="30"/>
      <c r="LA101" s="30"/>
      <c r="LB101" s="30"/>
      <c r="LC101" s="30"/>
      <c r="LD101" s="30"/>
      <c r="LE101" s="30"/>
      <c r="LF101" s="30"/>
      <c r="LG101" s="30"/>
      <c r="LH101" s="30"/>
      <c r="LI101" s="30"/>
      <c r="LJ101" s="30"/>
      <c r="LK101" s="110"/>
    </row>
    <row r="102">
      <c r="A102" s="192"/>
      <c r="B102" s="134" t="s">
        <v>19</v>
      </c>
      <c r="C102" s="134" t="s">
        <v>20</v>
      </c>
      <c r="D102" s="134" t="s">
        <v>21</v>
      </c>
      <c r="E102" s="134" t="s">
        <v>22</v>
      </c>
      <c r="F102" s="134" t="s">
        <v>23</v>
      </c>
      <c r="G102" s="134" t="s">
        <v>24</v>
      </c>
      <c r="H102" s="134" t="s">
        <v>25</v>
      </c>
      <c r="I102" s="134" t="s">
        <v>26</v>
      </c>
      <c r="J102" s="134" t="s">
        <v>27</v>
      </c>
      <c r="K102" s="134" t="s">
        <v>28</v>
      </c>
      <c r="L102" s="134" t="s">
        <v>29</v>
      </c>
      <c r="M102" s="134" t="s">
        <v>30</v>
      </c>
      <c r="N102" s="134" t="s">
        <v>31</v>
      </c>
      <c r="O102" s="134"/>
      <c r="P102" s="134" t="s">
        <v>32</v>
      </c>
      <c r="Q102" s="134" t="s">
        <v>351</v>
      </c>
      <c r="R102" s="134" t="s">
        <v>34</v>
      </c>
      <c r="S102" s="134" t="s">
        <v>35</v>
      </c>
      <c r="T102" s="134" t="s">
        <v>36</v>
      </c>
      <c r="U102" s="135" t="s">
        <v>37</v>
      </c>
      <c r="V102" s="134" t="s">
        <v>38</v>
      </c>
      <c r="W102" s="135" t="s">
        <v>39</v>
      </c>
      <c r="X102" s="135" t="s">
        <v>40</v>
      </c>
      <c r="Y102" s="136"/>
      <c r="AB102" s="38" t="s">
        <v>41</v>
      </c>
      <c r="AC102" s="38" t="s">
        <v>42</v>
      </c>
      <c r="AD102" s="38" t="s">
        <v>43</v>
      </c>
      <c r="AE102" s="38" t="s">
        <v>44</v>
      </c>
      <c r="AF102" s="38"/>
      <c r="AG102" s="38" t="s">
        <v>46</v>
      </c>
      <c r="AH102" s="38" t="s">
        <v>47</v>
      </c>
      <c r="AI102" s="38" t="s">
        <v>48</v>
      </c>
      <c r="AJ102" s="38" t="s">
        <v>49</v>
      </c>
      <c r="AK102" s="38" t="s">
        <v>50</v>
      </c>
      <c r="AL102" s="38" t="s">
        <v>51</v>
      </c>
      <c r="AM102" s="38" t="s">
        <v>52</v>
      </c>
      <c r="AN102" s="38" t="s">
        <v>53</v>
      </c>
      <c r="AO102" s="38" t="s">
        <v>54</v>
      </c>
      <c r="AP102" s="38" t="s">
        <v>55</v>
      </c>
      <c r="AQ102" s="38" t="s">
        <v>56</v>
      </c>
      <c r="AR102" s="38" t="s">
        <v>57</v>
      </c>
      <c r="AS102" s="38" t="s">
        <v>352</v>
      </c>
      <c r="AT102" s="38" t="s">
        <v>353</v>
      </c>
      <c r="AU102" s="38" t="s">
        <v>58</v>
      </c>
      <c r="AV102" s="38" t="s">
        <v>59</v>
      </c>
      <c r="AW102" s="38" t="s">
        <v>60</v>
      </c>
      <c r="AX102" s="38"/>
      <c r="AY102" s="38" t="s">
        <v>61</v>
      </c>
      <c r="AZ102" s="38" t="s">
        <v>62</v>
      </c>
      <c r="BA102" s="38" t="s">
        <v>63</v>
      </c>
      <c r="BB102" s="38"/>
      <c r="BC102" s="38" t="s">
        <v>64</v>
      </c>
      <c r="BD102" s="40" t="s">
        <v>65</v>
      </c>
      <c r="BE102" s="38" t="s">
        <v>66</v>
      </c>
      <c r="BF102" s="38" t="s">
        <v>67</v>
      </c>
      <c r="BG102" s="38" t="s">
        <v>354</v>
      </c>
      <c r="BH102" s="38" t="s">
        <v>355</v>
      </c>
      <c r="BI102" s="38" t="s">
        <v>68</v>
      </c>
      <c r="BJ102" s="38" t="s">
        <v>69</v>
      </c>
      <c r="BK102" s="38" t="s">
        <v>70</v>
      </c>
      <c r="BL102" s="38" t="s">
        <v>71</v>
      </c>
      <c r="BM102" s="38" t="s">
        <v>72</v>
      </c>
      <c r="BN102" s="38" t="s">
        <v>73</v>
      </c>
      <c r="BO102" s="38" t="s">
        <v>74</v>
      </c>
      <c r="BP102" s="38" t="s">
        <v>75</v>
      </c>
      <c r="BQ102" s="38" t="s">
        <v>76</v>
      </c>
      <c r="BR102" s="38" t="s">
        <v>77</v>
      </c>
      <c r="BS102" s="38" t="s">
        <v>78</v>
      </c>
      <c r="BT102" s="38" t="s">
        <v>79</v>
      </c>
      <c r="BU102" s="38" t="s">
        <v>80</v>
      </c>
      <c r="BV102" s="38" t="s">
        <v>81</v>
      </c>
      <c r="BW102" s="38" t="s">
        <v>82</v>
      </c>
      <c r="BX102" s="38" t="s">
        <v>83</v>
      </c>
      <c r="BY102" s="38" t="s">
        <v>84</v>
      </c>
      <c r="BZ102" s="38" t="s">
        <v>85</v>
      </c>
      <c r="CA102" s="38" t="s">
        <v>86</v>
      </c>
      <c r="CB102" s="38" t="s">
        <v>87</v>
      </c>
      <c r="CC102" s="38" t="s">
        <v>88</v>
      </c>
      <c r="CD102" s="38" t="s">
        <v>89</v>
      </c>
      <c r="CF102" s="41"/>
      <c r="CG102" s="41" t="s">
        <v>90</v>
      </c>
      <c r="CH102" s="41" t="s">
        <v>91</v>
      </c>
      <c r="CI102" s="41" t="s">
        <v>92</v>
      </c>
      <c r="CJ102" s="41" t="s">
        <v>93</v>
      </c>
      <c r="CK102" s="41" t="s">
        <v>94</v>
      </c>
      <c r="CL102" s="41"/>
      <c r="CM102" s="41" t="s">
        <v>95</v>
      </c>
      <c r="CN102" s="41" t="s">
        <v>96</v>
      </c>
      <c r="CO102" s="41" t="s">
        <v>45</v>
      </c>
      <c r="CP102" s="41" t="s">
        <v>97</v>
      </c>
      <c r="CQ102" s="41" t="s">
        <v>98</v>
      </c>
      <c r="CR102" s="41" t="s">
        <v>99</v>
      </c>
      <c r="CS102" s="41" t="s">
        <v>48</v>
      </c>
      <c r="CT102" s="41" t="s">
        <v>100</v>
      </c>
      <c r="CU102" s="41" t="s">
        <v>101</v>
      </c>
      <c r="CV102" s="41" t="s">
        <v>102</v>
      </c>
      <c r="CW102" s="41" t="s">
        <v>103</v>
      </c>
      <c r="CX102" s="41" t="s">
        <v>67</v>
      </c>
      <c r="CY102" s="41" t="s">
        <v>104</v>
      </c>
      <c r="CZ102" s="41" t="s">
        <v>105</v>
      </c>
      <c r="DA102" s="41" t="s">
        <v>107</v>
      </c>
      <c r="DB102" s="41" t="s">
        <v>108</v>
      </c>
      <c r="DC102" s="41" t="s">
        <v>109</v>
      </c>
      <c r="DD102" s="41" t="s">
        <v>110</v>
      </c>
      <c r="DE102" s="41" t="s">
        <v>111</v>
      </c>
      <c r="DF102" s="41" t="s">
        <v>112</v>
      </c>
      <c r="DG102" s="41" t="s">
        <v>113</v>
      </c>
      <c r="DH102" s="41" t="s">
        <v>114</v>
      </c>
      <c r="DI102" s="41" t="s">
        <v>115</v>
      </c>
      <c r="DJ102" s="41" t="s">
        <v>116</v>
      </c>
      <c r="DK102" s="41" t="s">
        <v>117</v>
      </c>
      <c r="DL102" s="41" t="s">
        <v>118</v>
      </c>
      <c r="DM102" s="41" t="s">
        <v>119</v>
      </c>
      <c r="DP102" s="64"/>
      <c r="DQ102" s="43"/>
      <c r="DR102" s="43" t="s">
        <v>356</v>
      </c>
      <c r="DS102" s="44" t="s">
        <v>357</v>
      </c>
      <c r="DT102" s="43" t="s">
        <v>120</v>
      </c>
      <c r="DU102" s="43" t="s">
        <v>121</v>
      </c>
      <c r="DV102" s="43" t="s">
        <v>122</v>
      </c>
      <c r="DW102" s="43"/>
      <c r="DX102" s="43" t="s">
        <v>123</v>
      </c>
      <c r="DY102" s="43" t="s">
        <v>124</v>
      </c>
      <c r="DZ102" s="44" t="s">
        <v>125</v>
      </c>
      <c r="EA102" s="43" t="s">
        <v>126</v>
      </c>
      <c r="EB102" s="44" t="s">
        <v>358</v>
      </c>
      <c r="EC102" s="43" t="s">
        <v>359</v>
      </c>
      <c r="ED102" s="44" t="s">
        <v>360</v>
      </c>
      <c r="EE102" s="43" t="s">
        <v>127</v>
      </c>
      <c r="EF102" s="43" t="s">
        <v>128</v>
      </c>
      <c r="EG102" s="43" t="s">
        <v>129</v>
      </c>
      <c r="EH102" s="43" t="s">
        <v>130</v>
      </c>
      <c r="EI102" s="43" t="s">
        <v>131</v>
      </c>
      <c r="EJ102" s="43" t="s">
        <v>132</v>
      </c>
      <c r="EK102" s="43" t="s">
        <v>133</v>
      </c>
      <c r="EL102" s="43" t="s">
        <v>134</v>
      </c>
      <c r="EM102" s="43" t="s">
        <v>135</v>
      </c>
      <c r="EN102" s="44" t="s">
        <v>361</v>
      </c>
      <c r="EO102" s="43" t="s">
        <v>136</v>
      </c>
      <c r="EP102" s="43" t="s">
        <v>137</v>
      </c>
      <c r="EQ102" s="43" t="s">
        <v>138</v>
      </c>
      <c r="ER102" s="43" t="s">
        <v>139</v>
      </c>
      <c r="ES102" s="43" t="s">
        <v>140</v>
      </c>
      <c r="ET102" s="43" t="s">
        <v>141</v>
      </c>
      <c r="EU102" s="43"/>
      <c r="EV102" s="43" t="s">
        <v>143</v>
      </c>
      <c r="EW102" s="43" t="s">
        <v>144</v>
      </c>
      <c r="EX102" s="44" t="s">
        <v>145</v>
      </c>
      <c r="EY102" s="43" t="s">
        <v>146</v>
      </c>
      <c r="EZ102" s="43" t="s">
        <v>147</v>
      </c>
      <c r="FA102" s="43" t="s">
        <v>148</v>
      </c>
      <c r="FB102" s="44" t="s">
        <v>362</v>
      </c>
      <c r="FC102" s="43" t="s">
        <v>149</v>
      </c>
      <c r="FD102" s="43" t="s">
        <v>151</v>
      </c>
      <c r="FE102" s="44" t="s">
        <v>363</v>
      </c>
      <c r="FF102" s="43" t="s">
        <v>152</v>
      </c>
      <c r="FG102" s="43" t="s">
        <v>153</v>
      </c>
      <c r="FH102" s="43" t="s">
        <v>364</v>
      </c>
      <c r="FI102" s="43" t="s">
        <v>154</v>
      </c>
      <c r="FJ102" s="43" t="s">
        <v>155</v>
      </c>
      <c r="FK102" s="44" t="s">
        <v>156</v>
      </c>
      <c r="FL102" s="44" t="s">
        <v>157</v>
      </c>
      <c r="FM102" s="44" t="s">
        <v>158</v>
      </c>
      <c r="FN102" s="43" t="s">
        <v>159</v>
      </c>
      <c r="FO102" s="43" t="s">
        <v>160</v>
      </c>
      <c r="FP102" s="44" t="s">
        <v>365</v>
      </c>
      <c r="FQ102" s="43" t="s">
        <v>161</v>
      </c>
      <c r="FR102" s="43" t="s">
        <v>162</v>
      </c>
      <c r="FS102" s="44" t="s">
        <v>366</v>
      </c>
      <c r="FT102" s="44" t="s">
        <v>367</v>
      </c>
      <c r="FU102" s="43" t="s">
        <v>368</v>
      </c>
      <c r="FV102" s="43" t="s">
        <v>163</v>
      </c>
      <c r="FW102" s="43" t="s">
        <v>164</v>
      </c>
      <c r="FX102" s="46" t="s">
        <v>165</v>
      </c>
      <c r="FY102" s="43" t="s">
        <v>369</v>
      </c>
      <c r="FZ102" s="43" t="s">
        <v>167</v>
      </c>
      <c r="GA102" s="43" t="s">
        <v>168</v>
      </c>
      <c r="GB102" s="43" t="s">
        <v>169</v>
      </c>
      <c r="GC102" s="43" t="s">
        <v>170</v>
      </c>
      <c r="GD102" s="43" t="s">
        <v>171</v>
      </c>
      <c r="GE102" s="43" t="s">
        <v>172</v>
      </c>
      <c r="GF102" s="43" t="s">
        <v>173</v>
      </c>
      <c r="GG102" s="43" t="s">
        <v>174</v>
      </c>
      <c r="GH102" s="43" t="s">
        <v>175</v>
      </c>
      <c r="GI102" s="43" t="s">
        <v>176</v>
      </c>
      <c r="GJ102" s="47" t="s">
        <v>177</v>
      </c>
      <c r="GK102" s="43" t="s">
        <v>178</v>
      </c>
      <c r="GL102" s="43" t="s">
        <v>179</v>
      </c>
      <c r="GM102" s="43" t="s">
        <v>180</v>
      </c>
      <c r="GN102" s="43"/>
      <c r="GO102" s="43" t="s">
        <v>181</v>
      </c>
      <c r="GP102" s="44" t="s">
        <v>370</v>
      </c>
      <c r="GQ102" s="43" t="s">
        <v>182</v>
      </c>
      <c r="GR102" s="43" t="s">
        <v>183</v>
      </c>
      <c r="GS102" s="43" t="s">
        <v>184</v>
      </c>
      <c r="GT102" s="43" t="s">
        <v>185</v>
      </c>
      <c r="GU102" s="43" t="s">
        <v>186</v>
      </c>
      <c r="GV102" s="43" t="s">
        <v>187</v>
      </c>
      <c r="GW102" s="43" t="s">
        <v>188</v>
      </c>
      <c r="GX102" s="43" t="s">
        <v>189</v>
      </c>
      <c r="GY102" s="43" t="s">
        <v>190</v>
      </c>
      <c r="GZ102" s="43" t="s">
        <v>191</v>
      </c>
      <c r="HA102" s="44" t="s">
        <v>371</v>
      </c>
      <c r="HB102" s="44" t="s">
        <v>372</v>
      </c>
      <c r="HC102" s="43" t="s">
        <v>192</v>
      </c>
      <c r="HD102" s="44" t="s">
        <v>373</v>
      </c>
      <c r="HE102" s="44" t="s">
        <v>374</v>
      </c>
      <c r="HF102" s="47" t="s">
        <v>194</v>
      </c>
      <c r="HG102" s="43" t="s">
        <v>195</v>
      </c>
      <c r="HH102" s="43" t="s">
        <v>196</v>
      </c>
      <c r="HI102" s="43" t="s">
        <v>197</v>
      </c>
      <c r="HJ102" s="43" t="s">
        <v>198</v>
      </c>
      <c r="HK102" s="43" t="s">
        <v>199</v>
      </c>
      <c r="HL102" s="43" t="s">
        <v>200</v>
      </c>
      <c r="HM102" s="44" t="s">
        <v>201</v>
      </c>
      <c r="HN102" s="43" t="s">
        <v>202</v>
      </c>
      <c r="HO102" s="43" t="s">
        <v>203</v>
      </c>
      <c r="HP102" s="43" t="s">
        <v>204</v>
      </c>
      <c r="HQ102" s="43" t="s">
        <v>205</v>
      </c>
      <c r="HR102" s="43" t="s">
        <v>206</v>
      </c>
      <c r="HS102" s="43" t="s">
        <v>207</v>
      </c>
      <c r="HT102" s="43" t="s">
        <v>208</v>
      </c>
      <c r="HU102" s="43" t="s">
        <v>209</v>
      </c>
      <c r="HV102" s="43" t="s">
        <v>210</v>
      </c>
      <c r="HW102" s="43" t="s">
        <v>211</v>
      </c>
      <c r="HX102" s="43" t="s">
        <v>212</v>
      </c>
      <c r="HY102" s="43" t="s">
        <v>213</v>
      </c>
      <c r="HZ102" s="43" t="s">
        <v>214</v>
      </c>
      <c r="IA102" s="43" t="s">
        <v>215</v>
      </c>
      <c r="IB102" s="43" t="s">
        <v>216</v>
      </c>
      <c r="IC102" s="43" t="s">
        <v>217</v>
      </c>
      <c r="ID102" s="43" t="s">
        <v>218</v>
      </c>
      <c r="IE102" s="43" t="s">
        <v>219</v>
      </c>
      <c r="IF102" s="43" t="s">
        <v>220</v>
      </c>
      <c r="IG102" s="43" t="s">
        <v>221</v>
      </c>
      <c r="IH102" s="43" t="s">
        <v>222</v>
      </c>
      <c r="II102" s="44" t="s">
        <v>375</v>
      </c>
      <c r="IJ102" s="44" t="s">
        <v>376</v>
      </c>
      <c r="IK102" s="43" t="s">
        <v>223</v>
      </c>
      <c r="IL102" s="43" t="s">
        <v>224</v>
      </c>
      <c r="IM102" s="43" t="s">
        <v>225</v>
      </c>
      <c r="IN102" s="43" t="s">
        <v>226</v>
      </c>
      <c r="IO102" s="43" t="s">
        <v>228</v>
      </c>
      <c r="IP102" s="43" t="s">
        <v>229</v>
      </c>
      <c r="IQ102" s="43" t="s">
        <v>230</v>
      </c>
      <c r="IR102" s="44" t="s">
        <v>231</v>
      </c>
      <c r="IS102" s="43" t="s">
        <v>232</v>
      </c>
      <c r="IT102" s="43" t="s">
        <v>233</v>
      </c>
      <c r="IU102" s="43" t="s">
        <v>234</v>
      </c>
      <c r="IV102" s="43" t="s">
        <v>235</v>
      </c>
      <c r="IW102" s="43" t="s">
        <v>236</v>
      </c>
      <c r="IX102" s="43" t="s">
        <v>237</v>
      </c>
      <c r="IY102" s="44" t="s">
        <v>238</v>
      </c>
      <c r="IZ102" s="44" t="s">
        <v>239</v>
      </c>
      <c r="JA102" s="43" t="s">
        <v>240</v>
      </c>
      <c r="JB102" s="43" t="s">
        <v>241</v>
      </c>
      <c r="JC102" s="44" t="s">
        <v>242</v>
      </c>
      <c r="JD102" s="44" t="s">
        <v>243</v>
      </c>
      <c r="JE102" s="43" t="s">
        <v>244</v>
      </c>
      <c r="JF102" s="44" t="s">
        <v>377</v>
      </c>
      <c r="JG102" s="43" t="s">
        <v>378</v>
      </c>
      <c r="JH102" s="43" t="s">
        <v>245</v>
      </c>
      <c r="JI102" s="43" t="s">
        <v>246</v>
      </c>
      <c r="JJ102" s="44" t="s">
        <v>247</v>
      </c>
      <c r="JK102" s="43" t="s">
        <v>248</v>
      </c>
      <c r="JL102" s="43" t="s">
        <v>249</v>
      </c>
      <c r="JM102" s="43" t="s">
        <v>250</v>
      </c>
      <c r="JN102" s="43" t="s">
        <v>251</v>
      </c>
      <c r="JO102" s="43" t="s">
        <v>252</v>
      </c>
      <c r="JP102" s="43" t="s">
        <v>253</v>
      </c>
      <c r="JQ102" s="43" t="s">
        <v>254</v>
      </c>
      <c r="JR102" s="43" t="s">
        <v>255</v>
      </c>
      <c r="JS102" s="43" t="s">
        <v>256</v>
      </c>
      <c r="JT102" s="43" t="s">
        <v>257</v>
      </c>
      <c r="JU102" s="43"/>
      <c r="JV102" s="43" t="s">
        <v>258</v>
      </c>
      <c r="JW102" s="43" t="s">
        <v>259</v>
      </c>
      <c r="JX102" s="43" t="s">
        <v>260</v>
      </c>
      <c r="JY102" s="43" t="s">
        <v>261</v>
      </c>
      <c r="JZ102" s="43" t="s">
        <v>262</v>
      </c>
      <c r="KA102" s="43"/>
      <c r="KB102" s="43" t="s">
        <v>263</v>
      </c>
      <c r="KC102" s="43" t="s">
        <v>25</v>
      </c>
      <c r="KD102" s="43" t="s">
        <v>265</v>
      </c>
      <c r="KE102" s="43"/>
      <c r="KF102" s="43" t="s">
        <v>266</v>
      </c>
      <c r="KG102" s="43" t="s">
        <v>267</v>
      </c>
      <c r="KH102" s="43" t="s">
        <v>268</v>
      </c>
      <c r="KI102" s="43" t="s">
        <v>269</v>
      </c>
      <c r="KJ102" s="43" t="s">
        <v>270</v>
      </c>
      <c r="KK102" s="43" t="s">
        <v>271</v>
      </c>
      <c r="KL102" s="43" t="s">
        <v>272</v>
      </c>
      <c r="KM102" s="43" t="s">
        <v>273</v>
      </c>
      <c r="KN102" s="43" t="s">
        <v>274</v>
      </c>
      <c r="KO102" s="43"/>
      <c r="KP102" s="43" t="s">
        <v>275</v>
      </c>
      <c r="KQ102" s="43" t="s">
        <v>276</v>
      </c>
      <c r="KR102" s="43" t="s">
        <v>277</v>
      </c>
      <c r="KS102" s="43"/>
      <c r="KT102" s="43" t="s">
        <v>278</v>
      </c>
      <c r="KU102" s="44" t="s">
        <v>379</v>
      </c>
      <c r="KV102" s="43" t="s">
        <v>279</v>
      </c>
      <c r="KW102" s="43" t="s">
        <v>280</v>
      </c>
      <c r="KX102" s="43" t="s">
        <v>281</v>
      </c>
      <c r="KY102" s="43" t="s">
        <v>282</v>
      </c>
      <c r="KZ102" s="43" t="s">
        <v>283</v>
      </c>
      <c r="LA102" s="44" t="s">
        <v>380</v>
      </c>
      <c r="LB102" s="43" t="s">
        <v>284</v>
      </c>
      <c r="LC102" s="43" t="s">
        <v>285</v>
      </c>
      <c r="LD102" s="44" t="s">
        <v>381</v>
      </c>
      <c r="LE102" s="43" t="s">
        <v>286</v>
      </c>
      <c r="LF102" s="43"/>
      <c r="LG102" s="43" t="s">
        <v>287</v>
      </c>
      <c r="LH102" s="43" t="s">
        <v>33</v>
      </c>
      <c r="LI102" s="43" t="s">
        <v>288</v>
      </c>
      <c r="LJ102" s="43" t="s">
        <v>289</v>
      </c>
      <c r="LK102" s="110"/>
    </row>
    <row r="103">
      <c r="A103" s="49" t="s">
        <v>291</v>
      </c>
      <c r="B103" s="149"/>
      <c r="C103" s="87"/>
      <c r="D103" s="147"/>
      <c r="E103" s="146"/>
      <c r="F103" s="146"/>
      <c r="G103" s="149"/>
      <c r="H103" s="146"/>
      <c r="I103" s="53"/>
      <c r="J103" s="53"/>
      <c r="K103" s="146"/>
      <c r="L103" s="149"/>
      <c r="M103" s="146"/>
      <c r="N103" s="52"/>
      <c r="O103" s="146"/>
      <c r="P103" s="53"/>
      <c r="Q103" s="146"/>
      <c r="R103" s="146"/>
      <c r="S103" s="146"/>
      <c r="T103" s="53"/>
      <c r="U103" s="27"/>
      <c r="V103" s="28"/>
      <c r="W103" s="28"/>
      <c r="X103" s="195"/>
      <c r="Y103" s="27"/>
      <c r="AB103" s="27"/>
      <c r="AC103" s="27"/>
      <c r="AD103" s="28"/>
      <c r="AE103" s="28"/>
      <c r="AF103" s="28"/>
      <c r="AG103" s="28"/>
      <c r="AH103" s="28"/>
      <c r="AI103" s="28"/>
      <c r="AJ103" s="27"/>
      <c r="AK103" s="28"/>
      <c r="AL103" s="28"/>
      <c r="AM103" s="28"/>
      <c r="AN103" s="28"/>
      <c r="AO103" s="27"/>
      <c r="AP103" s="27"/>
      <c r="AQ103" s="28"/>
      <c r="AR103" s="28"/>
      <c r="AS103" s="28"/>
      <c r="AT103" s="28"/>
      <c r="AU103" s="28"/>
      <c r="AV103" s="62"/>
      <c r="AW103" s="62"/>
      <c r="AX103" s="27"/>
      <c r="AY103" s="27"/>
      <c r="AZ103" s="27"/>
      <c r="BA103" s="28"/>
      <c r="BB103" s="27"/>
      <c r="BC103" s="27"/>
      <c r="BD103" s="27"/>
      <c r="BE103" s="28"/>
      <c r="BF103" s="27"/>
      <c r="BG103" s="28"/>
      <c r="BH103" s="28"/>
      <c r="BI103" s="28"/>
      <c r="BJ103" s="27"/>
      <c r="BK103" s="28"/>
      <c r="BL103" s="28"/>
      <c r="BM103" s="27"/>
      <c r="BN103" s="27"/>
      <c r="BO103" s="28"/>
      <c r="BP103" s="27"/>
      <c r="BQ103" s="28"/>
      <c r="BR103" s="27"/>
      <c r="BS103" s="28"/>
      <c r="BT103" s="28"/>
      <c r="BU103" s="27"/>
      <c r="BV103" s="28"/>
      <c r="BW103" s="27"/>
      <c r="BX103" s="28"/>
      <c r="BY103" s="28"/>
      <c r="BZ103" s="28"/>
      <c r="CA103" s="27"/>
      <c r="CB103" s="28"/>
      <c r="CC103" s="62"/>
      <c r="CD103" s="62"/>
      <c r="CF103" s="49" t="s">
        <v>291</v>
      </c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P103" s="64"/>
      <c r="DQ103" s="49" t="s">
        <v>291</v>
      </c>
      <c r="DR103" s="28"/>
      <c r="DS103" s="28"/>
      <c r="DT103" s="28"/>
      <c r="DU103" s="28"/>
      <c r="DV103" s="62"/>
      <c r="DW103" s="28"/>
      <c r="DX103" s="28"/>
      <c r="DY103" s="28"/>
      <c r="DZ103" s="28"/>
      <c r="EA103" s="28"/>
      <c r="EB103" s="28"/>
      <c r="EC103" s="28"/>
      <c r="ED103" s="28"/>
      <c r="EE103" s="28"/>
      <c r="EF103" s="28"/>
      <c r="EG103" s="28"/>
      <c r="EH103" s="28"/>
      <c r="EI103" s="28"/>
      <c r="EJ103" s="28"/>
      <c r="EK103" s="28"/>
      <c r="EL103" s="28"/>
      <c r="EM103" s="28"/>
      <c r="EN103" s="28"/>
      <c r="EO103" s="28"/>
      <c r="EP103" s="28"/>
      <c r="EQ103" s="28"/>
      <c r="ER103" s="28"/>
      <c r="ES103" s="28"/>
      <c r="ET103" s="28"/>
      <c r="EU103" s="28"/>
      <c r="EV103" s="28"/>
      <c r="EW103" s="28"/>
      <c r="EX103" s="28"/>
      <c r="EY103" s="28"/>
      <c r="EZ103" s="28"/>
      <c r="FA103" s="28"/>
      <c r="FB103" s="28"/>
      <c r="FC103" s="28"/>
      <c r="FD103" s="28"/>
      <c r="FE103" s="28"/>
      <c r="FF103" s="28"/>
      <c r="FG103" s="28"/>
      <c r="FH103" s="28"/>
      <c r="FI103" s="28"/>
      <c r="FJ103" s="28"/>
      <c r="FK103" s="28"/>
      <c r="FL103" s="28"/>
      <c r="FM103" s="28"/>
      <c r="FN103" s="28"/>
      <c r="FO103" s="28"/>
      <c r="FP103" s="28"/>
      <c r="FQ103" s="28"/>
      <c r="FR103" s="28"/>
      <c r="FS103" s="28"/>
      <c r="FT103" s="28"/>
      <c r="FU103" s="28"/>
      <c r="FV103" s="28"/>
      <c r="FW103" s="28"/>
      <c r="FX103" s="28"/>
      <c r="FY103" s="28"/>
      <c r="FZ103" s="28"/>
      <c r="GA103" s="28"/>
      <c r="GB103" s="28"/>
      <c r="GC103" s="28"/>
      <c r="GD103" s="28"/>
      <c r="GE103" s="28"/>
      <c r="GF103" s="28"/>
      <c r="GG103" s="28"/>
      <c r="GH103" s="28"/>
      <c r="GI103" s="28"/>
      <c r="GJ103" s="28"/>
      <c r="GK103" s="28"/>
      <c r="GL103" s="28"/>
      <c r="GM103" s="62"/>
      <c r="GN103" s="28"/>
      <c r="GO103" s="28"/>
      <c r="GP103" s="28"/>
      <c r="GQ103" s="28"/>
      <c r="GR103" s="28"/>
      <c r="GS103" s="28"/>
      <c r="GT103" s="28"/>
      <c r="GU103" s="28"/>
      <c r="GV103" s="28"/>
      <c r="GW103" s="28"/>
      <c r="GX103" s="28"/>
      <c r="GY103" s="28"/>
      <c r="GZ103" s="28"/>
      <c r="HA103" s="28"/>
      <c r="HB103" s="28"/>
      <c r="HC103" s="28"/>
      <c r="HD103" s="28"/>
      <c r="HE103" s="28"/>
      <c r="HF103" s="27"/>
      <c r="HG103" s="28"/>
      <c r="HH103" s="28"/>
      <c r="HI103" s="28"/>
      <c r="HJ103" s="28"/>
      <c r="HK103" s="28"/>
      <c r="HL103" s="28"/>
      <c r="HM103" s="28"/>
      <c r="HN103" s="28"/>
      <c r="HO103" s="28"/>
      <c r="HP103" s="28"/>
      <c r="HQ103" s="28"/>
      <c r="HR103" s="28"/>
      <c r="HS103" s="28"/>
      <c r="HT103" s="28"/>
      <c r="HU103" s="28"/>
      <c r="HV103" s="28"/>
      <c r="HW103" s="28"/>
      <c r="HX103" s="28"/>
      <c r="HY103" s="28"/>
      <c r="HZ103" s="28"/>
      <c r="IA103" s="28"/>
      <c r="IB103" s="28"/>
      <c r="IC103" s="28"/>
      <c r="ID103" s="28"/>
      <c r="IE103" s="28"/>
      <c r="IF103" s="28"/>
      <c r="IG103" s="28"/>
      <c r="IH103" s="28"/>
      <c r="II103" s="28"/>
      <c r="IJ103" s="28"/>
      <c r="IK103" s="28"/>
      <c r="IL103" s="28"/>
      <c r="IM103" s="28"/>
      <c r="IN103" s="28"/>
      <c r="IO103" s="28"/>
      <c r="IP103" s="28"/>
      <c r="IQ103" s="28"/>
      <c r="IR103" s="28"/>
      <c r="IS103" s="28"/>
      <c r="IT103" s="28"/>
      <c r="IU103" s="28"/>
      <c r="IV103" s="28"/>
      <c r="IW103" s="28"/>
      <c r="IX103" s="28"/>
      <c r="IY103" s="28"/>
      <c r="IZ103" s="28"/>
      <c r="JA103" s="28"/>
      <c r="JB103" s="28"/>
      <c r="JC103" s="28"/>
      <c r="JD103" s="28"/>
      <c r="JE103" s="28"/>
      <c r="JF103" s="28"/>
      <c r="JG103" s="28"/>
      <c r="JH103" s="28"/>
      <c r="JI103" s="28"/>
      <c r="JJ103" s="28"/>
      <c r="JK103" s="28"/>
      <c r="JL103" s="28"/>
      <c r="JM103" s="28"/>
      <c r="JN103" s="28"/>
      <c r="JO103" s="28"/>
      <c r="JP103" s="28"/>
      <c r="JQ103" s="28"/>
      <c r="JR103" s="28"/>
      <c r="JS103" s="28"/>
      <c r="JT103" s="62"/>
      <c r="JU103" s="28"/>
      <c r="JV103" s="28"/>
      <c r="JW103" s="28"/>
      <c r="JX103" s="28"/>
      <c r="JY103" s="28"/>
      <c r="JZ103" s="62"/>
      <c r="KA103" s="28"/>
      <c r="KB103" s="28"/>
      <c r="KC103" s="28"/>
      <c r="KD103" s="62"/>
      <c r="KE103" s="28"/>
      <c r="KF103" s="28"/>
      <c r="KG103" s="28"/>
      <c r="KH103" s="28"/>
      <c r="KI103" s="28"/>
      <c r="KJ103" s="28"/>
      <c r="KK103" s="28"/>
      <c r="KL103" s="28"/>
      <c r="KM103" s="28"/>
      <c r="KN103" s="62"/>
      <c r="KO103" s="28"/>
      <c r="KP103" s="28"/>
      <c r="KQ103" s="28"/>
      <c r="KR103" s="28"/>
      <c r="KS103" s="28"/>
      <c r="KT103" s="28"/>
      <c r="KU103" s="28"/>
      <c r="KV103" s="28"/>
      <c r="KW103" s="28"/>
      <c r="KX103" s="28"/>
      <c r="KY103" s="28"/>
      <c r="KZ103" s="28"/>
      <c r="LA103" s="28"/>
      <c r="LB103" s="28"/>
      <c r="LC103" s="28"/>
      <c r="LD103" s="28"/>
      <c r="LE103" s="62"/>
      <c r="LF103" s="28"/>
      <c r="LG103" s="28"/>
      <c r="LH103" s="28"/>
      <c r="LI103" s="28"/>
      <c r="LJ103" s="28"/>
      <c r="LK103" s="110"/>
    </row>
    <row r="104">
      <c r="A104" s="49" t="s">
        <v>296</v>
      </c>
      <c r="B104" s="149"/>
      <c r="C104" s="87"/>
      <c r="D104" s="147"/>
      <c r="E104" s="146"/>
      <c r="F104" s="146"/>
      <c r="G104" s="149"/>
      <c r="H104" s="146"/>
      <c r="I104" s="53"/>
      <c r="J104" s="53"/>
      <c r="K104" s="146"/>
      <c r="L104" s="149"/>
      <c r="M104" s="146"/>
      <c r="N104" s="52"/>
      <c r="O104" s="146"/>
      <c r="P104" s="53"/>
      <c r="Q104" s="146"/>
      <c r="R104" s="146"/>
      <c r="S104" s="146"/>
      <c r="T104" s="53"/>
      <c r="U104" s="27"/>
      <c r="V104" s="28"/>
      <c r="W104" s="28"/>
      <c r="X104" s="195"/>
      <c r="Y104" s="27"/>
      <c r="AB104" s="27"/>
      <c r="AC104" s="27"/>
      <c r="AD104" s="28"/>
      <c r="AE104" s="28"/>
      <c r="AF104" s="28"/>
      <c r="AG104" s="28"/>
      <c r="AH104" s="28"/>
      <c r="AI104" s="28"/>
      <c r="AJ104" s="27"/>
      <c r="AK104" s="28"/>
      <c r="AL104" s="28"/>
      <c r="AM104" s="28"/>
      <c r="AN104" s="28"/>
      <c r="AO104" s="27"/>
      <c r="AP104" s="27"/>
      <c r="AQ104" s="28"/>
      <c r="AR104" s="28"/>
      <c r="AS104" s="28"/>
      <c r="AT104" s="28"/>
      <c r="AU104" s="28"/>
      <c r="AV104" s="62"/>
      <c r="AW104" s="62"/>
      <c r="AX104" s="27"/>
      <c r="AY104" s="27"/>
      <c r="AZ104" s="27"/>
      <c r="BA104" s="28"/>
      <c r="BB104" s="27"/>
      <c r="BC104" s="27"/>
      <c r="BD104" s="27"/>
      <c r="BE104" s="28"/>
      <c r="BF104" s="27"/>
      <c r="BG104" s="28"/>
      <c r="BH104" s="28"/>
      <c r="BI104" s="28"/>
      <c r="BJ104" s="27"/>
      <c r="BK104" s="28"/>
      <c r="BL104" s="28"/>
      <c r="BM104" s="27"/>
      <c r="BN104" s="27"/>
      <c r="BO104" s="28"/>
      <c r="BP104" s="27"/>
      <c r="BQ104" s="28"/>
      <c r="BR104" s="27"/>
      <c r="BS104" s="28"/>
      <c r="BT104" s="28"/>
      <c r="BU104" s="27"/>
      <c r="BV104" s="28"/>
      <c r="BW104" s="27"/>
      <c r="BX104" s="28"/>
      <c r="BY104" s="28"/>
      <c r="BZ104" s="28"/>
      <c r="CA104" s="27"/>
      <c r="CB104" s="28"/>
      <c r="CC104" s="62"/>
      <c r="CD104" s="62"/>
      <c r="CF104" s="49" t="s">
        <v>296</v>
      </c>
      <c r="CG104" s="27"/>
      <c r="CH104" s="28"/>
      <c r="CI104" s="27"/>
      <c r="CJ104" s="28"/>
      <c r="CK104" s="27"/>
      <c r="CL104" s="27"/>
      <c r="CM104" s="27"/>
      <c r="CN104" s="28"/>
      <c r="CO104" s="28"/>
      <c r="CP104" s="28"/>
      <c r="CQ104" s="28"/>
      <c r="CR104" s="28"/>
      <c r="CS104" s="28"/>
      <c r="CT104" s="27"/>
      <c r="CU104" s="28"/>
      <c r="CV104" s="28"/>
      <c r="CW104" s="28"/>
      <c r="CX104" s="27"/>
      <c r="CY104" s="27"/>
      <c r="CZ104" s="28"/>
      <c r="DA104" s="28"/>
      <c r="DB104" s="27"/>
      <c r="DC104" s="28"/>
      <c r="DD104" s="27"/>
      <c r="DE104" s="28"/>
      <c r="DF104" s="28"/>
      <c r="DG104" s="27"/>
      <c r="DH104" s="28"/>
      <c r="DI104" s="27"/>
      <c r="DJ104" s="28"/>
      <c r="DK104" s="28"/>
      <c r="DL104" s="28"/>
      <c r="DM104" s="28"/>
      <c r="DP104" s="64"/>
      <c r="DQ104" s="49" t="s">
        <v>296</v>
      </c>
      <c r="DR104" s="28"/>
      <c r="DS104" s="28"/>
      <c r="DT104" s="28"/>
      <c r="DU104" s="28"/>
      <c r="DV104" s="62"/>
      <c r="DW104" s="28"/>
      <c r="DX104" s="28"/>
      <c r="DY104" s="28"/>
      <c r="DZ104" s="28"/>
      <c r="EA104" s="28"/>
      <c r="EB104" s="28"/>
      <c r="EC104" s="27"/>
      <c r="ED104" s="28"/>
      <c r="EE104" s="28"/>
      <c r="EF104" s="28"/>
      <c r="EG104" s="28"/>
      <c r="EH104" s="28"/>
      <c r="EI104" s="28"/>
      <c r="EJ104" s="28"/>
      <c r="EK104" s="28"/>
      <c r="EL104" s="28"/>
      <c r="EM104" s="28"/>
      <c r="EN104" s="28"/>
      <c r="EO104" s="28"/>
      <c r="EP104" s="28"/>
      <c r="EQ104" s="28"/>
      <c r="ER104" s="28"/>
      <c r="ES104" s="28"/>
      <c r="ET104" s="28"/>
      <c r="EU104" s="28"/>
      <c r="EV104" s="28"/>
      <c r="EW104" s="28"/>
      <c r="EX104" s="28"/>
      <c r="EY104" s="28"/>
      <c r="EZ104" s="28"/>
      <c r="FA104" s="28"/>
      <c r="FB104" s="28"/>
      <c r="FC104" s="28"/>
      <c r="FD104" s="28"/>
      <c r="FE104" s="28"/>
      <c r="FF104" s="28"/>
      <c r="FG104" s="28"/>
      <c r="FH104" s="28"/>
      <c r="FI104" s="28"/>
      <c r="FJ104" s="28"/>
      <c r="FK104" s="28"/>
      <c r="FL104" s="28"/>
      <c r="FM104" s="28"/>
      <c r="FN104" s="28"/>
      <c r="FO104" s="28"/>
      <c r="FP104" s="28"/>
      <c r="FQ104" s="28"/>
      <c r="FR104" s="28"/>
      <c r="FS104" s="28"/>
      <c r="FT104" s="28"/>
      <c r="FU104" s="28"/>
      <c r="FV104" s="28"/>
      <c r="FW104" s="28"/>
      <c r="FX104" s="28"/>
      <c r="FY104" s="28"/>
      <c r="FZ104" s="28"/>
      <c r="GA104" s="28"/>
      <c r="GB104" s="28"/>
      <c r="GC104" s="28"/>
      <c r="GD104" s="28"/>
      <c r="GE104" s="28"/>
      <c r="GF104" s="28"/>
      <c r="GG104" s="28"/>
      <c r="GH104" s="28"/>
      <c r="GI104" s="28"/>
      <c r="GJ104" s="28"/>
      <c r="GK104" s="28"/>
      <c r="GL104" s="28"/>
      <c r="GM104" s="62"/>
      <c r="GN104" s="28"/>
      <c r="GO104" s="28"/>
      <c r="GP104" s="28"/>
      <c r="GQ104" s="28"/>
      <c r="GR104" s="28"/>
      <c r="GS104" s="28"/>
      <c r="GT104" s="28"/>
      <c r="GU104" s="28"/>
      <c r="GV104" s="28"/>
      <c r="GW104" s="28"/>
      <c r="GX104" s="28"/>
      <c r="GY104" s="28"/>
      <c r="GZ104" s="28"/>
      <c r="HA104" s="27"/>
      <c r="HB104" s="28"/>
      <c r="HC104" s="28"/>
      <c r="HD104" s="28"/>
      <c r="HE104" s="28"/>
      <c r="HF104" s="28"/>
      <c r="HG104" s="28"/>
      <c r="HH104" s="28"/>
      <c r="HI104" s="28"/>
      <c r="HJ104" s="28"/>
      <c r="HK104" s="28"/>
      <c r="HL104" s="28"/>
      <c r="HM104" s="28"/>
      <c r="HN104" s="28"/>
      <c r="HO104" s="28"/>
      <c r="HP104" s="28"/>
      <c r="HQ104" s="28"/>
      <c r="HR104" s="28"/>
      <c r="HS104" s="27"/>
      <c r="HT104" s="28"/>
      <c r="HU104" s="28"/>
      <c r="HV104" s="27"/>
      <c r="HW104" s="27"/>
      <c r="HX104" s="28"/>
      <c r="HY104" s="28"/>
      <c r="HZ104" s="28"/>
      <c r="IA104" s="28"/>
      <c r="IB104" s="28"/>
      <c r="IC104" s="28"/>
      <c r="ID104" s="28"/>
      <c r="IE104" s="28"/>
      <c r="IF104" s="28"/>
      <c r="IG104" s="28"/>
      <c r="IH104" s="28"/>
      <c r="II104" s="28"/>
      <c r="IJ104" s="28"/>
      <c r="IK104" s="28"/>
      <c r="IL104" s="28"/>
      <c r="IM104" s="28"/>
      <c r="IN104" s="28"/>
      <c r="IO104" s="28"/>
      <c r="IP104" s="28"/>
      <c r="IQ104" s="28"/>
      <c r="IR104" s="28"/>
      <c r="IS104" s="28"/>
      <c r="IT104" s="28"/>
      <c r="IU104" s="28"/>
      <c r="IV104" s="28"/>
      <c r="IW104" s="28"/>
      <c r="IX104" s="28"/>
      <c r="IY104" s="28"/>
      <c r="IZ104" s="28"/>
      <c r="JA104" s="28"/>
      <c r="JB104" s="28"/>
      <c r="JC104" s="28"/>
      <c r="JD104" s="28"/>
      <c r="JE104" s="28"/>
      <c r="JF104" s="28"/>
      <c r="JG104" s="28"/>
      <c r="JH104" s="28"/>
      <c r="JI104" s="28"/>
      <c r="JJ104" s="28"/>
      <c r="JK104" s="28"/>
      <c r="JL104" s="28"/>
      <c r="JM104" s="28"/>
      <c r="JN104" s="28"/>
      <c r="JO104" s="28"/>
      <c r="JP104" s="28"/>
      <c r="JQ104" s="28"/>
      <c r="JR104" s="28"/>
      <c r="JS104" s="28"/>
      <c r="JT104" s="62"/>
      <c r="JU104" s="28"/>
      <c r="JV104" s="28"/>
      <c r="JW104" s="28"/>
      <c r="JX104" s="28"/>
      <c r="JY104" s="28"/>
      <c r="JZ104" s="62"/>
      <c r="KA104" s="28"/>
      <c r="KB104" s="28"/>
      <c r="KC104" s="28"/>
      <c r="KD104" s="62"/>
      <c r="KE104" s="28"/>
      <c r="KF104" s="28"/>
      <c r="KG104" s="28"/>
      <c r="KH104" s="28"/>
      <c r="KI104" s="28"/>
      <c r="KJ104" s="28"/>
      <c r="KK104" s="28"/>
      <c r="KL104" s="28"/>
      <c r="KM104" s="28"/>
      <c r="KN104" s="62"/>
      <c r="KO104" s="28"/>
      <c r="KP104" s="28"/>
      <c r="KQ104" s="28"/>
      <c r="KR104" s="28"/>
      <c r="KS104" s="28"/>
      <c r="KT104" s="28"/>
      <c r="KU104" s="28"/>
      <c r="KV104" s="28"/>
      <c r="KW104" s="28"/>
      <c r="KX104" s="28"/>
      <c r="KY104" s="28"/>
      <c r="KZ104" s="28"/>
      <c r="LA104" s="28"/>
      <c r="LB104" s="28"/>
      <c r="LC104" s="28"/>
      <c r="LD104" s="28"/>
      <c r="LE104" s="62"/>
      <c r="LF104" s="28"/>
      <c r="LG104" s="28"/>
      <c r="LH104" s="28"/>
      <c r="LI104" s="28"/>
      <c r="LJ104" s="28"/>
      <c r="LK104" s="110"/>
    </row>
    <row r="105">
      <c r="A105" s="49" t="s">
        <v>299</v>
      </c>
      <c r="B105" s="149"/>
      <c r="C105" s="87"/>
      <c r="D105" s="147"/>
      <c r="E105" s="146"/>
      <c r="F105" s="146"/>
      <c r="G105" s="149"/>
      <c r="H105" s="146"/>
      <c r="I105" s="53"/>
      <c r="J105" s="53"/>
      <c r="K105" s="146"/>
      <c r="L105" s="149"/>
      <c r="M105" s="146"/>
      <c r="N105" s="52"/>
      <c r="O105" s="146"/>
      <c r="P105" s="53"/>
      <c r="Q105" s="146"/>
      <c r="R105" s="146"/>
      <c r="S105" s="146"/>
      <c r="T105" s="53"/>
      <c r="U105" s="27"/>
      <c r="V105" s="28"/>
      <c r="W105" s="28"/>
      <c r="X105" s="195"/>
      <c r="Y105" s="27"/>
      <c r="AB105" s="27"/>
      <c r="AC105" s="27"/>
      <c r="AD105" s="28"/>
      <c r="AE105" s="28"/>
      <c r="AF105" s="28"/>
      <c r="AG105" s="28"/>
      <c r="AH105" s="28"/>
      <c r="AI105" s="28"/>
      <c r="AJ105" s="27"/>
      <c r="AK105" s="28"/>
      <c r="AL105" s="28"/>
      <c r="AM105" s="28"/>
      <c r="AN105" s="28"/>
      <c r="AO105" s="27"/>
      <c r="AP105" s="27"/>
      <c r="AQ105" s="28"/>
      <c r="AR105" s="28"/>
      <c r="AS105" s="28"/>
      <c r="AT105" s="28"/>
      <c r="AU105" s="28"/>
      <c r="AV105" s="62"/>
      <c r="AW105" s="62"/>
      <c r="AX105" s="27"/>
      <c r="AY105" s="27"/>
      <c r="AZ105" s="27"/>
      <c r="BA105" s="28"/>
      <c r="BB105" s="27"/>
      <c r="BC105" s="27"/>
      <c r="BD105" s="27"/>
      <c r="BE105" s="28"/>
      <c r="BF105" s="27"/>
      <c r="BG105" s="28"/>
      <c r="BH105" s="28"/>
      <c r="BI105" s="28"/>
      <c r="BJ105" s="27"/>
      <c r="BK105" s="28"/>
      <c r="BL105" s="28"/>
      <c r="BM105" s="27"/>
      <c r="BN105" s="27"/>
      <c r="BO105" s="28"/>
      <c r="BP105" s="27"/>
      <c r="BQ105" s="28"/>
      <c r="BR105" s="27"/>
      <c r="BS105" s="28"/>
      <c r="BT105" s="28"/>
      <c r="BU105" s="27"/>
      <c r="BV105" s="28"/>
      <c r="BW105" s="27"/>
      <c r="BX105" s="28"/>
      <c r="BY105" s="28"/>
      <c r="BZ105" s="28"/>
      <c r="CA105" s="27"/>
      <c r="CB105" s="28"/>
      <c r="CC105" s="62"/>
      <c r="CD105" s="62"/>
      <c r="CF105" s="49" t="s">
        <v>299</v>
      </c>
      <c r="CG105" s="27"/>
      <c r="CH105" s="28"/>
      <c r="CI105" s="27"/>
      <c r="CJ105" s="28"/>
      <c r="CK105" s="27"/>
      <c r="CL105" s="27"/>
      <c r="CM105" s="27"/>
      <c r="CN105" s="28"/>
      <c r="CO105" s="28"/>
      <c r="CP105" s="28"/>
      <c r="CQ105" s="28"/>
      <c r="CR105" s="28"/>
      <c r="CS105" s="28"/>
      <c r="CT105" s="27"/>
      <c r="CU105" s="28"/>
      <c r="CV105" s="28"/>
      <c r="CW105" s="28"/>
      <c r="CX105" s="27"/>
      <c r="CY105" s="27"/>
      <c r="CZ105" s="28"/>
      <c r="DA105" s="28"/>
      <c r="DB105" s="27"/>
      <c r="DC105" s="28"/>
      <c r="DD105" s="27"/>
      <c r="DE105" s="28"/>
      <c r="DF105" s="28"/>
      <c r="DG105" s="27"/>
      <c r="DH105" s="28"/>
      <c r="DI105" s="27"/>
      <c r="DJ105" s="28"/>
      <c r="DK105" s="28"/>
      <c r="DL105" s="28"/>
      <c r="DM105" s="28"/>
      <c r="DP105" s="64"/>
      <c r="DQ105" s="49" t="s">
        <v>299</v>
      </c>
      <c r="DR105" s="28"/>
      <c r="DS105" s="28"/>
      <c r="DT105" s="28"/>
      <c r="DU105" s="28"/>
      <c r="DV105" s="62"/>
      <c r="DW105" s="28"/>
      <c r="DX105" s="28"/>
      <c r="DY105" s="28"/>
      <c r="DZ105" s="28"/>
      <c r="EA105" s="28"/>
      <c r="EB105" s="28"/>
      <c r="EC105" s="28"/>
      <c r="ED105" s="28"/>
      <c r="EE105" s="28"/>
      <c r="EF105" s="28"/>
      <c r="EG105" s="28"/>
      <c r="EH105" s="28"/>
      <c r="EI105" s="28"/>
      <c r="EJ105" s="28"/>
      <c r="EK105" s="28"/>
      <c r="EL105" s="28"/>
      <c r="EM105" s="28"/>
      <c r="EN105" s="28"/>
      <c r="EO105" s="28"/>
      <c r="EP105" s="28"/>
      <c r="EQ105" s="28"/>
      <c r="ER105" s="28"/>
      <c r="ES105" s="28"/>
      <c r="ET105" s="28"/>
      <c r="EU105" s="28"/>
      <c r="EV105" s="28"/>
      <c r="EW105" s="28"/>
      <c r="EX105" s="28"/>
      <c r="EY105" s="28"/>
      <c r="EZ105" s="28"/>
      <c r="FA105" s="28"/>
      <c r="FB105" s="28"/>
      <c r="FC105" s="28"/>
      <c r="FD105" s="28"/>
      <c r="FE105" s="28"/>
      <c r="FF105" s="28"/>
      <c r="FG105" s="28"/>
      <c r="FH105" s="28"/>
      <c r="FI105" s="28"/>
      <c r="FJ105" s="28"/>
      <c r="FK105" s="28"/>
      <c r="FL105" s="28"/>
      <c r="FM105" s="28"/>
      <c r="FN105" s="28"/>
      <c r="FO105" s="28"/>
      <c r="FP105" s="28"/>
      <c r="FQ105" s="28"/>
      <c r="FR105" s="28"/>
      <c r="FS105" s="28"/>
      <c r="FT105" s="28"/>
      <c r="FU105" s="28"/>
      <c r="FV105" s="28"/>
      <c r="FW105" s="28"/>
      <c r="FX105" s="28"/>
      <c r="FY105" s="28"/>
      <c r="FZ105" s="28"/>
      <c r="GA105" s="28"/>
      <c r="GB105" s="28"/>
      <c r="GC105" s="28"/>
      <c r="GD105" s="28"/>
      <c r="GE105" s="28"/>
      <c r="GF105" s="28"/>
      <c r="GG105" s="28"/>
      <c r="GH105" s="28"/>
      <c r="GI105" s="28"/>
      <c r="GJ105" s="28"/>
      <c r="GK105" s="28"/>
      <c r="GL105" s="28"/>
      <c r="GM105" s="62"/>
      <c r="GN105" s="28"/>
      <c r="GO105" s="28"/>
      <c r="GP105" s="28"/>
      <c r="GQ105" s="28"/>
      <c r="GR105" s="28"/>
      <c r="GS105" s="28"/>
      <c r="GT105" s="28"/>
      <c r="GU105" s="28"/>
      <c r="GV105" s="28"/>
      <c r="GW105" s="28"/>
      <c r="GX105" s="28"/>
      <c r="GY105" s="28"/>
      <c r="GZ105" s="28"/>
      <c r="HA105" s="28"/>
      <c r="HB105" s="28"/>
      <c r="HC105" s="28"/>
      <c r="HD105" s="28"/>
      <c r="HE105" s="28"/>
      <c r="HF105" s="28"/>
      <c r="HG105" s="28"/>
      <c r="HH105" s="28"/>
      <c r="HI105" s="28"/>
      <c r="HJ105" s="28"/>
      <c r="HK105" s="28"/>
      <c r="HL105" s="28"/>
      <c r="HM105" s="28"/>
      <c r="HN105" s="28"/>
      <c r="HO105" s="28"/>
      <c r="HP105" s="28"/>
      <c r="HQ105" s="28"/>
      <c r="HR105" s="28"/>
      <c r="HS105" s="28"/>
      <c r="HT105" s="28"/>
      <c r="HU105" s="28"/>
      <c r="HV105" s="28"/>
      <c r="HW105" s="28"/>
      <c r="HX105" s="28"/>
      <c r="HY105" s="28"/>
      <c r="HZ105" s="28"/>
      <c r="IA105" s="28"/>
      <c r="IB105" s="28"/>
      <c r="IC105" s="28"/>
      <c r="ID105" s="28"/>
      <c r="IE105" s="28"/>
      <c r="IF105" s="28"/>
      <c r="IG105" s="28"/>
      <c r="IH105" s="28"/>
      <c r="II105" s="28"/>
      <c r="IJ105" s="28"/>
      <c r="IK105" s="28"/>
      <c r="IL105" s="28"/>
      <c r="IM105" s="28"/>
      <c r="IN105" s="28"/>
      <c r="IO105" s="28"/>
      <c r="IP105" s="28"/>
      <c r="IQ105" s="28"/>
      <c r="IR105" s="28"/>
      <c r="IS105" s="28"/>
      <c r="IT105" s="28"/>
      <c r="IU105" s="28"/>
      <c r="IV105" s="28"/>
      <c r="IW105" s="28"/>
      <c r="IX105" s="28"/>
      <c r="IY105" s="28"/>
      <c r="IZ105" s="28"/>
      <c r="JA105" s="28"/>
      <c r="JB105" s="28"/>
      <c r="JC105" s="28"/>
      <c r="JD105" s="28"/>
      <c r="JE105" s="28"/>
      <c r="JF105" s="28"/>
      <c r="JG105" s="28"/>
      <c r="JH105" s="28"/>
      <c r="JI105" s="28"/>
      <c r="JJ105" s="28"/>
      <c r="JK105" s="28"/>
      <c r="JL105" s="28"/>
      <c r="JM105" s="28"/>
      <c r="JN105" s="28"/>
      <c r="JO105" s="28"/>
      <c r="JP105" s="28"/>
      <c r="JQ105" s="28"/>
      <c r="JR105" s="28"/>
      <c r="JS105" s="28"/>
      <c r="JT105" s="62"/>
      <c r="JU105" s="28"/>
      <c r="JV105" s="28"/>
      <c r="JW105" s="28"/>
      <c r="JX105" s="28"/>
      <c r="JY105" s="28"/>
      <c r="JZ105" s="62"/>
      <c r="KA105" s="28"/>
      <c r="KB105" s="28"/>
      <c r="KC105" s="28"/>
      <c r="KD105" s="62"/>
      <c r="KE105" s="28"/>
      <c r="KF105" s="28"/>
      <c r="KG105" s="28"/>
      <c r="KH105" s="28"/>
      <c r="KI105" s="28"/>
      <c r="KJ105" s="28"/>
      <c r="KK105" s="28"/>
      <c r="KL105" s="28"/>
      <c r="KM105" s="28"/>
      <c r="KN105" s="62"/>
      <c r="KO105" s="28"/>
      <c r="KP105" s="28"/>
      <c r="KQ105" s="28"/>
      <c r="KR105" s="28"/>
      <c r="KS105" s="28"/>
      <c r="KT105" s="28"/>
      <c r="KU105" s="28"/>
      <c r="KV105" s="28"/>
      <c r="KW105" s="28"/>
      <c r="KX105" s="28"/>
      <c r="KY105" s="28"/>
      <c r="KZ105" s="28"/>
      <c r="LA105" s="28"/>
      <c r="LB105" s="28"/>
      <c r="LC105" s="28"/>
      <c r="LD105" s="28"/>
      <c r="LE105" s="62"/>
      <c r="LF105" s="28"/>
      <c r="LG105" s="28"/>
      <c r="LH105" s="28"/>
      <c r="LI105" s="28"/>
      <c r="LJ105" s="28"/>
      <c r="LK105" s="110"/>
    </row>
    <row r="106">
      <c r="A106" s="49" t="s">
        <v>302</v>
      </c>
      <c r="B106" s="149"/>
      <c r="C106" s="87"/>
      <c r="D106" s="147"/>
      <c r="E106" s="146"/>
      <c r="F106" s="146"/>
      <c r="G106" s="149"/>
      <c r="H106" s="146"/>
      <c r="I106" s="53"/>
      <c r="J106" s="53"/>
      <c r="K106" s="146"/>
      <c r="L106" s="149"/>
      <c r="M106" s="146"/>
      <c r="N106" s="52"/>
      <c r="O106" s="146"/>
      <c r="P106" s="53"/>
      <c r="Q106" s="146"/>
      <c r="R106" s="146"/>
      <c r="S106" s="146"/>
      <c r="T106" s="53"/>
      <c r="U106" s="27"/>
      <c r="V106" s="28"/>
      <c r="W106" s="28"/>
      <c r="X106" s="195"/>
      <c r="Y106" s="27"/>
      <c r="AB106" s="27"/>
      <c r="AC106" s="27"/>
      <c r="AD106" s="28"/>
      <c r="AE106" s="28"/>
      <c r="AF106" s="28"/>
      <c r="AG106" s="28"/>
      <c r="AH106" s="28"/>
      <c r="AI106" s="28"/>
      <c r="AJ106" s="27"/>
      <c r="AK106" s="28"/>
      <c r="AL106" s="28"/>
      <c r="AM106" s="28"/>
      <c r="AN106" s="28"/>
      <c r="AO106" s="27"/>
      <c r="AP106" s="27"/>
      <c r="AQ106" s="28"/>
      <c r="AR106" s="28"/>
      <c r="AS106" s="28"/>
      <c r="AT106" s="28"/>
      <c r="AU106" s="28"/>
      <c r="AV106" s="62"/>
      <c r="AW106" s="62"/>
      <c r="AX106" s="27"/>
      <c r="AY106" s="27"/>
      <c r="AZ106" s="27"/>
      <c r="BA106" s="28"/>
      <c r="BB106" s="27"/>
      <c r="BC106" s="27"/>
      <c r="BD106" s="27"/>
      <c r="BE106" s="28"/>
      <c r="BF106" s="27"/>
      <c r="BG106" s="28"/>
      <c r="BH106" s="28"/>
      <c r="BI106" s="28"/>
      <c r="BJ106" s="27"/>
      <c r="BK106" s="28"/>
      <c r="BL106" s="28"/>
      <c r="BM106" s="27"/>
      <c r="BN106" s="27"/>
      <c r="BO106" s="28"/>
      <c r="BP106" s="27"/>
      <c r="BQ106" s="28"/>
      <c r="BR106" s="27"/>
      <c r="BS106" s="28"/>
      <c r="BT106" s="28"/>
      <c r="BU106" s="27"/>
      <c r="BV106" s="28"/>
      <c r="BW106" s="27"/>
      <c r="BX106" s="28"/>
      <c r="BY106" s="28"/>
      <c r="BZ106" s="28"/>
      <c r="CA106" s="27"/>
      <c r="CB106" s="28"/>
      <c r="CC106" s="62"/>
      <c r="CD106" s="62"/>
      <c r="CF106" s="49" t="s">
        <v>302</v>
      </c>
      <c r="CG106" s="27"/>
      <c r="CH106" s="28"/>
      <c r="CI106" s="27"/>
      <c r="CJ106" s="28"/>
      <c r="CK106" s="27"/>
      <c r="CL106" s="27"/>
      <c r="CM106" s="27"/>
      <c r="CN106" s="28"/>
      <c r="CO106" s="28"/>
      <c r="CP106" s="28"/>
      <c r="CQ106" s="28"/>
      <c r="CR106" s="28"/>
      <c r="CS106" s="28"/>
      <c r="CT106" s="27"/>
      <c r="CU106" s="28"/>
      <c r="CV106" s="28"/>
      <c r="CW106" s="28"/>
      <c r="CX106" s="27"/>
      <c r="CY106" s="27"/>
      <c r="CZ106" s="28"/>
      <c r="DA106" s="28"/>
      <c r="DB106" s="27"/>
      <c r="DC106" s="28"/>
      <c r="DD106" s="27"/>
      <c r="DE106" s="28"/>
      <c r="DF106" s="28"/>
      <c r="DG106" s="27"/>
      <c r="DH106" s="28"/>
      <c r="DI106" s="27"/>
      <c r="DJ106" s="28"/>
      <c r="DK106" s="28"/>
      <c r="DL106" s="28"/>
      <c r="DM106" s="28"/>
      <c r="DP106" s="64"/>
      <c r="DQ106" s="49" t="s">
        <v>302</v>
      </c>
      <c r="DR106" s="28"/>
      <c r="DS106" s="28"/>
      <c r="DT106" s="28"/>
      <c r="DU106" s="28"/>
      <c r="DV106" s="62"/>
      <c r="DW106" s="28"/>
      <c r="DX106" s="28"/>
      <c r="DY106" s="28"/>
      <c r="DZ106" s="28"/>
      <c r="EA106" s="28"/>
      <c r="EB106" s="28"/>
      <c r="EC106" s="28"/>
      <c r="ED106" s="28"/>
      <c r="EE106" s="28"/>
      <c r="EF106" s="28"/>
      <c r="EG106" s="28"/>
      <c r="EH106" s="28"/>
      <c r="EI106" s="28"/>
      <c r="EJ106" s="28"/>
      <c r="EK106" s="28"/>
      <c r="EL106" s="28"/>
      <c r="EM106" s="28"/>
      <c r="EN106" s="28"/>
      <c r="EO106" s="28"/>
      <c r="EP106" s="28"/>
      <c r="EQ106" s="28"/>
      <c r="ER106" s="28"/>
      <c r="ES106" s="28"/>
      <c r="ET106" s="28"/>
      <c r="EU106" s="28"/>
      <c r="EV106" s="28"/>
      <c r="EW106" s="28"/>
      <c r="EX106" s="28"/>
      <c r="EY106" s="28"/>
      <c r="EZ106" s="28"/>
      <c r="FA106" s="28"/>
      <c r="FB106" s="28"/>
      <c r="FC106" s="28"/>
      <c r="FD106" s="28"/>
      <c r="FE106" s="28"/>
      <c r="FF106" s="28"/>
      <c r="FG106" s="28"/>
      <c r="FH106" s="28"/>
      <c r="FI106" s="28"/>
      <c r="FJ106" s="28"/>
      <c r="FK106" s="28"/>
      <c r="FL106" s="28"/>
      <c r="FM106" s="28"/>
      <c r="FN106" s="28"/>
      <c r="FO106" s="28"/>
      <c r="FP106" s="28"/>
      <c r="FQ106" s="28"/>
      <c r="FR106" s="28"/>
      <c r="FS106" s="28"/>
      <c r="FT106" s="28"/>
      <c r="FU106" s="28"/>
      <c r="FV106" s="28"/>
      <c r="FW106" s="28"/>
      <c r="FX106" s="28"/>
      <c r="FY106" s="28"/>
      <c r="FZ106" s="28"/>
      <c r="GA106" s="28"/>
      <c r="GB106" s="28"/>
      <c r="GC106" s="28"/>
      <c r="GD106" s="28"/>
      <c r="GE106" s="28"/>
      <c r="GF106" s="28"/>
      <c r="GG106" s="28"/>
      <c r="GH106" s="28"/>
      <c r="GI106" s="28"/>
      <c r="GJ106" s="28"/>
      <c r="GK106" s="28"/>
      <c r="GL106" s="28"/>
      <c r="GM106" s="62"/>
      <c r="GN106" s="28"/>
      <c r="GO106" s="28"/>
      <c r="GP106" s="28"/>
      <c r="GQ106" s="28"/>
      <c r="GR106" s="28"/>
      <c r="GS106" s="28"/>
      <c r="GT106" s="28"/>
      <c r="GU106" s="28"/>
      <c r="GV106" s="28"/>
      <c r="GW106" s="28"/>
      <c r="GX106" s="28"/>
      <c r="GY106" s="28"/>
      <c r="GZ106" s="28"/>
      <c r="HA106" s="28"/>
      <c r="HB106" s="28"/>
      <c r="HC106" s="28"/>
      <c r="HD106" s="28"/>
      <c r="HE106" s="28"/>
      <c r="HF106" s="28"/>
      <c r="HG106" s="28"/>
      <c r="HH106" s="28"/>
      <c r="HI106" s="28"/>
      <c r="HJ106" s="28"/>
      <c r="HK106" s="28"/>
      <c r="HL106" s="28"/>
      <c r="HM106" s="28"/>
      <c r="HN106" s="28"/>
      <c r="HO106" s="28"/>
      <c r="HP106" s="28"/>
      <c r="HQ106" s="28"/>
      <c r="HR106" s="28"/>
      <c r="HS106" s="28"/>
      <c r="HT106" s="28"/>
      <c r="HU106" s="28"/>
      <c r="HV106" s="28"/>
      <c r="HW106" s="28"/>
      <c r="HX106" s="28"/>
      <c r="HY106" s="28"/>
      <c r="HZ106" s="28"/>
      <c r="IA106" s="28"/>
      <c r="IB106" s="28"/>
      <c r="IC106" s="28"/>
      <c r="ID106" s="28"/>
      <c r="IE106" s="28"/>
      <c r="IF106" s="28"/>
      <c r="IG106" s="28"/>
      <c r="IH106" s="28"/>
      <c r="II106" s="28"/>
      <c r="IJ106" s="28"/>
      <c r="IK106" s="28"/>
      <c r="IL106" s="28"/>
      <c r="IM106" s="28"/>
      <c r="IN106" s="28"/>
      <c r="IO106" s="28"/>
      <c r="IP106" s="28"/>
      <c r="IQ106" s="28"/>
      <c r="IR106" s="28"/>
      <c r="IS106" s="28"/>
      <c r="IT106" s="28"/>
      <c r="IU106" s="28"/>
      <c r="IV106" s="28"/>
      <c r="IW106" s="28"/>
      <c r="IX106" s="28"/>
      <c r="IY106" s="28"/>
      <c r="IZ106" s="28"/>
      <c r="JA106" s="28"/>
      <c r="JB106" s="28"/>
      <c r="JC106" s="28"/>
      <c r="JD106" s="28"/>
      <c r="JE106" s="28"/>
      <c r="JF106" s="28"/>
      <c r="JG106" s="28"/>
      <c r="JH106" s="28"/>
      <c r="JI106" s="28"/>
      <c r="JJ106" s="28"/>
      <c r="JK106" s="28"/>
      <c r="JL106" s="28"/>
      <c r="JM106" s="28"/>
      <c r="JN106" s="28"/>
      <c r="JO106" s="28"/>
      <c r="JP106" s="28"/>
      <c r="JQ106" s="28"/>
      <c r="JR106" s="28"/>
      <c r="JS106" s="28"/>
      <c r="JT106" s="62"/>
      <c r="JU106" s="28"/>
      <c r="JV106" s="28"/>
      <c r="JW106" s="28"/>
      <c r="JX106" s="28"/>
      <c r="JY106" s="28"/>
      <c r="JZ106" s="62"/>
      <c r="KA106" s="28"/>
      <c r="KB106" s="28"/>
      <c r="KC106" s="28"/>
      <c r="KD106" s="62"/>
      <c r="KE106" s="28"/>
      <c r="KF106" s="28"/>
      <c r="KG106" s="28"/>
      <c r="KH106" s="28"/>
      <c r="KI106" s="28"/>
      <c r="KJ106" s="28"/>
      <c r="KK106" s="28"/>
      <c r="KL106" s="28"/>
      <c r="KM106" s="28"/>
      <c r="KN106" s="62"/>
      <c r="KO106" s="28"/>
      <c r="KP106" s="28"/>
      <c r="KQ106" s="28"/>
      <c r="KR106" s="28"/>
      <c r="KS106" s="28"/>
      <c r="KT106" s="28"/>
      <c r="KU106" s="28"/>
      <c r="KV106" s="28"/>
      <c r="KW106" s="28"/>
      <c r="KX106" s="28"/>
      <c r="KY106" s="28"/>
      <c r="KZ106" s="28"/>
      <c r="LA106" s="28"/>
      <c r="LB106" s="28"/>
      <c r="LC106" s="28"/>
      <c r="LD106" s="28"/>
      <c r="LE106" s="62"/>
      <c r="LF106" s="28"/>
      <c r="LG106" s="28"/>
      <c r="LH106" s="28"/>
      <c r="LI106" s="28"/>
      <c r="LJ106" s="28"/>
      <c r="LK106" s="110"/>
    </row>
    <row r="107">
      <c r="A107" s="49" t="s">
        <v>304</v>
      </c>
      <c r="B107" s="149"/>
      <c r="C107" s="87"/>
      <c r="D107" s="147"/>
      <c r="E107" s="146"/>
      <c r="F107" s="146"/>
      <c r="G107" s="149"/>
      <c r="H107" s="146"/>
      <c r="I107" s="53"/>
      <c r="J107" s="53"/>
      <c r="K107" s="146"/>
      <c r="L107" s="149"/>
      <c r="M107" s="146"/>
      <c r="N107" s="52"/>
      <c r="O107" s="146"/>
      <c r="P107" s="53"/>
      <c r="Q107" s="146"/>
      <c r="R107" s="146"/>
      <c r="S107" s="146"/>
      <c r="T107" s="53"/>
      <c r="U107" s="27"/>
      <c r="V107" s="28"/>
      <c r="W107" s="28"/>
      <c r="X107" s="195"/>
      <c r="Y107" s="27"/>
      <c r="AB107" s="27"/>
      <c r="AC107" s="27"/>
      <c r="AD107" s="28"/>
      <c r="AE107" s="28"/>
      <c r="AF107" s="28"/>
      <c r="AG107" s="28"/>
      <c r="AH107" s="28"/>
      <c r="AI107" s="28"/>
      <c r="AJ107" s="27"/>
      <c r="AK107" s="28"/>
      <c r="AL107" s="28"/>
      <c r="AM107" s="28"/>
      <c r="AN107" s="28"/>
      <c r="AO107" s="27"/>
      <c r="AP107" s="27"/>
      <c r="AQ107" s="28"/>
      <c r="AR107" s="28"/>
      <c r="AS107" s="28"/>
      <c r="AT107" s="28"/>
      <c r="AU107" s="28"/>
      <c r="AV107" s="62"/>
      <c r="AW107" s="62"/>
      <c r="AX107" s="27"/>
      <c r="AY107" s="27"/>
      <c r="AZ107" s="27"/>
      <c r="BA107" s="28"/>
      <c r="BB107" s="27"/>
      <c r="BC107" s="27"/>
      <c r="BD107" s="27"/>
      <c r="BE107" s="28"/>
      <c r="BF107" s="27"/>
      <c r="BG107" s="28"/>
      <c r="BH107" s="28"/>
      <c r="BI107" s="28"/>
      <c r="BJ107" s="27"/>
      <c r="BK107" s="28"/>
      <c r="BL107" s="28"/>
      <c r="BM107" s="27"/>
      <c r="BN107" s="27"/>
      <c r="BO107" s="28"/>
      <c r="BP107" s="27"/>
      <c r="BQ107" s="28"/>
      <c r="BR107" s="27"/>
      <c r="BS107" s="28"/>
      <c r="BT107" s="28"/>
      <c r="BU107" s="27"/>
      <c r="BV107" s="28"/>
      <c r="BW107" s="27"/>
      <c r="BX107" s="28"/>
      <c r="BY107" s="28"/>
      <c r="BZ107" s="28"/>
      <c r="CA107" s="27"/>
      <c r="CB107" s="28"/>
      <c r="CC107" s="62"/>
      <c r="CD107" s="62"/>
      <c r="CF107" s="49" t="s">
        <v>304</v>
      </c>
      <c r="CG107" s="27"/>
      <c r="CH107" s="28"/>
      <c r="CI107" s="27"/>
      <c r="CJ107" s="28"/>
      <c r="CK107" s="27"/>
      <c r="CL107" s="27"/>
      <c r="CM107" s="27"/>
      <c r="CN107" s="28"/>
      <c r="CO107" s="28"/>
      <c r="CP107" s="28"/>
      <c r="CQ107" s="28"/>
      <c r="CR107" s="28"/>
      <c r="CS107" s="28"/>
      <c r="CT107" s="27"/>
      <c r="CU107" s="28"/>
      <c r="CV107" s="28"/>
      <c r="CW107" s="28"/>
      <c r="CX107" s="27"/>
      <c r="CY107" s="27"/>
      <c r="CZ107" s="28"/>
      <c r="DA107" s="28"/>
      <c r="DB107" s="27"/>
      <c r="DC107" s="28"/>
      <c r="DD107" s="27"/>
      <c r="DE107" s="28"/>
      <c r="DF107" s="28"/>
      <c r="DG107" s="27"/>
      <c r="DH107" s="28"/>
      <c r="DI107" s="27"/>
      <c r="DJ107" s="28"/>
      <c r="DK107" s="28"/>
      <c r="DL107" s="28"/>
      <c r="DM107" s="28"/>
      <c r="DP107" s="64"/>
      <c r="DQ107" s="49" t="s">
        <v>304</v>
      </c>
      <c r="DR107" s="28"/>
      <c r="DS107" s="28"/>
      <c r="DT107" s="28"/>
      <c r="DU107" s="28"/>
      <c r="DV107" s="62"/>
      <c r="DW107" s="28"/>
      <c r="DX107" s="28"/>
      <c r="DY107" s="28"/>
      <c r="DZ107" s="28"/>
      <c r="EA107" s="28"/>
      <c r="EB107" s="28"/>
      <c r="EC107" s="28"/>
      <c r="ED107" s="28"/>
      <c r="EE107" s="28"/>
      <c r="EF107" s="28"/>
      <c r="EG107" s="28"/>
      <c r="EH107" s="28"/>
      <c r="EI107" s="28"/>
      <c r="EJ107" s="28"/>
      <c r="EK107" s="28"/>
      <c r="EL107" s="28"/>
      <c r="EM107" s="28"/>
      <c r="EN107" s="28"/>
      <c r="EO107" s="28"/>
      <c r="EP107" s="28"/>
      <c r="EQ107" s="28"/>
      <c r="ER107" s="28"/>
      <c r="ES107" s="28"/>
      <c r="ET107" s="28"/>
      <c r="EU107" s="28"/>
      <c r="EV107" s="28"/>
      <c r="EW107" s="28"/>
      <c r="EX107" s="28"/>
      <c r="EY107" s="28"/>
      <c r="EZ107" s="28"/>
      <c r="FA107" s="28"/>
      <c r="FB107" s="28"/>
      <c r="FC107" s="28"/>
      <c r="FD107" s="28"/>
      <c r="FE107" s="28"/>
      <c r="FF107" s="28"/>
      <c r="FG107" s="28"/>
      <c r="FH107" s="28"/>
      <c r="FI107" s="28"/>
      <c r="FJ107" s="28"/>
      <c r="FK107" s="28"/>
      <c r="FL107" s="28"/>
      <c r="FM107" s="28"/>
      <c r="FN107" s="28"/>
      <c r="FO107" s="28"/>
      <c r="FP107" s="28"/>
      <c r="FQ107" s="28"/>
      <c r="FR107" s="28"/>
      <c r="FS107" s="28"/>
      <c r="FT107" s="28"/>
      <c r="FU107" s="28"/>
      <c r="FV107" s="28"/>
      <c r="FW107" s="28"/>
      <c r="FX107" s="28"/>
      <c r="FY107" s="28"/>
      <c r="FZ107" s="28"/>
      <c r="GA107" s="28"/>
      <c r="GB107" s="28"/>
      <c r="GC107" s="28"/>
      <c r="GD107" s="28"/>
      <c r="GE107" s="28"/>
      <c r="GF107" s="28"/>
      <c r="GG107" s="28"/>
      <c r="GH107" s="28"/>
      <c r="GI107" s="28"/>
      <c r="GJ107" s="28"/>
      <c r="GK107" s="28"/>
      <c r="GL107" s="28"/>
      <c r="GM107" s="62"/>
      <c r="GN107" s="28"/>
      <c r="GO107" s="28"/>
      <c r="GP107" s="28"/>
      <c r="GQ107" s="28"/>
      <c r="GR107" s="28"/>
      <c r="GS107" s="28"/>
      <c r="GT107" s="28"/>
      <c r="GU107" s="28"/>
      <c r="GV107" s="28"/>
      <c r="GW107" s="28"/>
      <c r="GX107" s="28"/>
      <c r="GY107" s="28"/>
      <c r="GZ107" s="28"/>
      <c r="HA107" s="28"/>
      <c r="HB107" s="28"/>
      <c r="HC107" s="28"/>
      <c r="HD107" s="28"/>
      <c r="HE107" s="28"/>
      <c r="HF107" s="28"/>
      <c r="HG107" s="28"/>
      <c r="HH107" s="28"/>
      <c r="HI107" s="28"/>
      <c r="HJ107" s="28"/>
      <c r="HK107" s="28"/>
      <c r="HL107" s="28"/>
      <c r="HM107" s="28"/>
      <c r="HN107" s="28"/>
      <c r="HO107" s="28"/>
      <c r="HP107" s="28"/>
      <c r="HQ107" s="28"/>
      <c r="HR107" s="28"/>
      <c r="HS107" s="28"/>
      <c r="HT107" s="28"/>
      <c r="HU107" s="28"/>
      <c r="HV107" s="28"/>
      <c r="HW107" s="28"/>
      <c r="HX107" s="28"/>
      <c r="HY107" s="28"/>
      <c r="HZ107" s="28"/>
      <c r="IA107" s="28"/>
      <c r="IB107" s="28"/>
      <c r="IC107" s="28"/>
      <c r="ID107" s="28"/>
      <c r="IE107" s="28"/>
      <c r="IF107" s="28"/>
      <c r="IG107" s="28"/>
      <c r="IH107" s="28"/>
      <c r="II107" s="28"/>
      <c r="IJ107" s="28"/>
      <c r="IK107" s="28"/>
      <c r="IL107" s="28"/>
      <c r="IM107" s="28"/>
      <c r="IN107" s="28"/>
      <c r="IO107" s="28"/>
      <c r="IP107" s="28"/>
      <c r="IQ107" s="28"/>
      <c r="IR107" s="28"/>
      <c r="IS107" s="28"/>
      <c r="IT107" s="28"/>
      <c r="IU107" s="28"/>
      <c r="IV107" s="28"/>
      <c r="IW107" s="28"/>
      <c r="IX107" s="28"/>
      <c r="IY107" s="28"/>
      <c r="IZ107" s="28"/>
      <c r="JA107" s="28"/>
      <c r="JB107" s="28"/>
      <c r="JC107" s="28"/>
      <c r="JD107" s="28"/>
      <c r="JE107" s="28"/>
      <c r="JF107" s="28"/>
      <c r="JG107" s="28"/>
      <c r="JH107" s="28"/>
      <c r="JI107" s="28"/>
      <c r="JJ107" s="28"/>
      <c r="JK107" s="28"/>
      <c r="JL107" s="28"/>
      <c r="JM107" s="28"/>
      <c r="JN107" s="28"/>
      <c r="JO107" s="28"/>
      <c r="JP107" s="28"/>
      <c r="JQ107" s="28"/>
      <c r="JR107" s="28"/>
      <c r="JS107" s="28"/>
      <c r="JT107" s="62"/>
      <c r="JU107" s="28"/>
      <c r="JV107" s="28"/>
      <c r="JW107" s="28"/>
      <c r="JX107" s="28"/>
      <c r="JY107" s="28"/>
      <c r="JZ107" s="62"/>
      <c r="KA107" s="28"/>
      <c r="KB107" s="28"/>
      <c r="KC107" s="28"/>
      <c r="KD107" s="62"/>
      <c r="KE107" s="28"/>
      <c r="KF107" s="28"/>
      <c r="KG107" s="28"/>
      <c r="KH107" s="28"/>
      <c r="KI107" s="28"/>
      <c r="KJ107" s="28"/>
      <c r="KK107" s="28"/>
      <c r="KL107" s="28"/>
      <c r="KM107" s="28"/>
      <c r="KN107" s="62"/>
      <c r="KO107" s="28"/>
      <c r="KP107" s="28"/>
      <c r="KQ107" s="28"/>
      <c r="KR107" s="28"/>
      <c r="KS107" s="28"/>
      <c r="KT107" s="28"/>
      <c r="KU107" s="28"/>
      <c r="KV107" s="28"/>
      <c r="KW107" s="28"/>
      <c r="KX107" s="28"/>
      <c r="KY107" s="28"/>
      <c r="KZ107" s="28"/>
      <c r="LA107" s="28"/>
      <c r="LB107" s="28"/>
      <c r="LC107" s="28"/>
      <c r="LD107" s="28"/>
      <c r="LE107" s="62"/>
      <c r="LF107" s="28"/>
      <c r="LG107" s="28"/>
      <c r="LH107" s="28"/>
      <c r="LI107" s="28"/>
      <c r="LJ107" s="28"/>
      <c r="LK107" s="110"/>
    </row>
    <row r="108">
      <c r="A108" s="49" t="s">
        <v>313</v>
      </c>
      <c r="B108" s="149"/>
      <c r="C108" s="87"/>
      <c r="D108" s="147"/>
      <c r="E108" s="146"/>
      <c r="F108" s="146"/>
      <c r="G108" s="149"/>
      <c r="H108" s="146"/>
      <c r="I108" s="53"/>
      <c r="J108" s="53"/>
      <c r="K108" s="146"/>
      <c r="L108" s="149"/>
      <c r="M108" s="146"/>
      <c r="N108" s="52"/>
      <c r="O108" s="146"/>
      <c r="P108" s="53"/>
      <c r="Q108" s="146"/>
      <c r="R108" s="146"/>
      <c r="S108" s="146"/>
      <c r="T108" s="53"/>
      <c r="U108" s="27"/>
      <c r="V108" s="28"/>
      <c r="W108" s="28"/>
      <c r="X108" s="195"/>
      <c r="Y108" s="27"/>
      <c r="AB108" s="27"/>
      <c r="AC108" s="27"/>
      <c r="AD108" s="28"/>
      <c r="AE108" s="28"/>
      <c r="AF108" s="28"/>
      <c r="AG108" s="28"/>
      <c r="AH108" s="28"/>
      <c r="AI108" s="28"/>
      <c r="AJ108" s="27"/>
      <c r="AK108" s="28"/>
      <c r="AL108" s="28"/>
      <c r="AM108" s="28"/>
      <c r="AN108" s="28"/>
      <c r="AO108" s="27"/>
      <c r="AP108" s="27"/>
      <c r="AQ108" s="28"/>
      <c r="AR108" s="28"/>
      <c r="AS108" s="28"/>
      <c r="AT108" s="28"/>
      <c r="AU108" s="28"/>
      <c r="AV108" s="62"/>
      <c r="AW108" s="62"/>
      <c r="AX108" s="27"/>
      <c r="AY108" s="27"/>
      <c r="AZ108" s="27"/>
      <c r="BA108" s="28"/>
      <c r="BB108" s="27"/>
      <c r="BC108" s="27"/>
      <c r="BD108" s="27"/>
      <c r="BE108" s="28"/>
      <c r="BF108" s="27"/>
      <c r="BG108" s="28"/>
      <c r="BH108" s="28"/>
      <c r="BI108" s="28"/>
      <c r="BJ108" s="27"/>
      <c r="BK108" s="28"/>
      <c r="BL108" s="28"/>
      <c r="BM108" s="27"/>
      <c r="BN108" s="27"/>
      <c r="BO108" s="28"/>
      <c r="BP108" s="27"/>
      <c r="BQ108" s="28"/>
      <c r="BR108" s="27"/>
      <c r="BS108" s="28"/>
      <c r="BT108" s="28"/>
      <c r="BU108" s="27"/>
      <c r="BV108" s="28"/>
      <c r="BW108" s="27"/>
      <c r="BX108" s="28"/>
      <c r="BY108" s="28"/>
      <c r="BZ108" s="28"/>
      <c r="CA108" s="27"/>
      <c r="CB108" s="28"/>
      <c r="CC108" s="62"/>
      <c r="CD108" s="62"/>
      <c r="CF108" s="49" t="s">
        <v>313</v>
      </c>
      <c r="CG108" s="27"/>
      <c r="CH108" s="98"/>
      <c r="CI108" s="98"/>
      <c r="CJ108" s="98"/>
      <c r="CK108" s="98"/>
      <c r="CL108" s="27"/>
      <c r="CM108" s="27"/>
      <c r="CN108" s="98"/>
      <c r="CO108" s="98"/>
      <c r="CP108" s="98"/>
      <c r="CQ108" s="98"/>
      <c r="CR108" s="98"/>
      <c r="CS108" s="98"/>
      <c r="CT108" s="98"/>
      <c r="CU108" s="98"/>
      <c r="CV108" s="98"/>
      <c r="CW108" s="98"/>
      <c r="CX108" s="98"/>
      <c r="CY108" s="98"/>
      <c r="CZ108" s="98"/>
      <c r="DA108" s="98"/>
      <c r="DB108" s="27"/>
      <c r="DC108" s="98"/>
      <c r="DD108" s="98"/>
      <c r="DE108" s="98"/>
      <c r="DF108" s="98"/>
      <c r="DG108" s="27"/>
      <c r="DH108" s="98"/>
      <c r="DI108" s="98"/>
      <c r="DJ108" s="98"/>
      <c r="DK108" s="98"/>
      <c r="DL108" s="98"/>
      <c r="DM108" s="98"/>
      <c r="DP108" s="64"/>
      <c r="DQ108" s="49" t="s">
        <v>313</v>
      </c>
      <c r="DR108" s="28"/>
      <c r="DS108" s="28"/>
      <c r="DT108" s="28"/>
      <c r="DU108" s="28"/>
      <c r="DV108" s="62"/>
      <c r="DW108" s="28"/>
      <c r="DX108" s="28"/>
      <c r="DY108" s="28"/>
      <c r="DZ108" s="28"/>
      <c r="EA108" s="28"/>
      <c r="EB108" s="28"/>
      <c r="EC108" s="28"/>
      <c r="ED108" s="28"/>
      <c r="EE108" s="28"/>
      <c r="EF108" s="28"/>
      <c r="EG108" s="28"/>
      <c r="EH108" s="28"/>
      <c r="EI108" s="28"/>
      <c r="EJ108" s="28"/>
      <c r="EK108" s="28"/>
      <c r="EL108" s="28"/>
      <c r="EM108" s="28"/>
      <c r="EN108" s="28"/>
      <c r="EO108" s="28"/>
      <c r="EP108" s="28"/>
      <c r="EQ108" s="28"/>
      <c r="ER108" s="28"/>
      <c r="ES108" s="28"/>
      <c r="ET108" s="28"/>
      <c r="EU108" s="28"/>
      <c r="EV108" s="28"/>
      <c r="EW108" s="28"/>
      <c r="EX108" s="28"/>
      <c r="EY108" s="28"/>
      <c r="EZ108" s="28"/>
      <c r="FA108" s="28"/>
      <c r="FB108" s="28"/>
      <c r="FC108" s="28"/>
      <c r="FD108" s="28"/>
      <c r="FE108" s="28"/>
      <c r="FF108" s="28"/>
      <c r="FG108" s="28"/>
      <c r="FH108" s="28"/>
      <c r="FI108" s="28"/>
      <c r="FJ108" s="28"/>
      <c r="FK108" s="28"/>
      <c r="FL108" s="28"/>
      <c r="FM108" s="28"/>
      <c r="FN108" s="28"/>
      <c r="FO108" s="28"/>
      <c r="FP108" s="28"/>
      <c r="FQ108" s="28"/>
      <c r="FR108" s="28"/>
      <c r="FS108" s="28"/>
      <c r="FT108" s="28"/>
      <c r="FU108" s="28"/>
      <c r="FV108" s="28"/>
      <c r="FW108" s="28"/>
      <c r="FX108" s="28"/>
      <c r="FY108" s="28"/>
      <c r="FZ108" s="28"/>
      <c r="GA108" s="28"/>
      <c r="GB108" s="28"/>
      <c r="GC108" s="28"/>
      <c r="GD108" s="28"/>
      <c r="GE108" s="28"/>
      <c r="GF108" s="28"/>
      <c r="GG108" s="28"/>
      <c r="GH108" s="28"/>
      <c r="GI108" s="28"/>
      <c r="GJ108" s="28"/>
      <c r="GK108" s="28"/>
      <c r="GL108" s="28"/>
      <c r="GM108" s="62"/>
      <c r="GN108" s="28"/>
      <c r="GO108" s="28"/>
      <c r="GP108" s="28"/>
      <c r="GQ108" s="27"/>
      <c r="GR108" s="27"/>
      <c r="GS108" s="27"/>
      <c r="GT108" s="27"/>
      <c r="GU108" s="27"/>
      <c r="GV108" s="27"/>
      <c r="GW108" s="27"/>
      <c r="GX108" s="27"/>
      <c r="GY108" s="27"/>
      <c r="GZ108" s="27"/>
      <c r="HA108" s="27"/>
      <c r="HB108" s="27"/>
      <c r="HC108" s="27"/>
      <c r="HD108" s="27"/>
      <c r="HE108" s="27"/>
      <c r="HF108" s="27"/>
      <c r="HG108" s="27"/>
      <c r="HH108" s="27"/>
      <c r="HI108" s="27"/>
      <c r="HJ108" s="27"/>
      <c r="HK108" s="27"/>
      <c r="HL108" s="27"/>
      <c r="HM108" s="27"/>
      <c r="HN108" s="27"/>
      <c r="HO108" s="27"/>
      <c r="HP108" s="27"/>
      <c r="HQ108" s="27"/>
      <c r="HR108" s="27"/>
      <c r="HS108" s="27"/>
      <c r="HT108" s="27"/>
      <c r="HU108" s="27"/>
      <c r="HV108" s="27"/>
      <c r="HW108" s="27"/>
      <c r="HX108" s="27"/>
      <c r="HY108" s="27"/>
      <c r="HZ108" s="27"/>
      <c r="IA108" s="27"/>
      <c r="IB108" s="27"/>
      <c r="IC108" s="27"/>
      <c r="ID108" s="27"/>
      <c r="IE108" s="27"/>
      <c r="IF108" s="27"/>
      <c r="IG108" s="27"/>
      <c r="IH108" s="27"/>
      <c r="II108" s="27"/>
      <c r="IJ108" s="27"/>
      <c r="IK108" s="27"/>
      <c r="IL108" s="27"/>
      <c r="IM108" s="27"/>
      <c r="IN108" s="27"/>
      <c r="IO108" s="27"/>
      <c r="IP108" s="27"/>
      <c r="IQ108" s="27"/>
      <c r="IR108" s="27"/>
      <c r="IS108" s="27"/>
      <c r="IT108" s="27"/>
      <c r="IU108" s="27"/>
      <c r="IV108" s="27"/>
      <c r="IW108" s="27"/>
      <c r="IX108" s="27"/>
      <c r="IY108" s="27"/>
      <c r="IZ108" s="27"/>
      <c r="JA108" s="27"/>
      <c r="JB108" s="27"/>
      <c r="JC108" s="27"/>
      <c r="JD108" s="27"/>
      <c r="JE108" s="27"/>
      <c r="JF108" s="27"/>
      <c r="JG108" s="27"/>
      <c r="JH108" s="27"/>
      <c r="JI108" s="27"/>
      <c r="JJ108" s="27"/>
      <c r="JK108" s="27"/>
      <c r="JL108" s="27"/>
      <c r="JM108" s="27"/>
      <c r="JN108" s="27"/>
      <c r="JO108" s="27"/>
      <c r="JP108" s="27"/>
      <c r="JQ108" s="27"/>
      <c r="JR108" s="27"/>
      <c r="JS108" s="27"/>
      <c r="JT108" s="27"/>
      <c r="JU108" s="27"/>
      <c r="JV108" s="27"/>
      <c r="JW108" s="27"/>
      <c r="JX108" s="27"/>
      <c r="JY108" s="27"/>
      <c r="JZ108" s="27"/>
      <c r="KA108" s="27"/>
      <c r="KB108" s="27"/>
      <c r="KC108" s="27"/>
      <c r="KD108" s="27"/>
      <c r="KE108" s="27"/>
      <c r="KF108" s="27"/>
      <c r="KG108" s="27"/>
      <c r="KH108" s="27"/>
      <c r="KI108" s="27"/>
      <c r="KJ108" s="27"/>
      <c r="KK108" s="27"/>
      <c r="KL108" s="27"/>
      <c r="KM108" s="27"/>
      <c r="KN108" s="27"/>
      <c r="KO108" s="27"/>
      <c r="KP108" s="27"/>
      <c r="KQ108" s="27"/>
      <c r="KR108" s="27"/>
      <c r="KS108" s="27"/>
      <c r="KT108" s="27"/>
      <c r="KU108" s="27"/>
      <c r="KV108" s="27"/>
      <c r="KW108" s="27"/>
      <c r="KX108" s="27"/>
      <c r="KY108" s="27"/>
      <c r="KZ108" s="27"/>
      <c r="LA108" s="27"/>
      <c r="LB108" s="27"/>
      <c r="LC108" s="27"/>
      <c r="LD108" s="27"/>
      <c r="LE108" s="27"/>
      <c r="LF108" s="27"/>
      <c r="LG108" s="27"/>
      <c r="LH108" s="27"/>
      <c r="LI108" s="27"/>
      <c r="LJ108" s="27"/>
      <c r="LK108" s="110"/>
    </row>
    <row r="109">
      <c r="A109" s="49" t="s">
        <v>316</v>
      </c>
      <c r="B109" s="149"/>
      <c r="C109" s="87"/>
      <c r="D109" s="147"/>
      <c r="E109" s="146"/>
      <c r="F109" s="146"/>
      <c r="G109" s="149"/>
      <c r="H109" s="146"/>
      <c r="I109" s="53"/>
      <c r="J109" s="53"/>
      <c r="K109" s="146"/>
      <c r="L109" s="149"/>
      <c r="M109" s="146"/>
      <c r="N109" s="52"/>
      <c r="O109" s="146"/>
      <c r="P109" s="53"/>
      <c r="Q109" s="146"/>
      <c r="R109" s="146"/>
      <c r="S109" s="146"/>
      <c r="T109" s="53"/>
      <c r="U109" s="27"/>
      <c r="V109" s="28"/>
      <c r="W109" s="28"/>
      <c r="X109" s="195"/>
      <c r="Y109" s="27"/>
      <c r="AB109" s="27"/>
      <c r="AC109" s="27"/>
      <c r="AD109" s="28"/>
      <c r="AE109" s="28"/>
      <c r="AF109" s="28"/>
      <c r="AG109" s="28"/>
      <c r="AH109" s="28"/>
      <c r="AI109" s="28"/>
      <c r="AJ109" s="27"/>
      <c r="AK109" s="28"/>
      <c r="AL109" s="28"/>
      <c r="AM109" s="28"/>
      <c r="AN109" s="28"/>
      <c r="AO109" s="27"/>
      <c r="AP109" s="27"/>
      <c r="AQ109" s="28"/>
      <c r="AR109" s="28"/>
      <c r="AS109" s="28"/>
      <c r="AT109" s="28"/>
      <c r="AU109" s="28"/>
      <c r="AV109" s="62"/>
      <c r="AW109" s="62"/>
      <c r="AX109" s="27"/>
      <c r="AY109" s="27"/>
      <c r="AZ109" s="27"/>
      <c r="BA109" s="28"/>
      <c r="BB109" s="27"/>
      <c r="BC109" s="27"/>
      <c r="BD109" s="27"/>
      <c r="BE109" s="28"/>
      <c r="BF109" s="27"/>
      <c r="BG109" s="28"/>
      <c r="BH109" s="28"/>
      <c r="BI109" s="28"/>
      <c r="BJ109" s="27"/>
      <c r="BK109" s="28"/>
      <c r="BL109" s="28"/>
      <c r="BM109" s="27"/>
      <c r="BN109" s="27"/>
      <c r="BO109" s="28"/>
      <c r="BP109" s="27"/>
      <c r="BQ109" s="28"/>
      <c r="BR109" s="27"/>
      <c r="BS109" s="28"/>
      <c r="BT109" s="28"/>
      <c r="BU109" s="27"/>
      <c r="BV109" s="28"/>
      <c r="BW109" s="27"/>
      <c r="BX109" s="28"/>
      <c r="BY109" s="28"/>
      <c r="BZ109" s="28"/>
      <c r="CA109" s="27"/>
      <c r="CB109" s="28"/>
      <c r="CC109" s="62"/>
      <c r="CD109" s="62"/>
      <c r="CF109" s="49" t="s">
        <v>316</v>
      </c>
      <c r="CG109" s="27"/>
      <c r="CH109" s="98"/>
      <c r="CI109" s="98"/>
      <c r="CJ109" s="98"/>
      <c r="CK109" s="98"/>
      <c r="CL109" s="27"/>
      <c r="CM109" s="27"/>
      <c r="CN109" s="98"/>
      <c r="CO109" s="98"/>
      <c r="CP109" s="98"/>
      <c r="CQ109" s="98"/>
      <c r="CR109" s="98"/>
      <c r="CS109" s="98"/>
      <c r="CT109" s="98"/>
      <c r="CU109" s="98"/>
      <c r="CV109" s="98"/>
      <c r="CW109" s="98"/>
      <c r="CX109" s="98"/>
      <c r="CY109" s="98"/>
      <c r="CZ109" s="98"/>
      <c r="DA109" s="98"/>
      <c r="DB109" s="27"/>
      <c r="DC109" s="98"/>
      <c r="DD109" s="98"/>
      <c r="DE109" s="98"/>
      <c r="DF109" s="98"/>
      <c r="DG109" s="27"/>
      <c r="DH109" s="98"/>
      <c r="DI109" s="98"/>
      <c r="DJ109" s="98"/>
      <c r="DK109" s="98"/>
      <c r="DL109" s="98"/>
      <c r="DM109" s="98"/>
      <c r="DP109" s="64"/>
      <c r="DQ109" s="49" t="s">
        <v>316</v>
      </c>
      <c r="DR109" s="28"/>
      <c r="DS109" s="28"/>
      <c r="DT109" s="28"/>
      <c r="DU109" s="28"/>
      <c r="DV109" s="62"/>
      <c r="DW109" s="28"/>
      <c r="DX109" s="28"/>
      <c r="DY109" s="28"/>
      <c r="DZ109" s="28"/>
      <c r="EA109" s="28"/>
      <c r="EB109" s="28"/>
      <c r="EC109" s="28"/>
      <c r="ED109" s="28"/>
      <c r="EE109" s="28"/>
      <c r="EF109" s="28"/>
      <c r="EG109" s="28"/>
      <c r="EH109" s="28"/>
      <c r="EI109" s="28"/>
      <c r="EJ109" s="28"/>
      <c r="EK109" s="28"/>
      <c r="EL109" s="28"/>
      <c r="EM109" s="28"/>
      <c r="EN109" s="28"/>
      <c r="EO109" s="28"/>
      <c r="EP109" s="28"/>
      <c r="EQ109" s="28"/>
      <c r="ER109" s="28"/>
      <c r="ES109" s="28"/>
      <c r="ET109" s="28"/>
      <c r="EU109" s="28"/>
      <c r="EV109" s="28"/>
      <c r="EW109" s="28"/>
      <c r="EX109" s="28"/>
      <c r="EY109" s="28"/>
      <c r="EZ109" s="28"/>
      <c r="FA109" s="28"/>
      <c r="FB109" s="28"/>
      <c r="FC109" s="28"/>
      <c r="FD109" s="28"/>
      <c r="FE109" s="28"/>
      <c r="FF109" s="28"/>
      <c r="FG109" s="28"/>
      <c r="FH109" s="27"/>
      <c r="FI109" s="28"/>
      <c r="FJ109" s="28"/>
      <c r="FK109" s="27"/>
      <c r="FL109" s="28"/>
      <c r="FM109" s="28"/>
      <c r="FN109" s="28"/>
      <c r="FO109" s="28"/>
      <c r="FP109" s="28"/>
      <c r="FQ109" s="202"/>
      <c r="FR109" s="28"/>
      <c r="FS109" s="28"/>
      <c r="FT109" s="28"/>
      <c r="FU109" s="28"/>
      <c r="FV109" s="28"/>
      <c r="FW109" s="28"/>
      <c r="FX109" s="28"/>
      <c r="FY109" s="28"/>
      <c r="FZ109" s="28"/>
      <c r="GA109" s="28"/>
      <c r="GB109" s="28"/>
      <c r="GC109" s="28"/>
      <c r="GD109" s="28"/>
      <c r="GE109" s="28"/>
      <c r="GF109" s="28"/>
      <c r="GG109" s="28"/>
      <c r="GH109" s="28"/>
      <c r="GI109" s="28"/>
      <c r="GJ109" s="28"/>
      <c r="GK109" s="28"/>
      <c r="GL109" s="28"/>
      <c r="GM109" s="62"/>
      <c r="GN109" s="28"/>
      <c r="GO109" s="28"/>
      <c r="GP109" s="28"/>
      <c r="GQ109" s="28"/>
      <c r="GR109" s="28"/>
      <c r="GS109" s="28"/>
      <c r="GT109" s="28"/>
      <c r="GU109" s="28"/>
      <c r="GV109" s="28"/>
      <c r="GW109" s="28"/>
      <c r="GX109" s="28"/>
      <c r="GY109" s="28"/>
      <c r="GZ109" s="28"/>
      <c r="HA109" s="28"/>
      <c r="HB109" s="28"/>
      <c r="HC109" s="28"/>
      <c r="HD109" s="28"/>
      <c r="HE109" s="28"/>
      <c r="HF109" s="28"/>
      <c r="HG109" s="28"/>
      <c r="HH109" s="28"/>
      <c r="HI109" s="28"/>
      <c r="HJ109" s="28"/>
      <c r="HK109" s="28"/>
      <c r="HL109" s="28"/>
      <c r="HM109" s="28"/>
      <c r="HN109" s="28"/>
      <c r="HO109" s="28"/>
      <c r="HP109" s="28"/>
      <c r="HQ109" s="28"/>
      <c r="HR109" s="28"/>
      <c r="HS109" s="28"/>
      <c r="HT109" s="28"/>
      <c r="HU109" s="28"/>
      <c r="HV109" s="28"/>
      <c r="HW109" s="28"/>
      <c r="HX109" s="28"/>
      <c r="HY109" s="28"/>
      <c r="HZ109" s="28"/>
      <c r="IA109" s="28"/>
      <c r="IB109" s="28"/>
      <c r="IC109" s="28"/>
      <c r="ID109" s="28"/>
      <c r="IE109" s="28"/>
      <c r="IF109" s="28"/>
      <c r="IG109" s="28"/>
      <c r="IH109" s="28"/>
      <c r="II109" s="28"/>
      <c r="IJ109" s="28"/>
      <c r="IK109" s="28"/>
      <c r="IL109" s="28"/>
      <c r="IM109" s="28"/>
      <c r="IN109" s="28"/>
      <c r="IO109" s="28"/>
      <c r="IP109" s="28"/>
      <c r="IQ109" s="28"/>
      <c r="IR109" s="28"/>
      <c r="IS109" s="28"/>
      <c r="IT109" s="28"/>
      <c r="IU109" s="28"/>
      <c r="IV109" s="28"/>
      <c r="IW109" s="28"/>
      <c r="IX109" s="28"/>
      <c r="IY109" s="28"/>
      <c r="IZ109" s="28"/>
      <c r="JA109" s="28"/>
      <c r="JB109" s="28"/>
      <c r="JC109" s="28"/>
      <c r="JD109" s="28"/>
      <c r="JE109" s="28"/>
      <c r="JF109" s="28"/>
      <c r="JG109" s="28"/>
      <c r="JH109" s="28"/>
      <c r="JI109" s="28"/>
      <c r="JJ109" s="28"/>
      <c r="JK109" s="28"/>
      <c r="JL109" s="28"/>
      <c r="JM109" s="28"/>
      <c r="JN109" s="28"/>
      <c r="JO109" s="28"/>
      <c r="JP109" s="28"/>
      <c r="JQ109" s="28"/>
      <c r="JR109" s="28"/>
      <c r="JS109" s="28"/>
      <c r="JT109" s="62"/>
      <c r="JU109" s="28"/>
      <c r="JV109" s="28"/>
      <c r="JW109" s="28"/>
      <c r="JX109" s="28"/>
      <c r="JY109" s="28"/>
      <c r="JZ109" s="62"/>
      <c r="KA109" s="28"/>
      <c r="KB109" s="28"/>
      <c r="KC109" s="28"/>
      <c r="KD109" s="62"/>
      <c r="KE109" s="28"/>
      <c r="KF109" s="28"/>
      <c r="KG109" s="28"/>
      <c r="KH109" s="28"/>
      <c r="KI109" s="28"/>
      <c r="KJ109" s="28"/>
      <c r="KK109" s="28"/>
      <c r="KL109" s="28"/>
      <c r="KM109" s="28"/>
      <c r="KN109" s="62"/>
      <c r="KO109" s="28"/>
      <c r="KP109" s="28"/>
      <c r="KQ109" s="28"/>
      <c r="KR109" s="28"/>
      <c r="KS109" s="28"/>
      <c r="KT109" s="28"/>
      <c r="KU109" s="28"/>
      <c r="KV109" s="28"/>
      <c r="KW109" s="28"/>
      <c r="KX109" s="28"/>
      <c r="KY109" s="28"/>
      <c r="KZ109" s="28"/>
      <c r="LA109" s="28"/>
      <c r="LB109" s="28"/>
      <c r="LC109" s="28"/>
      <c r="LD109" s="28"/>
      <c r="LE109" s="62"/>
      <c r="LF109" s="28"/>
      <c r="LG109" s="28"/>
      <c r="LH109" s="28"/>
      <c r="LI109" s="28"/>
      <c r="LJ109" s="28"/>
      <c r="LK109" s="110"/>
    </row>
    <row r="110">
      <c r="A110" s="49" t="s">
        <v>318</v>
      </c>
      <c r="B110" s="149"/>
      <c r="C110" s="87"/>
      <c r="D110" s="147"/>
      <c r="E110" s="146"/>
      <c r="F110" s="146"/>
      <c r="G110" s="149"/>
      <c r="H110" s="146"/>
      <c r="I110" s="53"/>
      <c r="J110" s="53"/>
      <c r="K110" s="146"/>
      <c r="L110" s="149"/>
      <c r="M110" s="146"/>
      <c r="N110" s="52"/>
      <c r="O110" s="146"/>
      <c r="P110" s="53"/>
      <c r="Q110" s="146"/>
      <c r="R110" s="146"/>
      <c r="S110" s="146"/>
      <c r="T110" s="53"/>
      <c r="U110" s="27"/>
      <c r="V110" s="28"/>
      <c r="W110" s="28"/>
      <c r="X110" s="195"/>
      <c r="Y110" s="27"/>
      <c r="AB110" s="27"/>
      <c r="AC110" s="27"/>
      <c r="AD110" s="28"/>
      <c r="AE110" s="28"/>
      <c r="AF110" s="28"/>
      <c r="AG110" s="28"/>
      <c r="AH110" s="28"/>
      <c r="AI110" s="28"/>
      <c r="AJ110" s="27"/>
      <c r="AK110" s="28"/>
      <c r="AL110" s="28"/>
      <c r="AM110" s="28"/>
      <c r="AN110" s="28"/>
      <c r="AO110" s="27"/>
      <c r="AP110" s="27"/>
      <c r="AQ110" s="28"/>
      <c r="AR110" s="28"/>
      <c r="AS110" s="28"/>
      <c r="AT110" s="28"/>
      <c r="AU110" s="28"/>
      <c r="AV110" s="62"/>
      <c r="AW110" s="62"/>
      <c r="AX110" s="27"/>
      <c r="AY110" s="27"/>
      <c r="AZ110" s="27"/>
      <c r="BA110" s="28"/>
      <c r="BB110" s="27"/>
      <c r="BC110" s="27"/>
      <c r="BD110" s="27"/>
      <c r="BE110" s="28"/>
      <c r="BF110" s="27"/>
      <c r="BG110" s="28"/>
      <c r="BH110" s="28"/>
      <c r="BI110" s="28"/>
      <c r="BJ110" s="27"/>
      <c r="BK110" s="28"/>
      <c r="BL110" s="28"/>
      <c r="BM110" s="27"/>
      <c r="BN110" s="27"/>
      <c r="BO110" s="28"/>
      <c r="BP110" s="27"/>
      <c r="BQ110" s="28"/>
      <c r="BR110" s="27"/>
      <c r="BS110" s="28"/>
      <c r="BT110" s="28"/>
      <c r="BU110" s="27"/>
      <c r="BV110" s="28"/>
      <c r="BW110" s="27"/>
      <c r="BX110" s="28"/>
      <c r="BY110" s="28"/>
      <c r="BZ110" s="28"/>
      <c r="CA110" s="27"/>
      <c r="CB110" s="28"/>
      <c r="CC110" s="62"/>
      <c r="CD110" s="62"/>
      <c r="CF110" s="49" t="s">
        <v>318</v>
      </c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P110" s="64"/>
      <c r="DQ110" s="49" t="s">
        <v>318</v>
      </c>
      <c r="DR110" s="28"/>
      <c r="DS110" s="28"/>
      <c r="DT110" s="28"/>
      <c r="DU110" s="28"/>
      <c r="DV110" s="62"/>
      <c r="DW110" s="28"/>
      <c r="DX110" s="28"/>
      <c r="DY110" s="28"/>
      <c r="DZ110" s="28"/>
      <c r="EA110" s="28"/>
      <c r="EB110" s="28"/>
      <c r="EC110" s="28"/>
      <c r="ED110" s="28"/>
      <c r="EE110" s="28"/>
      <c r="EF110" s="28"/>
      <c r="EG110" s="28"/>
      <c r="EH110" s="28"/>
      <c r="EI110" s="28"/>
      <c r="EJ110" s="28"/>
      <c r="EK110" s="28"/>
      <c r="EL110" s="28"/>
      <c r="EM110" s="28"/>
      <c r="EN110" s="27"/>
      <c r="EO110" s="28"/>
      <c r="EP110" s="28"/>
      <c r="EQ110" s="28"/>
      <c r="ER110" s="28"/>
      <c r="ES110" s="28"/>
      <c r="ET110" s="28"/>
      <c r="EU110" s="28"/>
      <c r="EV110" s="28"/>
      <c r="EW110" s="28"/>
      <c r="EX110" s="28"/>
      <c r="EY110" s="28"/>
      <c r="EZ110" s="28"/>
      <c r="FA110" s="28"/>
      <c r="FB110" s="28"/>
      <c r="FC110" s="28"/>
      <c r="FD110" s="28"/>
      <c r="FE110" s="28"/>
      <c r="FF110" s="28"/>
      <c r="FG110" s="28"/>
      <c r="FH110" s="28"/>
      <c r="FI110" s="28"/>
      <c r="FJ110" s="28"/>
      <c r="FK110" s="28"/>
      <c r="FL110" s="28"/>
      <c r="FM110" s="28"/>
      <c r="FN110" s="28"/>
      <c r="FO110" s="28"/>
      <c r="FP110" s="28"/>
      <c r="FQ110" s="28"/>
      <c r="FR110" s="28"/>
      <c r="FS110" s="28"/>
      <c r="FT110" s="28"/>
      <c r="FU110" s="28"/>
      <c r="FV110" s="28"/>
      <c r="FW110" s="28"/>
      <c r="FX110" s="28"/>
      <c r="FY110" s="28"/>
      <c r="FZ110" s="28"/>
      <c r="GA110" s="28"/>
      <c r="GB110" s="28"/>
      <c r="GC110" s="28"/>
      <c r="GD110" s="28"/>
      <c r="GE110" s="28"/>
      <c r="GF110" s="28"/>
      <c r="GG110" s="28"/>
      <c r="GH110" s="28"/>
      <c r="GI110" s="28"/>
      <c r="GJ110" s="28"/>
      <c r="GK110" s="28"/>
      <c r="GL110" s="28"/>
      <c r="GM110" s="62"/>
      <c r="GN110" s="28"/>
      <c r="GO110" s="28"/>
      <c r="GP110" s="28"/>
      <c r="GQ110" s="28"/>
      <c r="GR110" s="28"/>
      <c r="GS110" s="28"/>
      <c r="GT110" s="28"/>
      <c r="GU110" s="28"/>
      <c r="GV110" s="28"/>
      <c r="GW110" s="28"/>
      <c r="GX110" s="28"/>
      <c r="GY110" s="28"/>
      <c r="GZ110" s="28"/>
      <c r="HA110" s="27"/>
      <c r="HB110" s="27"/>
      <c r="HC110" s="28"/>
      <c r="HD110" s="28"/>
      <c r="HE110" s="28"/>
      <c r="HF110" s="28"/>
      <c r="HG110" s="28"/>
      <c r="HH110" s="28"/>
      <c r="HI110" s="28"/>
      <c r="HJ110" s="28"/>
      <c r="HK110" s="28"/>
      <c r="HL110" s="28"/>
      <c r="HM110" s="28"/>
      <c r="HN110" s="28"/>
      <c r="HO110" s="28"/>
      <c r="HP110" s="28"/>
      <c r="HQ110" s="28"/>
      <c r="HR110" s="28"/>
      <c r="HS110" s="27"/>
      <c r="HT110" s="28"/>
      <c r="HU110" s="28"/>
      <c r="HV110" s="28"/>
      <c r="HW110" s="28"/>
      <c r="HX110" s="28"/>
      <c r="HY110" s="28"/>
      <c r="HZ110" s="28"/>
      <c r="IA110" s="28"/>
      <c r="IB110" s="28"/>
      <c r="IC110" s="28"/>
      <c r="ID110" s="28"/>
      <c r="IE110" s="28"/>
      <c r="IF110" s="28"/>
      <c r="IG110" s="28"/>
      <c r="IH110" s="28"/>
      <c r="II110" s="28"/>
      <c r="IJ110" s="28"/>
      <c r="IK110" s="28"/>
      <c r="IL110" s="28"/>
      <c r="IM110" s="28"/>
      <c r="IN110" s="28"/>
      <c r="IO110" s="28"/>
      <c r="IP110" s="28"/>
      <c r="IQ110" s="28"/>
      <c r="IR110" s="28"/>
      <c r="IS110" s="28"/>
      <c r="IT110" s="28"/>
      <c r="IU110" s="28"/>
      <c r="IV110" s="28"/>
      <c r="IW110" s="28"/>
      <c r="IX110" s="28"/>
      <c r="IY110" s="28"/>
      <c r="IZ110" s="28"/>
      <c r="JA110" s="28"/>
      <c r="JB110" s="28"/>
      <c r="JC110" s="28"/>
      <c r="JD110" s="28"/>
      <c r="JE110" s="28"/>
      <c r="JF110" s="28"/>
      <c r="JG110" s="28"/>
      <c r="JH110" s="28"/>
      <c r="JI110" s="28"/>
      <c r="JJ110" s="28"/>
      <c r="JK110" s="28"/>
      <c r="JL110" s="28"/>
      <c r="JM110" s="28"/>
      <c r="JN110" s="28"/>
      <c r="JO110" s="28"/>
      <c r="JP110" s="28"/>
      <c r="JQ110" s="28"/>
      <c r="JR110" s="28"/>
      <c r="JS110" s="28"/>
      <c r="JT110" s="62"/>
      <c r="JU110" s="28"/>
      <c r="JV110" s="28"/>
      <c r="JW110" s="28"/>
      <c r="JX110" s="28"/>
      <c r="JY110" s="28"/>
      <c r="JZ110" s="62"/>
      <c r="KA110" s="28"/>
      <c r="KB110" s="28"/>
      <c r="KC110" s="28"/>
      <c r="KD110" s="62"/>
      <c r="KE110" s="28"/>
      <c r="KF110" s="28"/>
      <c r="KG110" s="28"/>
      <c r="KH110" s="28"/>
      <c r="KI110" s="28"/>
      <c r="KJ110" s="28"/>
      <c r="KK110" s="28"/>
      <c r="KL110" s="27"/>
      <c r="KM110" s="28"/>
      <c r="KN110" s="62"/>
      <c r="KO110" s="28"/>
      <c r="KP110" s="28"/>
      <c r="KQ110" s="28"/>
      <c r="KR110" s="194"/>
      <c r="KS110" s="28"/>
      <c r="KT110" s="28"/>
      <c r="KU110" s="28"/>
      <c r="KV110" s="28"/>
      <c r="KW110" s="28"/>
      <c r="KX110" s="28"/>
      <c r="KY110" s="28"/>
      <c r="KZ110" s="28"/>
      <c r="LA110" s="28"/>
      <c r="LB110" s="28"/>
      <c r="LC110" s="28"/>
      <c r="LD110" s="28"/>
      <c r="LE110" s="62"/>
      <c r="LF110" s="28"/>
      <c r="LG110" s="28"/>
      <c r="LH110" s="28"/>
      <c r="LI110" s="28"/>
      <c r="LJ110" s="28"/>
      <c r="LK110" s="110"/>
    </row>
    <row r="111">
      <c r="A111" s="49" t="s">
        <v>3</v>
      </c>
      <c r="B111" s="149"/>
      <c r="C111" s="87"/>
      <c r="D111" s="147"/>
      <c r="E111" s="146"/>
      <c r="F111" s="146"/>
      <c r="G111" s="149"/>
      <c r="H111" s="146"/>
      <c r="I111" s="53"/>
      <c r="J111" s="53"/>
      <c r="K111" s="146"/>
      <c r="L111" s="149"/>
      <c r="M111" s="146"/>
      <c r="N111" s="52"/>
      <c r="O111" s="146"/>
      <c r="P111" s="53"/>
      <c r="Q111" s="146"/>
      <c r="R111" s="146"/>
      <c r="S111" s="146"/>
      <c r="T111" s="53"/>
      <c r="U111" s="27"/>
      <c r="V111" s="28"/>
      <c r="W111" s="28"/>
      <c r="X111" s="195"/>
      <c r="Y111" s="27"/>
      <c r="AB111" s="27"/>
      <c r="AC111" s="27"/>
      <c r="AD111" s="28"/>
      <c r="AE111" s="28"/>
      <c r="AF111" s="28"/>
      <c r="AG111" s="28"/>
      <c r="AH111" s="28"/>
      <c r="AI111" s="28"/>
      <c r="AJ111" s="27"/>
      <c r="AK111" s="28"/>
      <c r="AL111" s="28"/>
      <c r="AM111" s="28"/>
      <c r="AN111" s="28"/>
      <c r="AO111" s="27"/>
      <c r="AP111" s="27"/>
      <c r="AQ111" s="28"/>
      <c r="AR111" s="28"/>
      <c r="AS111" s="28"/>
      <c r="AT111" s="28"/>
      <c r="AU111" s="28"/>
      <c r="AV111" s="62"/>
      <c r="AW111" s="62"/>
      <c r="AX111" s="27"/>
      <c r="AY111" s="27"/>
      <c r="AZ111" s="27"/>
      <c r="BA111" s="28"/>
      <c r="BB111" s="27"/>
      <c r="BC111" s="27"/>
      <c r="BD111" s="27"/>
      <c r="BE111" s="28"/>
      <c r="BF111" s="27"/>
      <c r="BG111" s="28"/>
      <c r="BH111" s="28"/>
      <c r="BI111" s="28"/>
      <c r="BJ111" s="27"/>
      <c r="BK111" s="28"/>
      <c r="BL111" s="28"/>
      <c r="BM111" s="27"/>
      <c r="BN111" s="27"/>
      <c r="BO111" s="28"/>
      <c r="BP111" s="27"/>
      <c r="BQ111" s="28"/>
      <c r="BR111" s="27"/>
      <c r="BS111" s="28"/>
      <c r="BT111" s="28"/>
      <c r="BU111" s="27"/>
      <c r="BV111" s="28"/>
      <c r="BW111" s="27"/>
      <c r="BX111" s="28"/>
      <c r="BY111" s="28"/>
      <c r="BZ111" s="28"/>
      <c r="CA111" s="27"/>
      <c r="CB111" s="28"/>
      <c r="CC111" s="62"/>
      <c r="CD111" s="62"/>
      <c r="CF111" s="49" t="s">
        <v>3</v>
      </c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P111" s="64"/>
      <c r="DQ111" s="49" t="s">
        <v>3</v>
      </c>
      <c r="DR111" s="28"/>
      <c r="DS111" s="28"/>
      <c r="DT111" s="28"/>
      <c r="DU111" s="28"/>
      <c r="DV111" s="62"/>
      <c r="DW111" s="28"/>
      <c r="DX111" s="28"/>
      <c r="DY111" s="28"/>
      <c r="DZ111" s="28"/>
      <c r="EA111" s="28"/>
      <c r="EB111" s="28"/>
      <c r="EC111" s="28"/>
      <c r="ED111" s="28"/>
      <c r="EE111" s="28"/>
      <c r="EF111" s="28"/>
      <c r="EG111" s="28"/>
      <c r="EH111" s="28"/>
      <c r="EI111" s="28"/>
      <c r="EJ111" s="28"/>
      <c r="EK111" s="28"/>
      <c r="EL111" s="28"/>
      <c r="EM111" s="28"/>
      <c r="EN111" s="28"/>
      <c r="EO111" s="28"/>
      <c r="EP111" s="28"/>
      <c r="EQ111" s="28"/>
      <c r="ER111" s="28"/>
      <c r="ES111" s="28"/>
      <c r="ET111" s="28"/>
      <c r="EU111" s="28"/>
      <c r="EV111" s="28"/>
      <c r="EW111" s="28"/>
      <c r="EX111" s="28"/>
      <c r="EY111" s="28"/>
      <c r="EZ111" s="28"/>
      <c r="FA111" s="28"/>
      <c r="FB111" s="28"/>
      <c r="FC111" s="28"/>
      <c r="FD111" s="28"/>
      <c r="FE111" s="28"/>
      <c r="FF111" s="28"/>
      <c r="FG111" s="28"/>
      <c r="FH111" s="28"/>
      <c r="FI111" s="28"/>
      <c r="FJ111" s="28"/>
      <c r="FK111" s="28"/>
      <c r="FL111" s="28"/>
      <c r="FM111" s="28"/>
      <c r="FN111" s="28"/>
      <c r="FO111" s="28"/>
      <c r="FP111" s="28"/>
      <c r="FQ111" s="28"/>
      <c r="FR111" s="28"/>
      <c r="FS111" s="28"/>
      <c r="FT111" s="28"/>
      <c r="FU111" s="28"/>
      <c r="FV111" s="28"/>
      <c r="FW111" s="28"/>
      <c r="FX111" s="28"/>
      <c r="FY111" s="28"/>
      <c r="FZ111" s="28"/>
      <c r="GA111" s="28"/>
      <c r="GB111" s="28"/>
      <c r="GC111" s="28"/>
      <c r="GD111" s="28"/>
      <c r="GE111" s="28"/>
      <c r="GF111" s="28"/>
      <c r="GG111" s="28"/>
      <c r="GH111" s="28"/>
      <c r="GI111" s="28"/>
      <c r="GJ111" s="28"/>
      <c r="GK111" s="28"/>
      <c r="GL111" s="28"/>
      <c r="GM111" s="62"/>
      <c r="GN111" s="28"/>
      <c r="GO111" s="28"/>
      <c r="GP111" s="28"/>
      <c r="GQ111" s="28"/>
      <c r="GR111" s="28"/>
      <c r="GS111" s="28"/>
      <c r="GT111" s="28"/>
      <c r="GU111" s="28"/>
      <c r="GV111" s="28"/>
      <c r="GW111" s="28"/>
      <c r="GX111" s="28"/>
      <c r="GY111" s="28"/>
      <c r="GZ111" s="28"/>
      <c r="HA111" s="28"/>
      <c r="HB111" s="28"/>
      <c r="HC111" s="28"/>
      <c r="HD111" s="28"/>
      <c r="HE111" s="28"/>
      <c r="HF111" s="28"/>
      <c r="HG111" s="28"/>
      <c r="HH111" s="28"/>
      <c r="HI111" s="28"/>
      <c r="HJ111" s="28"/>
      <c r="HK111" s="28"/>
      <c r="HL111" s="28"/>
      <c r="HM111" s="28"/>
      <c r="HN111" s="28"/>
      <c r="HO111" s="28"/>
      <c r="HP111" s="28"/>
      <c r="HQ111" s="28"/>
      <c r="HR111" s="28"/>
      <c r="HS111" s="28"/>
      <c r="HT111" s="28"/>
      <c r="HU111" s="28"/>
      <c r="HV111" s="28"/>
      <c r="HW111" s="28"/>
      <c r="HX111" s="28"/>
      <c r="HY111" s="28"/>
      <c r="HZ111" s="28"/>
      <c r="IA111" s="28"/>
      <c r="IB111" s="28"/>
      <c r="IC111" s="28"/>
      <c r="ID111" s="28"/>
      <c r="IE111" s="28"/>
      <c r="IF111" s="28"/>
      <c r="IG111" s="28"/>
      <c r="IH111" s="28"/>
      <c r="II111" s="28"/>
      <c r="IJ111" s="28"/>
      <c r="IK111" s="28"/>
      <c r="IL111" s="28"/>
      <c r="IM111" s="28"/>
      <c r="IN111" s="28"/>
      <c r="IO111" s="28"/>
      <c r="IP111" s="28"/>
      <c r="IQ111" s="28"/>
      <c r="IR111" s="28"/>
      <c r="IS111" s="28"/>
      <c r="IT111" s="28"/>
      <c r="IU111" s="28"/>
      <c r="IV111" s="28"/>
      <c r="IW111" s="28"/>
      <c r="IX111" s="28"/>
      <c r="IY111" s="28"/>
      <c r="IZ111" s="28"/>
      <c r="JA111" s="28"/>
      <c r="JB111" s="28"/>
      <c r="JC111" s="28"/>
      <c r="JD111" s="28"/>
      <c r="JE111" s="28"/>
      <c r="JF111" s="28"/>
      <c r="JG111" s="28"/>
      <c r="JH111" s="28"/>
      <c r="JI111" s="28"/>
      <c r="JJ111" s="28"/>
      <c r="JK111" s="28"/>
      <c r="JL111" s="28"/>
      <c r="JM111" s="28"/>
      <c r="JN111" s="28"/>
      <c r="JO111" s="28"/>
      <c r="JP111" s="28"/>
      <c r="JQ111" s="28"/>
      <c r="JR111" s="28"/>
      <c r="JS111" s="28"/>
      <c r="JT111" s="62"/>
      <c r="JU111" s="28"/>
      <c r="JV111" s="28"/>
      <c r="JW111" s="28"/>
      <c r="JX111" s="28"/>
      <c r="JY111" s="28"/>
      <c r="JZ111" s="62"/>
      <c r="KA111" s="28"/>
      <c r="KB111" s="28"/>
      <c r="KC111" s="28"/>
      <c r="KD111" s="62"/>
      <c r="KE111" s="28"/>
      <c r="KF111" s="28"/>
      <c r="KG111" s="28"/>
      <c r="KH111" s="28"/>
      <c r="KI111" s="28"/>
      <c r="KJ111" s="28"/>
      <c r="KK111" s="28"/>
      <c r="KL111" s="28"/>
      <c r="KM111" s="28"/>
      <c r="KN111" s="62"/>
      <c r="KO111" s="28"/>
      <c r="KP111" s="28"/>
      <c r="KQ111" s="28"/>
      <c r="KR111" s="28"/>
      <c r="KS111" s="28"/>
      <c r="KT111" s="28"/>
      <c r="KU111" s="28"/>
      <c r="KV111" s="28"/>
      <c r="KW111" s="28"/>
      <c r="KX111" s="28"/>
      <c r="KY111" s="28"/>
      <c r="KZ111" s="28"/>
      <c r="LA111" s="28"/>
      <c r="LB111" s="28"/>
      <c r="LC111" s="28"/>
      <c r="LD111" s="28"/>
      <c r="LE111" s="62"/>
      <c r="LF111" s="28"/>
      <c r="LG111" s="28"/>
      <c r="LH111" s="28"/>
      <c r="LI111" s="28"/>
      <c r="LJ111" s="28"/>
      <c r="LK111" s="110"/>
    </row>
    <row r="112">
      <c r="A112" s="49" t="s">
        <v>322</v>
      </c>
      <c r="B112" s="149"/>
      <c r="C112" s="87"/>
      <c r="D112" s="147"/>
      <c r="E112" s="146"/>
      <c r="F112" s="146"/>
      <c r="G112" s="149"/>
      <c r="H112" s="146"/>
      <c r="I112" s="53"/>
      <c r="J112" s="53"/>
      <c r="K112" s="146"/>
      <c r="L112" s="149"/>
      <c r="M112" s="146"/>
      <c r="N112" s="52"/>
      <c r="O112" s="146"/>
      <c r="P112" s="53"/>
      <c r="Q112" s="146"/>
      <c r="R112" s="146"/>
      <c r="S112" s="146"/>
      <c r="T112" s="53"/>
      <c r="U112" s="27"/>
      <c r="V112" s="28"/>
      <c r="W112" s="28"/>
      <c r="X112" s="195"/>
      <c r="Y112" s="27"/>
      <c r="AB112" s="27"/>
      <c r="AC112" s="27"/>
      <c r="AD112" s="28"/>
      <c r="AE112" s="28"/>
      <c r="AF112" s="28"/>
      <c r="AG112" s="28"/>
      <c r="AH112" s="28"/>
      <c r="AI112" s="28"/>
      <c r="AJ112" s="27"/>
      <c r="AK112" s="28"/>
      <c r="AL112" s="28"/>
      <c r="AM112" s="28"/>
      <c r="AN112" s="28"/>
      <c r="AO112" s="27"/>
      <c r="AP112" s="27"/>
      <c r="AQ112" s="28"/>
      <c r="AR112" s="28"/>
      <c r="AS112" s="28"/>
      <c r="AT112" s="28"/>
      <c r="AU112" s="28"/>
      <c r="AV112" s="62"/>
      <c r="AW112" s="62"/>
      <c r="AX112" s="27"/>
      <c r="AY112" s="27"/>
      <c r="AZ112" s="27"/>
      <c r="BA112" s="28"/>
      <c r="BB112" s="27"/>
      <c r="BC112" s="27"/>
      <c r="BD112" s="27"/>
      <c r="BE112" s="28"/>
      <c r="BF112" s="27"/>
      <c r="BG112" s="28"/>
      <c r="BH112" s="28"/>
      <c r="BI112" s="28"/>
      <c r="BJ112" s="27"/>
      <c r="BK112" s="28"/>
      <c r="BL112" s="28"/>
      <c r="BM112" s="27"/>
      <c r="BN112" s="27"/>
      <c r="BO112" s="28"/>
      <c r="BP112" s="27"/>
      <c r="BQ112" s="28"/>
      <c r="BR112" s="27"/>
      <c r="BS112" s="28"/>
      <c r="BT112" s="28"/>
      <c r="BU112" s="27"/>
      <c r="BV112" s="28"/>
      <c r="BW112" s="27"/>
      <c r="BX112" s="28"/>
      <c r="BY112" s="28"/>
      <c r="BZ112" s="28"/>
      <c r="CA112" s="27"/>
      <c r="CB112" s="28"/>
      <c r="CC112" s="62"/>
      <c r="CD112" s="62"/>
      <c r="CF112" s="49" t="s">
        <v>322</v>
      </c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P112" s="64"/>
      <c r="DQ112" s="49" t="s">
        <v>322</v>
      </c>
      <c r="DR112" s="28"/>
      <c r="DS112" s="28"/>
      <c r="DT112" s="28"/>
      <c r="DU112" s="28"/>
      <c r="DV112" s="62"/>
      <c r="DW112" s="28"/>
      <c r="DX112" s="28"/>
      <c r="DY112" s="28"/>
      <c r="DZ112" s="28"/>
      <c r="EA112" s="28"/>
      <c r="EB112" s="28"/>
      <c r="EC112" s="28"/>
      <c r="ED112" s="28"/>
      <c r="EE112" s="28"/>
      <c r="EF112" s="28"/>
      <c r="EG112" s="28"/>
      <c r="EH112" s="28"/>
      <c r="EI112" s="28"/>
      <c r="EJ112" s="28"/>
      <c r="EK112" s="28"/>
      <c r="EL112" s="28"/>
      <c r="EM112" s="28"/>
      <c r="EN112" s="28"/>
      <c r="EO112" s="28"/>
      <c r="EP112" s="28"/>
      <c r="EQ112" s="28"/>
      <c r="ER112" s="28"/>
      <c r="ES112" s="28"/>
      <c r="ET112" s="28"/>
      <c r="EU112" s="28"/>
      <c r="EV112" s="28"/>
      <c r="EW112" s="28"/>
      <c r="EX112" s="28"/>
      <c r="EY112" s="28"/>
      <c r="EZ112" s="28"/>
      <c r="FA112" s="28"/>
      <c r="FB112" s="28"/>
      <c r="FC112" s="28"/>
      <c r="FD112" s="28"/>
      <c r="FE112" s="28"/>
      <c r="FF112" s="28"/>
      <c r="FG112" s="28"/>
      <c r="FH112" s="28"/>
      <c r="FI112" s="28"/>
      <c r="FJ112" s="28"/>
      <c r="FK112" s="28"/>
      <c r="FL112" s="28"/>
      <c r="FM112" s="28"/>
      <c r="FN112" s="28"/>
      <c r="FO112" s="28"/>
      <c r="FP112" s="28"/>
      <c r="FQ112" s="28"/>
      <c r="FR112" s="28"/>
      <c r="FS112" s="28"/>
      <c r="FT112" s="28"/>
      <c r="FU112" s="28"/>
      <c r="FV112" s="28"/>
      <c r="FW112" s="28"/>
      <c r="FX112" s="28"/>
      <c r="FY112" s="28"/>
      <c r="FZ112" s="28"/>
      <c r="GA112" s="28"/>
      <c r="GB112" s="28"/>
      <c r="GC112" s="28"/>
      <c r="GD112" s="28"/>
      <c r="GE112" s="28"/>
      <c r="GF112" s="28"/>
      <c r="GG112" s="28"/>
      <c r="GH112" s="28"/>
      <c r="GI112" s="28"/>
      <c r="GJ112" s="28"/>
      <c r="GK112" s="28"/>
      <c r="GL112" s="28"/>
      <c r="GM112" s="62"/>
      <c r="GN112" s="28"/>
      <c r="GO112" s="28"/>
      <c r="GP112" s="28"/>
      <c r="GQ112" s="28"/>
      <c r="GR112" s="28"/>
      <c r="GS112" s="28"/>
      <c r="GT112" s="28"/>
      <c r="GU112" s="28"/>
      <c r="GV112" s="28"/>
      <c r="GW112" s="28"/>
      <c r="GX112" s="28"/>
      <c r="GY112" s="28"/>
      <c r="GZ112" s="28"/>
      <c r="HA112" s="28"/>
      <c r="HB112" s="28"/>
      <c r="HC112" s="28"/>
      <c r="HD112" s="28"/>
      <c r="HE112" s="28"/>
      <c r="HF112" s="28"/>
      <c r="HG112" s="28"/>
      <c r="HH112" s="28"/>
      <c r="HI112" s="28"/>
      <c r="HJ112" s="28"/>
      <c r="HK112" s="28"/>
      <c r="HL112" s="28"/>
      <c r="HM112" s="28"/>
      <c r="HN112" s="28"/>
      <c r="HO112" s="28"/>
      <c r="HP112" s="28"/>
      <c r="HQ112" s="28"/>
      <c r="HR112" s="28"/>
      <c r="HS112" s="28"/>
      <c r="HT112" s="28"/>
      <c r="HU112" s="28"/>
      <c r="HV112" s="28"/>
      <c r="HW112" s="28"/>
      <c r="HX112" s="28"/>
      <c r="HY112" s="28"/>
      <c r="HZ112" s="28"/>
      <c r="IA112" s="28"/>
      <c r="IB112" s="28"/>
      <c r="IC112" s="28"/>
      <c r="ID112" s="28"/>
      <c r="IE112" s="28"/>
      <c r="IF112" s="28"/>
      <c r="IG112" s="28"/>
      <c r="IH112" s="28"/>
      <c r="II112" s="28"/>
      <c r="IJ112" s="28"/>
      <c r="IK112" s="28"/>
      <c r="IL112" s="28"/>
      <c r="IM112" s="28"/>
      <c r="IN112" s="28"/>
      <c r="IO112" s="28"/>
      <c r="IP112" s="28"/>
      <c r="IQ112" s="28"/>
      <c r="IR112" s="28"/>
      <c r="IS112" s="28"/>
      <c r="IT112" s="28"/>
      <c r="IU112" s="28"/>
      <c r="IV112" s="28"/>
      <c r="IW112" s="28"/>
      <c r="IX112" s="28"/>
      <c r="IY112" s="28"/>
      <c r="IZ112" s="28"/>
      <c r="JA112" s="28"/>
      <c r="JB112" s="28"/>
      <c r="JC112" s="28"/>
      <c r="JD112" s="28"/>
      <c r="JE112" s="28"/>
      <c r="JF112" s="28"/>
      <c r="JG112" s="28"/>
      <c r="JH112" s="28"/>
      <c r="JI112" s="28"/>
      <c r="JJ112" s="28"/>
      <c r="JK112" s="28"/>
      <c r="JL112" s="28"/>
      <c r="JM112" s="28"/>
      <c r="JN112" s="28"/>
      <c r="JO112" s="28"/>
      <c r="JP112" s="28"/>
      <c r="JQ112" s="28"/>
      <c r="JR112" s="28"/>
      <c r="JS112" s="28"/>
      <c r="JT112" s="62"/>
      <c r="JU112" s="28"/>
      <c r="JV112" s="28"/>
      <c r="JW112" s="28"/>
      <c r="JX112" s="28"/>
      <c r="JY112" s="28"/>
      <c r="JZ112" s="62"/>
      <c r="KA112" s="28"/>
      <c r="KB112" s="28"/>
      <c r="KC112" s="28"/>
      <c r="KD112" s="62"/>
      <c r="KE112" s="28"/>
      <c r="KF112" s="28"/>
      <c r="KG112" s="28"/>
      <c r="KH112" s="28"/>
      <c r="KI112" s="28"/>
      <c r="KJ112" s="28"/>
      <c r="KK112" s="28"/>
      <c r="KL112" s="28"/>
      <c r="KM112" s="28"/>
      <c r="KN112" s="62"/>
      <c r="KO112" s="28"/>
      <c r="KP112" s="28"/>
      <c r="KQ112" s="28"/>
      <c r="KR112" s="28"/>
      <c r="KS112" s="28"/>
      <c r="KT112" s="28"/>
      <c r="KU112" s="28"/>
      <c r="KV112" s="28"/>
      <c r="KW112" s="28"/>
      <c r="KX112" s="28"/>
      <c r="KY112" s="28"/>
      <c r="KZ112" s="28"/>
      <c r="LA112" s="28"/>
      <c r="LB112" s="28"/>
      <c r="LC112" s="28"/>
      <c r="LD112" s="28"/>
      <c r="LE112" s="62"/>
      <c r="LF112" s="28"/>
      <c r="LG112" s="28"/>
      <c r="LH112" s="28"/>
      <c r="LI112" s="28"/>
      <c r="LJ112" s="28"/>
      <c r="LK112" s="110"/>
    </row>
    <row r="113">
      <c r="A113" s="49" t="s">
        <v>323</v>
      </c>
      <c r="B113" s="149"/>
      <c r="C113" s="87"/>
      <c r="D113" s="147"/>
      <c r="E113" s="146"/>
      <c r="F113" s="146"/>
      <c r="G113" s="149"/>
      <c r="H113" s="146"/>
      <c r="I113" s="53"/>
      <c r="J113" s="53"/>
      <c r="K113" s="146"/>
      <c r="L113" s="149"/>
      <c r="M113" s="146"/>
      <c r="N113" s="52"/>
      <c r="O113" s="146"/>
      <c r="P113" s="53"/>
      <c r="Q113" s="146"/>
      <c r="R113" s="146"/>
      <c r="S113" s="146"/>
      <c r="T113" s="53"/>
      <c r="U113" s="27"/>
      <c r="V113" s="28"/>
      <c r="W113" s="28"/>
      <c r="X113" s="195"/>
      <c r="Y113" s="27"/>
      <c r="AB113" s="27"/>
      <c r="AC113" s="27"/>
      <c r="AD113" s="28"/>
      <c r="AE113" s="28"/>
      <c r="AF113" s="28"/>
      <c r="AG113" s="28"/>
      <c r="AH113" s="28"/>
      <c r="AI113" s="28"/>
      <c r="AJ113" s="27"/>
      <c r="AK113" s="28"/>
      <c r="AL113" s="28"/>
      <c r="AM113" s="28"/>
      <c r="AN113" s="28"/>
      <c r="AO113" s="27"/>
      <c r="AP113" s="27"/>
      <c r="AQ113" s="28"/>
      <c r="AR113" s="28"/>
      <c r="AS113" s="28"/>
      <c r="AT113" s="28"/>
      <c r="AU113" s="28"/>
      <c r="AV113" s="62"/>
      <c r="AW113" s="62"/>
      <c r="AX113" s="27"/>
      <c r="AY113" s="27"/>
      <c r="AZ113" s="27"/>
      <c r="BA113" s="28"/>
      <c r="BB113" s="27"/>
      <c r="BC113" s="27"/>
      <c r="BD113" s="27"/>
      <c r="BE113" s="28"/>
      <c r="BF113" s="27"/>
      <c r="BG113" s="28"/>
      <c r="BH113" s="28"/>
      <c r="BI113" s="28"/>
      <c r="BJ113" s="27"/>
      <c r="BK113" s="28"/>
      <c r="BL113" s="28"/>
      <c r="BM113" s="27"/>
      <c r="BN113" s="27"/>
      <c r="BO113" s="28"/>
      <c r="BP113" s="27"/>
      <c r="BQ113" s="28"/>
      <c r="BR113" s="27"/>
      <c r="BS113" s="28"/>
      <c r="BT113" s="28"/>
      <c r="BU113" s="27"/>
      <c r="BV113" s="28"/>
      <c r="BW113" s="27"/>
      <c r="BX113" s="28"/>
      <c r="BY113" s="28"/>
      <c r="BZ113" s="28"/>
      <c r="CA113" s="27"/>
      <c r="CB113" s="28"/>
      <c r="CC113" s="62"/>
      <c r="CD113" s="62"/>
      <c r="CF113" s="49" t="s">
        <v>323</v>
      </c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P113" s="64"/>
      <c r="DQ113" s="49" t="s">
        <v>323</v>
      </c>
      <c r="DR113" s="28"/>
      <c r="DS113" s="28"/>
      <c r="DT113" s="28"/>
      <c r="DU113" s="28"/>
      <c r="DV113" s="62"/>
      <c r="DW113" s="28"/>
      <c r="DX113" s="28"/>
      <c r="DY113" s="28"/>
      <c r="DZ113" s="28"/>
      <c r="EA113" s="28"/>
      <c r="EB113" s="28"/>
      <c r="EC113" s="28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  <c r="EP113" s="28"/>
      <c r="EQ113" s="28"/>
      <c r="ER113" s="28"/>
      <c r="ES113" s="28"/>
      <c r="ET113" s="28"/>
      <c r="EU113" s="28"/>
      <c r="EV113" s="28"/>
      <c r="EW113" s="28"/>
      <c r="EX113" s="28"/>
      <c r="EY113" s="28"/>
      <c r="EZ113" s="28"/>
      <c r="FA113" s="28"/>
      <c r="FB113" s="28"/>
      <c r="FC113" s="28"/>
      <c r="FD113" s="28"/>
      <c r="FE113" s="28"/>
      <c r="FF113" s="28"/>
      <c r="FG113" s="28"/>
      <c r="FH113" s="28"/>
      <c r="FI113" s="28"/>
      <c r="FJ113" s="28"/>
      <c r="FK113" s="28"/>
      <c r="FL113" s="28"/>
      <c r="FM113" s="28"/>
      <c r="FN113" s="28"/>
      <c r="FO113" s="28"/>
      <c r="FP113" s="28"/>
      <c r="FQ113" s="28"/>
      <c r="FR113" s="28"/>
      <c r="FS113" s="28"/>
      <c r="FT113" s="28"/>
      <c r="FU113" s="28"/>
      <c r="FV113" s="28"/>
      <c r="FW113" s="28"/>
      <c r="FX113" s="28"/>
      <c r="FY113" s="28"/>
      <c r="FZ113" s="28"/>
      <c r="GA113" s="28"/>
      <c r="GB113" s="28"/>
      <c r="GC113" s="28"/>
      <c r="GD113" s="28"/>
      <c r="GE113" s="28"/>
      <c r="GF113" s="28"/>
      <c r="GG113" s="28"/>
      <c r="GH113" s="28"/>
      <c r="GI113" s="28"/>
      <c r="GJ113" s="28"/>
      <c r="GK113" s="28"/>
      <c r="GL113" s="28"/>
      <c r="GM113" s="62"/>
      <c r="GN113" s="28"/>
      <c r="GO113" s="28"/>
      <c r="GP113" s="28"/>
      <c r="GQ113" s="28"/>
      <c r="GR113" s="28"/>
      <c r="GS113" s="28"/>
      <c r="GT113" s="28"/>
      <c r="GU113" s="28"/>
      <c r="GV113" s="28"/>
      <c r="GW113" s="28"/>
      <c r="GX113" s="28"/>
      <c r="GY113" s="28"/>
      <c r="GZ113" s="28"/>
      <c r="HA113" s="28"/>
      <c r="HB113" s="28"/>
      <c r="HC113" s="28"/>
      <c r="HD113" s="28"/>
      <c r="HE113" s="28"/>
      <c r="HF113" s="28"/>
      <c r="HG113" s="28"/>
      <c r="HH113" s="28"/>
      <c r="HI113" s="28"/>
      <c r="HJ113" s="28"/>
      <c r="HK113" s="28"/>
      <c r="HL113" s="28"/>
      <c r="HM113" s="28"/>
      <c r="HN113" s="28"/>
      <c r="HO113" s="28"/>
      <c r="HP113" s="28"/>
      <c r="HQ113" s="28"/>
      <c r="HR113" s="28"/>
      <c r="HS113" s="28"/>
      <c r="HT113" s="28"/>
      <c r="HU113" s="28"/>
      <c r="HV113" s="28"/>
      <c r="HW113" s="28"/>
      <c r="HX113" s="28"/>
      <c r="HY113" s="28"/>
      <c r="HZ113" s="28"/>
      <c r="IA113" s="28"/>
      <c r="IB113" s="28"/>
      <c r="IC113" s="28"/>
      <c r="ID113" s="28"/>
      <c r="IE113" s="28"/>
      <c r="IF113" s="28"/>
      <c r="IG113" s="28"/>
      <c r="IH113" s="28"/>
      <c r="II113" s="28"/>
      <c r="IJ113" s="28"/>
      <c r="IK113" s="28"/>
      <c r="IL113" s="28"/>
      <c r="IM113" s="28"/>
      <c r="IN113" s="28"/>
      <c r="IO113" s="28"/>
      <c r="IP113" s="28"/>
      <c r="IQ113" s="28"/>
      <c r="IR113" s="28"/>
      <c r="IS113" s="28"/>
      <c r="IT113" s="28"/>
      <c r="IU113" s="28"/>
      <c r="IV113" s="28"/>
      <c r="IW113" s="28"/>
      <c r="IX113" s="28"/>
      <c r="IY113" s="28"/>
      <c r="IZ113" s="28"/>
      <c r="JA113" s="28"/>
      <c r="JB113" s="28"/>
      <c r="JC113" s="28"/>
      <c r="JD113" s="28"/>
      <c r="JE113" s="28"/>
      <c r="JF113" s="28"/>
      <c r="JG113" s="28"/>
      <c r="JH113" s="28"/>
      <c r="JI113" s="28"/>
      <c r="JJ113" s="28"/>
      <c r="JK113" s="28"/>
      <c r="JL113" s="28"/>
      <c r="JM113" s="28"/>
      <c r="JN113" s="28"/>
      <c r="JO113" s="28"/>
      <c r="JP113" s="28"/>
      <c r="JQ113" s="28"/>
      <c r="JR113" s="28"/>
      <c r="JS113" s="28"/>
      <c r="JT113" s="62"/>
      <c r="JU113" s="28"/>
      <c r="JV113" s="28"/>
      <c r="JW113" s="28"/>
      <c r="JX113" s="28"/>
      <c r="JY113" s="28"/>
      <c r="JZ113" s="62"/>
      <c r="KA113" s="28"/>
      <c r="KB113" s="28"/>
      <c r="KC113" s="28"/>
      <c r="KD113" s="62"/>
      <c r="KE113" s="28"/>
      <c r="KF113" s="28"/>
      <c r="KG113" s="28"/>
      <c r="KH113" s="28"/>
      <c r="KI113" s="28"/>
      <c r="KJ113" s="28"/>
      <c r="KK113" s="28"/>
      <c r="KL113" s="28"/>
      <c r="KM113" s="28"/>
      <c r="KN113" s="62"/>
      <c r="KO113" s="28"/>
      <c r="KP113" s="28"/>
      <c r="KQ113" s="28"/>
      <c r="KR113" s="28"/>
      <c r="KS113" s="28"/>
      <c r="KT113" s="28"/>
      <c r="KU113" s="28"/>
      <c r="KV113" s="28"/>
      <c r="KW113" s="28"/>
      <c r="KX113" s="28"/>
      <c r="KY113" s="28"/>
      <c r="KZ113" s="28"/>
      <c r="LA113" s="28"/>
      <c r="LB113" s="28"/>
      <c r="LC113" s="28"/>
      <c r="LD113" s="28"/>
      <c r="LE113" s="62"/>
      <c r="LF113" s="28"/>
      <c r="LG113" s="28"/>
      <c r="LH113" s="28"/>
      <c r="LI113" s="28"/>
      <c r="LJ113" s="28"/>
      <c r="LK113" s="110"/>
    </row>
    <row r="114">
      <c r="A114" s="49" t="s">
        <v>324</v>
      </c>
      <c r="B114" s="149">
        <v>1.8619750271E11</v>
      </c>
      <c r="C114" s="87">
        <v>-1.22287283705E11</v>
      </c>
      <c r="D114" s="147">
        <v>6.3910219005E10</v>
      </c>
      <c r="E114" s="146">
        <v>-1.9851542075E10</v>
      </c>
      <c r="F114" s="146">
        <v>-2.7223007764E10</v>
      </c>
      <c r="G114" s="149"/>
      <c r="H114" s="146"/>
      <c r="I114" s="53"/>
      <c r="J114" s="53">
        <v>1.6835669166E10</v>
      </c>
      <c r="K114" s="146"/>
      <c r="L114" s="149">
        <v>2.464851122E9</v>
      </c>
      <c r="M114" s="146">
        <v>-7.628552507E9</v>
      </c>
      <c r="N114" s="52">
        <v>-5.163701385E9</v>
      </c>
      <c r="O114" s="146"/>
      <c r="P114" s="53">
        <v>1.1671967781E10</v>
      </c>
      <c r="Q114" s="146">
        <v>-3.315723549E9</v>
      </c>
      <c r="R114" s="146">
        <v>1.13992012E8</v>
      </c>
      <c r="S114" s="146">
        <v>-3.201731537E9</v>
      </c>
      <c r="T114" s="53">
        <v>8.470236244E9</v>
      </c>
      <c r="V114" s="28"/>
      <c r="W114" s="28"/>
      <c r="X114" s="195">
        <v>8.470236244E9</v>
      </c>
      <c r="Y114" s="27"/>
      <c r="AB114" s="27"/>
      <c r="AC114" s="27"/>
      <c r="AD114" s="28">
        <v>2.5473789974E10</v>
      </c>
      <c r="AE114" s="28">
        <v>3.7379862012E10</v>
      </c>
      <c r="AF114" s="28"/>
      <c r="AG114" s="28"/>
      <c r="AH114" s="28">
        <v>2.2E7</v>
      </c>
      <c r="AI114" s="28">
        <v>3.349882243E10</v>
      </c>
      <c r="AJ114" s="27"/>
      <c r="AK114" s="28"/>
      <c r="AL114" s="28">
        <v>3.63369153E9</v>
      </c>
      <c r="AM114" s="28">
        <v>1.835033787E9</v>
      </c>
      <c r="AN114" s="28"/>
      <c r="AO114" s="27"/>
      <c r="AP114" s="28">
        <v>2.659825E9</v>
      </c>
      <c r="AQ114" s="28">
        <v>7.826329585E9</v>
      </c>
      <c r="AR114" s="28"/>
      <c r="AS114" s="28">
        <v>4.45E7</v>
      </c>
      <c r="AT114" s="28">
        <v>2.061813293E9</v>
      </c>
      <c r="AU114" s="28">
        <v>1.13992012E8</v>
      </c>
      <c r="AV114" s="62">
        <v>1.270645989E10</v>
      </c>
      <c r="AW114" s="62">
        <v>1.14549659623E11</v>
      </c>
      <c r="AX114" s="27"/>
      <c r="AY114" s="27"/>
      <c r="AZ114" s="27"/>
      <c r="BA114" s="28">
        <v>5.626203405E9</v>
      </c>
      <c r="BB114" s="27"/>
      <c r="BC114" s="27"/>
      <c r="BD114" s="27"/>
      <c r="BE114" s="28">
        <v>1.240296513E9</v>
      </c>
      <c r="BF114" s="27"/>
      <c r="BG114" s="28">
        <v>746192.0</v>
      </c>
      <c r="BH114" s="28"/>
      <c r="BI114" s="28">
        <v>6.25239497E8</v>
      </c>
      <c r="BJ114" s="27"/>
      <c r="BK114" s="28"/>
      <c r="BL114" s="28">
        <v>7.492485607E9</v>
      </c>
      <c r="BM114" s="27"/>
      <c r="BN114" s="28">
        <v>7.3308145622E10</v>
      </c>
      <c r="BO114" s="28">
        <v>5.11689914E8</v>
      </c>
      <c r="BP114" s="27"/>
      <c r="BQ114" s="28">
        <v>3.257524849E9</v>
      </c>
      <c r="BR114" s="27"/>
      <c r="BS114" s="28">
        <v>7.7077360385E10</v>
      </c>
      <c r="BT114" s="28">
        <v>8.4569845992E10</v>
      </c>
      <c r="BU114" s="27"/>
      <c r="BV114" s="28">
        <v>1.0E9</v>
      </c>
      <c r="BW114" s="28">
        <v>2.7682397366E10</v>
      </c>
      <c r="BX114" s="28"/>
      <c r="BY114" s="28"/>
      <c r="BZ114" s="28"/>
      <c r="CA114" s="28">
        <v>1.297416265E9</v>
      </c>
      <c r="CB114" s="28"/>
      <c r="CC114" s="62">
        <v>2.9979813631E10</v>
      </c>
      <c r="CD114" s="62">
        <v>1.14549659623E11</v>
      </c>
      <c r="CF114" s="49" t="s">
        <v>324</v>
      </c>
      <c r="CG114" s="28">
        <v>-9.252499137E9</v>
      </c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8">
        <v>1.9280675063E10</v>
      </c>
      <c r="DL114" s="28">
        <v>6.193114911E9</v>
      </c>
      <c r="DM114" s="62">
        <v>2.5473789974E10</v>
      </c>
      <c r="DP114" s="64"/>
      <c r="DQ114" s="49" t="s">
        <v>324</v>
      </c>
      <c r="DR114" s="28"/>
      <c r="DS114" s="28"/>
      <c r="DT114" s="28"/>
      <c r="DU114" s="28"/>
      <c r="DV114" s="62">
        <v>1.8619750271E11</v>
      </c>
      <c r="DW114" s="28"/>
      <c r="DX114" s="28"/>
      <c r="DY114" s="28"/>
      <c r="DZ114" s="28"/>
      <c r="EA114" s="28">
        <v>3.282324E9</v>
      </c>
      <c r="EB114" s="28"/>
      <c r="EC114" s="28"/>
      <c r="ED114" s="28"/>
      <c r="EE114" s="28">
        <v>1.325546437E9</v>
      </c>
      <c r="EF114" s="28"/>
      <c r="EG114" s="28"/>
      <c r="EH114" s="28"/>
      <c r="EI114" s="28"/>
      <c r="EJ114" s="28"/>
      <c r="EK114" s="28"/>
      <c r="EL114" s="28"/>
      <c r="EM114" s="28"/>
      <c r="EN114" s="28"/>
      <c r="EO114" s="28"/>
      <c r="EP114" s="28"/>
      <c r="EQ114" s="28"/>
      <c r="ER114" s="28"/>
      <c r="ES114" s="28"/>
      <c r="ET114" s="28"/>
      <c r="EU114" s="28"/>
      <c r="EV114" s="28"/>
      <c r="EW114" s="28"/>
      <c r="EX114" s="28"/>
      <c r="EY114" s="28">
        <v>8.397731671E9</v>
      </c>
      <c r="EZ114" s="28"/>
      <c r="FA114" s="28"/>
      <c r="FB114" s="28">
        <v>5.266906574E9</v>
      </c>
      <c r="FC114" s="28"/>
      <c r="FD114" s="28"/>
      <c r="FE114" s="28"/>
      <c r="FF114" s="28">
        <v>8.222026621E9</v>
      </c>
      <c r="FG114" s="28"/>
      <c r="FH114" s="28"/>
      <c r="FI114" s="28"/>
      <c r="FJ114" s="28"/>
      <c r="FK114" s="28"/>
      <c r="FL114" s="28"/>
      <c r="FM114" s="28"/>
      <c r="FN114" s="28"/>
      <c r="FO114" s="28"/>
      <c r="FP114" s="28"/>
      <c r="FQ114" s="28"/>
      <c r="FR114" s="28"/>
      <c r="FS114" s="28"/>
      <c r="FT114" s="28"/>
      <c r="FU114" s="28"/>
      <c r="FV114" s="28"/>
      <c r="FW114" s="28"/>
      <c r="FX114" s="28"/>
      <c r="FY114" s="28"/>
      <c r="FZ114" s="28"/>
      <c r="GA114" s="28"/>
      <c r="GB114" s="28"/>
      <c r="GC114" s="28"/>
      <c r="GD114" s="28"/>
      <c r="GE114" s="28"/>
      <c r="GF114" s="28"/>
      <c r="GG114" s="28"/>
      <c r="GH114" s="28"/>
      <c r="GI114" s="28"/>
      <c r="GJ114" s="28"/>
      <c r="GK114" s="28"/>
      <c r="GL114" s="28"/>
      <c r="GM114" s="62"/>
      <c r="GN114" s="28"/>
      <c r="GO114" s="28"/>
      <c r="GP114" s="28"/>
      <c r="GQ114" s="28"/>
      <c r="GR114" s="28"/>
      <c r="GS114" s="28">
        <v>3.488063763E9</v>
      </c>
      <c r="GT114" s="28"/>
      <c r="GU114" s="28"/>
      <c r="GV114" s="28"/>
      <c r="GW114" s="28"/>
      <c r="GX114" s="28"/>
      <c r="GY114" s="28"/>
      <c r="GZ114" s="28"/>
      <c r="HA114" s="28"/>
      <c r="HB114" s="28"/>
      <c r="HC114" s="28"/>
      <c r="HD114" s="28"/>
      <c r="HE114" s="28"/>
      <c r="HF114" s="28"/>
      <c r="HG114" s="28"/>
      <c r="HH114" s="28"/>
      <c r="HI114" s="28"/>
      <c r="HJ114" s="28"/>
      <c r="HK114" s="28"/>
      <c r="HL114" s="28"/>
      <c r="HM114" s="28"/>
      <c r="HN114" s="28"/>
      <c r="HO114" s="28"/>
      <c r="HP114" s="28"/>
      <c r="HQ114" s="28"/>
      <c r="HR114" s="28"/>
      <c r="HS114" s="28"/>
      <c r="HT114" s="28"/>
      <c r="HU114" s="28"/>
      <c r="HV114" s="28"/>
      <c r="HW114" s="28"/>
      <c r="HX114" s="28"/>
      <c r="HY114" s="28"/>
      <c r="HZ114" s="28"/>
      <c r="IA114" s="28"/>
      <c r="IB114" s="28"/>
      <c r="IC114" s="28"/>
      <c r="ID114" s="28"/>
      <c r="IE114" s="28"/>
      <c r="IF114" s="28"/>
      <c r="IG114" s="28"/>
      <c r="IH114" s="28"/>
      <c r="II114" s="28">
        <v>7.80223544E8</v>
      </c>
      <c r="IJ114" s="28"/>
      <c r="IK114" s="28"/>
      <c r="IL114" s="28"/>
      <c r="IM114" s="28"/>
      <c r="IN114" s="28"/>
      <c r="IO114" s="28"/>
      <c r="IP114" s="28"/>
      <c r="IQ114" s="28"/>
      <c r="IR114" s="28"/>
      <c r="IS114" s="28"/>
      <c r="IT114" s="28"/>
      <c r="IU114" s="28"/>
      <c r="IV114" s="28"/>
      <c r="IW114" s="28"/>
      <c r="IX114" s="28"/>
      <c r="IY114" s="28"/>
      <c r="IZ114" s="28"/>
      <c r="JA114" s="28"/>
      <c r="JB114" s="28"/>
      <c r="JC114" s="28"/>
      <c r="JD114" s="28"/>
      <c r="JE114" s="28"/>
      <c r="JF114" s="28"/>
      <c r="JG114" s="28"/>
      <c r="JH114" s="28"/>
      <c r="JI114" s="28"/>
      <c r="JJ114" s="28"/>
      <c r="JK114" s="28"/>
      <c r="JL114" s="28"/>
      <c r="JM114" s="28"/>
      <c r="JN114" s="28"/>
      <c r="JO114" s="28"/>
      <c r="JP114" s="28"/>
      <c r="JQ114" s="28"/>
      <c r="JR114" s="28"/>
      <c r="JS114" s="28"/>
      <c r="JT114" s="62"/>
      <c r="JU114" s="28"/>
      <c r="JV114" s="28"/>
      <c r="JW114" s="28"/>
      <c r="JX114" s="28">
        <v>3.4128264E8</v>
      </c>
      <c r="JY114" s="28">
        <v>1.18049E8</v>
      </c>
      <c r="JZ114" s="62"/>
      <c r="KA114" s="28"/>
      <c r="KB114" s="28"/>
      <c r="KC114" s="28"/>
      <c r="KD114" s="62"/>
      <c r="KE114" s="28"/>
      <c r="KF114" s="28"/>
      <c r="KG114" s="28">
        <v>1.41345862E8</v>
      </c>
      <c r="KH114" s="28"/>
      <c r="KI114" s="28"/>
      <c r="KJ114" s="28"/>
      <c r="KK114" s="28"/>
      <c r="KL114" s="28"/>
      <c r="KM114" s="28"/>
      <c r="KN114" s="62"/>
      <c r="KO114" s="28"/>
      <c r="KP114" s="28"/>
      <c r="KQ114" s="28">
        <v>2.23505501E8</v>
      </c>
      <c r="KR114" s="28">
        <v>7.405047006E9</v>
      </c>
      <c r="KS114" s="28"/>
      <c r="KT114" s="28"/>
      <c r="KU114" s="28"/>
      <c r="KV114" s="28"/>
      <c r="KW114" s="28"/>
      <c r="KX114" s="28"/>
      <c r="KY114" s="28"/>
      <c r="KZ114" s="28"/>
      <c r="LA114" s="28"/>
      <c r="LB114" s="28"/>
      <c r="LC114" s="28"/>
      <c r="LD114" s="28"/>
      <c r="LE114" s="62"/>
      <c r="LF114" s="28"/>
      <c r="LG114" s="28"/>
      <c r="LH114" s="28">
        <v>8.3863704E7</v>
      </c>
      <c r="LI114" s="28"/>
      <c r="LJ114" s="28"/>
      <c r="LK114" s="110"/>
    </row>
    <row r="115">
      <c r="A115" s="116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6"/>
      <c r="V115" s="118"/>
      <c r="W115" s="116"/>
      <c r="X115" s="116"/>
      <c r="Y115" s="116"/>
      <c r="Z115" s="116"/>
      <c r="AA115" s="116"/>
      <c r="AB115" s="116"/>
      <c r="AC115" s="116"/>
      <c r="AD115" s="116"/>
      <c r="AE115" s="119"/>
      <c r="AF115" s="116"/>
      <c r="AG115" s="116"/>
      <c r="AH115" s="116"/>
      <c r="AI115" s="116"/>
      <c r="AJ115" s="116"/>
      <c r="AK115" s="116"/>
      <c r="AL115" s="116"/>
      <c r="AM115" s="120"/>
      <c r="AN115" s="121"/>
      <c r="AO115" s="116"/>
      <c r="AP115" s="116"/>
      <c r="AQ115" s="116"/>
      <c r="AR115" s="116"/>
      <c r="AS115" s="116"/>
      <c r="AT115" s="116"/>
      <c r="AU115" s="116"/>
      <c r="AV115" s="116"/>
      <c r="AW115" s="116"/>
      <c r="AX115" s="116"/>
      <c r="AY115" s="116"/>
      <c r="AZ115" s="116"/>
      <c r="BA115" s="116"/>
      <c r="BB115" s="116"/>
      <c r="BC115" s="116"/>
      <c r="BD115" s="116"/>
      <c r="BE115" s="116"/>
      <c r="BF115" s="116"/>
      <c r="BG115" s="116"/>
      <c r="BH115" s="116"/>
      <c r="BI115" s="116"/>
      <c r="BJ115" s="116"/>
      <c r="BK115" s="116"/>
      <c r="BL115" s="116"/>
      <c r="BM115" s="116"/>
      <c r="BN115" s="116"/>
      <c r="BO115" s="116"/>
      <c r="BP115" s="116"/>
      <c r="BQ115" s="116"/>
      <c r="BR115" s="116"/>
      <c r="BS115" s="116"/>
      <c r="BT115" s="121"/>
      <c r="BU115" s="116"/>
      <c r="BV115" s="116"/>
      <c r="BW115" s="116"/>
      <c r="BX115" s="116"/>
      <c r="BY115" s="116"/>
      <c r="BZ115" s="116"/>
      <c r="CA115" s="116"/>
      <c r="CB115" s="116"/>
      <c r="CC115" s="122"/>
      <c r="CD115" s="122"/>
      <c r="CE115" s="116"/>
      <c r="CF115" s="116"/>
      <c r="CG115" s="116"/>
      <c r="CH115" s="116"/>
      <c r="CI115" s="116"/>
      <c r="CJ115" s="116"/>
      <c r="CK115" s="116"/>
      <c r="CL115" s="116"/>
      <c r="CM115" s="116"/>
      <c r="CN115" s="116"/>
      <c r="CO115" s="116"/>
      <c r="CP115" s="116"/>
      <c r="CQ115" s="116"/>
      <c r="CR115" s="116"/>
      <c r="CS115" s="116"/>
      <c r="CT115" s="116"/>
      <c r="CU115" s="116"/>
      <c r="CV115" s="116"/>
      <c r="CW115" s="116"/>
      <c r="CX115" s="116"/>
      <c r="CY115" s="116"/>
      <c r="CZ115" s="116"/>
      <c r="DA115" s="116"/>
      <c r="DB115" s="116"/>
      <c r="DC115" s="116"/>
      <c r="DD115" s="116"/>
      <c r="DE115" s="116"/>
      <c r="DF115" s="116"/>
      <c r="DG115" s="116"/>
      <c r="DH115" s="116"/>
      <c r="DI115" s="116"/>
      <c r="DJ115" s="116"/>
      <c r="DK115" s="116"/>
      <c r="DL115" s="116"/>
      <c r="DM115" s="116"/>
      <c r="DN115" s="116"/>
      <c r="DO115" s="116"/>
      <c r="DP115" s="116"/>
      <c r="DQ115" s="116"/>
      <c r="DR115" s="116"/>
      <c r="DS115" s="116"/>
      <c r="DT115" s="116"/>
      <c r="DU115" s="116"/>
      <c r="DV115" s="116"/>
      <c r="DW115" s="116"/>
      <c r="DX115" s="116"/>
      <c r="DY115" s="116"/>
      <c r="DZ115" s="116"/>
      <c r="EA115" s="116"/>
      <c r="EB115" s="116"/>
      <c r="EC115" s="116"/>
      <c r="ED115" s="116"/>
      <c r="EE115" s="116"/>
      <c r="EF115" s="116"/>
      <c r="EG115" s="116"/>
      <c r="EH115" s="116"/>
      <c r="EI115" s="116"/>
      <c r="EJ115" s="116"/>
      <c r="EK115" s="116"/>
      <c r="EL115" s="116"/>
      <c r="EM115" s="116"/>
      <c r="EN115" s="116"/>
      <c r="EO115" s="116"/>
      <c r="EP115" s="116"/>
      <c r="EQ115" s="116"/>
      <c r="ER115" s="116"/>
      <c r="ES115" s="116"/>
      <c r="ET115" s="116"/>
      <c r="EU115" s="116"/>
      <c r="EV115" s="116"/>
      <c r="EW115" s="116"/>
      <c r="EX115" s="116"/>
      <c r="EY115" s="116"/>
      <c r="EZ115" s="116"/>
      <c r="FA115" s="116"/>
      <c r="FB115" s="116"/>
      <c r="FC115" s="116"/>
      <c r="FD115" s="116"/>
      <c r="FE115" s="116"/>
      <c r="FF115" s="116"/>
      <c r="FG115" s="116"/>
      <c r="FH115" s="116"/>
      <c r="FI115" s="116"/>
      <c r="FJ115" s="116"/>
      <c r="FK115" s="116"/>
      <c r="FL115" s="116"/>
      <c r="FM115" s="116"/>
      <c r="FN115" s="116"/>
      <c r="FO115" s="116"/>
      <c r="FP115" s="116"/>
      <c r="FQ115" s="116"/>
      <c r="FR115" s="116"/>
      <c r="FS115" s="116"/>
      <c r="FT115" s="116"/>
      <c r="FU115" s="116"/>
      <c r="FV115" s="116"/>
      <c r="FW115" s="116"/>
      <c r="FX115" s="116"/>
      <c r="FY115" s="116"/>
      <c r="FZ115" s="116"/>
      <c r="GA115" s="116"/>
      <c r="GB115" s="116"/>
      <c r="GC115" s="116"/>
      <c r="GD115" s="116"/>
      <c r="GE115" s="116"/>
      <c r="GF115" s="116"/>
      <c r="GG115" s="116"/>
      <c r="GH115" s="116"/>
      <c r="GI115" s="116"/>
      <c r="GJ115" s="116"/>
      <c r="GK115" s="116"/>
      <c r="GL115" s="116"/>
      <c r="GM115" s="118"/>
      <c r="GN115" s="116"/>
      <c r="GO115" s="116"/>
      <c r="GP115" s="116"/>
      <c r="GQ115" s="116"/>
      <c r="GR115" s="116"/>
      <c r="GS115" s="116"/>
      <c r="GT115" s="116"/>
      <c r="GU115" s="116"/>
      <c r="GV115" s="116"/>
      <c r="GW115" s="116"/>
      <c r="GX115" s="116"/>
      <c r="GY115" s="116"/>
      <c r="GZ115" s="116"/>
      <c r="HA115" s="116"/>
      <c r="HB115" s="116"/>
      <c r="HC115" s="116"/>
      <c r="HD115" s="116"/>
      <c r="HE115" s="116"/>
      <c r="HF115" s="116"/>
      <c r="HG115" s="116"/>
      <c r="HH115" s="116"/>
      <c r="HI115" s="116"/>
      <c r="HJ115" s="116"/>
      <c r="HK115" s="116"/>
      <c r="HL115" s="116"/>
      <c r="HM115" s="116"/>
      <c r="HN115" s="116"/>
      <c r="HO115" s="116"/>
      <c r="HP115" s="116"/>
      <c r="HQ115" s="116"/>
      <c r="HR115" s="116"/>
      <c r="HS115" s="116"/>
      <c r="HT115" s="116"/>
      <c r="HU115" s="116"/>
      <c r="HV115" s="116"/>
      <c r="HW115" s="116"/>
      <c r="HX115" s="116"/>
      <c r="HY115" s="116"/>
      <c r="HZ115" s="116"/>
      <c r="IA115" s="116"/>
      <c r="IB115" s="116"/>
      <c r="IC115" s="116"/>
      <c r="ID115" s="116"/>
      <c r="IE115" s="116"/>
      <c r="IF115" s="116"/>
      <c r="IG115" s="116"/>
      <c r="IH115" s="116"/>
      <c r="II115" s="116"/>
      <c r="IJ115" s="116"/>
      <c r="IK115" s="116"/>
      <c r="IL115" s="116"/>
      <c r="IM115" s="116"/>
      <c r="IN115" s="116"/>
      <c r="IO115" s="116"/>
      <c r="IP115" s="116"/>
      <c r="IQ115" s="116"/>
      <c r="IR115" s="116"/>
      <c r="IS115" s="116"/>
      <c r="IT115" s="116"/>
      <c r="IU115" s="116"/>
      <c r="IV115" s="116"/>
      <c r="IW115" s="116"/>
      <c r="IX115" s="116"/>
      <c r="IY115" s="116"/>
      <c r="IZ115" s="116"/>
      <c r="JA115" s="116"/>
      <c r="JB115" s="116"/>
      <c r="JC115" s="116"/>
      <c r="JD115" s="116"/>
      <c r="JE115" s="116"/>
      <c r="JF115" s="116"/>
      <c r="JG115" s="116"/>
      <c r="JH115" s="116"/>
      <c r="JI115" s="116"/>
      <c r="JJ115" s="116"/>
      <c r="JK115" s="116"/>
      <c r="JL115" s="116"/>
      <c r="JM115" s="116"/>
      <c r="JN115" s="116"/>
      <c r="JO115" s="116"/>
      <c r="JP115" s="116"/>
      <c r="JQ115" s="116"/>
      <c r="JR115" s="116"/>
      <c r="JS115" s="116"/>
      <c r="JT115" s="123"/>
      <c r="JU115" s="116"/>
      <c r="JV115" s="116"/>
      <c r="JW115" s="116"/>
      <c r="JX115" s="116"/>
      <c r="JY115" s="116"/>
      <c r="JZ115" s="116"/>
      <c r="KA115" s="116"/>
      <c r="KB115" s="116"/>
      <c r="KC115" s="116"/>
      <c r="KD115" s="116"/>
      <c r="KE115" s="116"/>
      <c r="KF115" s="116"/>
      <c r="KG115" s="116"/>
      <c r="KH115" s="116"/>
      <c r="KI115" s="116"/>
      <c r="KJ115" s="116"/>
      <c r="KK115" s="116"/>
      <c r="KL115" s="116"/>
      <c r="KM115" s="116"/>
      <c r="KN115" s="116"/>
      <c r="KO115" s="116"/>
      <c r="KP115" s="116"/>
      <c r="KQ115" s="116"/>
      <c r="KR115" s="116"/>
      <c r="KS115" s="116"/>
      <c r="KT115" s="116"/>
      <c r="KU115" s="116"/>
      <c r="KV115" s="116"/>
      <c r="KW115" s="116"/>
      <c r="KX115" s="116"/>
      <c r="KY115" s="116"/>
      <c r="KZ115" s="116"/>
      <c r="LA115" s="116"/>
      <c r="LB115" s="116"/>
      <c r="LC115" s="116"/>
      <c r="LD115" s="116"/>
      <c r="LE115" s="116"/>
      <c r="LF115" s="116"/>
      <c r="LG115" s="116"/>
      <c r="LH115" s="116"/>
      <c r="LI115" s="116"/>
      <c r="LJ115" s="116"/>
      <c r="LK115" s="116"/>
    </row>
    <row r="116">
      <c r="A116" s="116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6"/>
      <c r="V116" s="118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20"/>
      <c r="AN116" s="121"/>
      <c r="AO116" s="116"/>
      <c r="AP116" s="116"/>
      <c r="AQ116" s="116"/>
      <c r="AR116" s="116"/>
      <c r="AS116" s="116"/>
      <c r="AT116" s="116"/>
      <c r="AU116" s="116"/>
      <c r="AV116" s="116"/>
      <c r="AW116" s="116"/>
      <c r="AX116" s="116"/>
      <c r="AY116" s="116"/>
      <c r="AZ116" s="116"/>
      <c r="BA116" s="116"/>
      <c r="BB116" s="116"/>
      <c r="BC116" s="116"/>
      <c r="BD116" s="116"/>
      <c r="BE116" s="116"/>
      <c r="BF116" s="116"/>
      <c r="BG116" s="116"/>
      <c r="BH116" s="116"/>
      <c r="BI116" s="116"/>
      <c r="BJ116" s="116"/>
      <c r="BK116" s="116"/>
      <c r="BL116" s="116"/>
      <c r="BM116" s="116"/>
      <c r="BN116" s="116"/>
      <c r="BO116" s="116"/>
      <c r="BP116" s="116"/>
      <c r="BQ116" s="116"/>
      <c r="BR116" s="116"/>
      <c r="BS116" s="116"/>
      <c r="BT116" s="121"/>
      <c r="BU116" s="116"/>
      <c r="BV116" s="116"/>
      <c r="BW116" s="116"/>
      <c r="BX116" s="116"/>
      <c r="BY116" s="116"/>
      <c r="BZ116" s="116"/>
      <c r="CA116" s="116"/>
      <c r="CB116" s="116"/>
      <c r="CC116" s="122"/>
      <c r="CD116" s="122"/>
      <c r="CE116" s="116"/>
      <c r="CF116" s="116"/>
      <c r="CG116" s="116"/>
      <c r="CH116" s="116"/>
      <c r="CI116" s="116"/>
      <c r="CJ116" s="116"/>
      <c r="CK116" s="116"/>
      <c r="CL116" s="116"/>
      <c r="CM116" s="116"/>
      <c r="CN116" s="116"/>
      <c r="CO116" s="116"/>
      <c r="CP116" s="116"/>
      <c r="CQ116" s="116"/>
      <c r="CR116" s="116"/>
      <c r="CS116" s="116"/>
      <c r="CT116" s="116"/>
      <c r="CU116" s="116"/>
      <c r="CV116" s="116"/>
      <c r="CW116" s="116"/>
      <c r="CX116" s="116"/>
      <c r="CY116" s="116"/>
      <c r="CZ116" s="116"/>
      <c r="DA116" s="116"/>
      <c r="DB116" s="116"/>
      <c r="DC116" s="116"/>
      <c r="DD116" s="116"/>
      <c r="DE116" s="116"/>
      <c r="DF116" s="116"/>
      <c r="DG116" s="116"/>
      <c r="DH116" s="116"/>
      <c r="DI116" s="116"/>
      <c r="DJ116" s="116"/>
      <c r="DK116" s="116"/>
      <c r="DL116" s="116"/>
      <c r="DM116" s="116"/>
      <c r="DN116" s="116"/>
      <c r="DO116" s="116"/>
      <c r="DP116" s="116"/>
      <c r="DQ116" s="116"/>
      <c r="DR116" s="116"/>
      <c r="DS116" s="116"/>
      <c r="DT116" s="116"/>
      <c r="DU116" s="116"/>
      <c r="DV116" s="116"/>
      <c r="DW116" s="116"/>
      <c r="DX116" s="116"/>
      <c r="DY116" s="116"/>
      <c r="DZ116" s="116"/>
      <c r="EA116" s="116"/>
      <c r="EB116" s="116"/>
      <c r="EC116" s="116"/>
      <c r="ED116" s="116"/>
      <c r="EE116" s="116"/>
      <c r="EF116" s="116"/>
      <c r="EG116" s="116"/>
      <c r="EH116" s="116"/>
      <c r="EI116" s="116"/>
      <c r="EJ116" s="116"/>
      <c r="EK116" s="116"/>
      <c r="EL116" s="116"/>
      <c r="EM116" s="116"/>
      <c r="EN116" s="116"/>
      <c r="EO116" s="116"/>
      <c r="EP116" s="116"/>
      <c r="EQ116" s="116"/>
      <c r="ER116" s="116"/>
      <c r="ES116" s="116"/>
      <c r="ET116" s="116"/>
      <c r="EU116" s="116"/>
      <c r="EV116" s="116"/>
      <c r="EW116" s="116"/>
      <c r="EX116" s="116"/>
      <c r="EY116" s="116"/>
      <c r="EZ116" s="116"/>
      <c r="FA116" s="116"/>
      <c r="FB116" s="116"/>
      <c r="FC116" s="116"/>
      <c r="FD116" s="116"/>
      <c r="FE116" s="116"/>
      <c r="FF116" s="116"/>
      <c r="FG116" s="116"/>
      <c r="FH116" s="116"/>
      <c r="FI116" s="116"/>
      <c r="FJ116" s="116"/>
      <c r="FK116" s="116"/>
      <c r="FL116" s="116"/>
      <c r="FM116" s="116"/>
      <c r="FN116" s="116"/>
      <c r="FO116" s="116"/>
      <c r="FP116" s="116"/>
      <c r="FQ116" s="116"/>
      <c r="FR116" s="116"/>
      <c r="FS116" s="116"/>
      <c r="FT116" s="116"/>
      <c r="FU116" s="116"/>
      <c r="FV116" s="116"/>
      <c r="FW116" s="116"/>
      <c r="FX116" s="116"/>
      <c r="FY116" s="116"/>
      <c r="FZ116" s="116"/>
      <c r="GA116" s="116"/>
      <c r="GB116" s="116"/>
      <c r="GC116" s="116"/>
      <c r="GD116" s="116"/>
      <c r="GE116" s="116"/>
      <c r="GF116" s="116"/>
      <c r="GG116" s="116"/>
      <c r="GH116" s="116"/>
      <c r="GI116" s="116"/>
      <c r="GJ116" s="116"/>
      <c r="GK116" s="116"/>
      <c r="GL116" s="116"/>
      <c r="GM116" s="118"/>
      <c r="GN116" s="116"/>
      <c r="GO116" s="116"/>
      <c r="GP116" s="116"/>
      <c r="GQ116" s="116"/>
      <c r="GR116" s="116"/>
      <c r="GS116" s="116"/>
      <c r="GT116" s="116"/>
      <c r="GU116" s="116"/>
      <c r="GV116" s="116"/>
      <c r="GW116" s="116"/>
      <c r="GX116" s="116"/>
      <c r="GY116" s="116"/>
      <c r="GZ116" s="116"/>
      <c r="HA116" s="116"/>
      <c r="HB116" s="116"/>
      <c r="HC116" s="116"/>
      <c r="HD116" s="116"/>
      <c r="HE116" s="116"/>
      <c r="HF116" s="116"/>
      <c r="HG116" s="116"/>
      <c r="HH116" s="116"/>
      <c r="HI116" s="116"/>
      <c r="HJ116" s="116"/>
      <c r="HK116" s="116"/>
      <c r="HL116" s="116"/>
      <c r="HM116" s="116"/>
      <c r="HN116" s="116"/>
      <c r="HO116" s="116"/>
      <c r="HP116" s="116"/>
      <c r="HQ116" s="116"/>
      <c r="HR116" s="116"/>
      <c r="HS116" s="116"/>
      <c r="HT116" s="116"/>
      <c r="HU116" s="116"/>
      <c r="HV116" s="116"/>
      <c r="HW116" s="116"/>
      <c r="HX116" s="116"/>
      <c r="HY116" s="116"/>
      <c r="HZ116" s="116"/>
      <c r="IA116" s="116"/>
      <c r="IB116" s="116"/>
      <c r="IC116" s="116"/>
      <c r="ID116" s="116"/>
      <c r="IE116" s="116"/>
      <c r="IF116" s="116"/>
      <c r="IG116" s="116"/>
      <c r="IH116" s="116"/>
      <c r="II116" s="116"/>
      <c r="IJ116" s="116"/>
      <c r="IK116" s="116"/>
      <c r="IL116" s="116"/>
      <c r="IM116" s="116"/>
      <c r="IN116" s="116"/>
      <c r="IO116" s="116"/>
      <c r="IP116" s="116"/>
      <c r="IQ116" s="116"/>
      <c r="IR116" s="116"/>
      <c r="IS116" s="116"/>
      <c r="IT116" s="116"/>
      <c r="IU116" s="116"/>
      <c r="IV116" s="116"/>
      <c r="IW116" s="116"/>
      <c r="IX116" s="116"/>
      <c r="IY116" s="116"/>
      <c r="IZ116" s="116"/>
      <c r="JA116" s="116"/>
      <c r="JB116" s="116"/>
      <c r="JC116" s="116"/>
      <c r="JD116" s="116"/>
      <c r="JE116" s="116"/>
      <c r="JF116" s="116"/>
      <c r="JG116" s="116"/>
      <c r="JH116" s="116"/>
      <c r="JI116" s="116"/>
      <c r="JJ116" s="116"/>
      <c r="JK116" s="116"/>
      <c r="JL116" s="116"/>
      <c r="JM116" s="116"/>
      <c r="JN116" s="116"/>
      <c r="JO116" s="116"/>
      <c r="JP116" s="116"/>
      <c r="JQ116" s="116"/>
      <c r="JR116" s="116"/>
      <c r="JS116" s="116"/>
      <c r="JT116" s="123"/>
      <c r="JU116" s="116"/>
      <c r="JV116" s="116"/>
      <c r="JW116" s="116"/>
      <c r="JX116" s="116"/>
      <c r="JY116" s="116"/>
      <c r="JZ116" s="116"/>
      <c r="KA116" s="116"/>
      <c r="KB116" s="116"/>
      <c r="KC116" s="116"/>
      <c r="KD116" s="116"/>
      <c r="KE116" s="116"/>
      <c r="KF116" s="116"/>
      <c r="KG116" s="116"/>
      <c r="KH116" s="116"/>
      <c r="KI116" s="116"/>
      <c r="KJ116" s="116"/>
      <c r="KK116" s="116"/>
      <c r="KL116" s="116"/>
      <c r="KM116" s="116"/>
      <c r="KN116" s="116"/>
      <c r="KO116" s="116"/>
      <c r="KP116" s="116"/>
      <c r="KQ116" s="116"/>
      <c r="KR116" s="116"/>
      <c r="KS116" s="116"/>
      <c r="KT116" s="116"/>
      <c r="KU116" s="116"/>
      <c r="KV116" s="116"/>
      <c r="KW116" s="116"/>
      <c r="KX116" s="116"/>
      <c r="KY116" s="116"/>
      <c r="KZ116" s="116"/>
      <c r="LA116" s="116"/>
      <c r="LB116" s="116"/>
      <c r="LC116" s="116"/>
      <c r="LD116" s="116"/>
      <c r="LE116" s="116"/>
      <c r="LF116" s="116"/>
      <c r="LG116" s="116"/>
      <c r="LH116" s="116"/>
      <c r="LI116" s="116"/>
      <c r="LJ116" s="116"/>
      <c r="LK116" s="116"/>
    </row>
    <row r="117">
      <c r="A117" s="15" t="s">
        <v>401</v>
      </c>
      <c r="B117" s="197"/>
      <c r="C117" s="198"/>
      <c r="D117" s="199"/>
      <c r="E117" s="177"/>
      <c r="F117" s="177"/>
      <c r="G117" s="197"/>
      <c r="H117" s="177"/>
      <c r="I117" s="200"/>
      <c r="J117" s="200"/>
      <c r="K117" s="177"/>
      <c r="L117" s="197"/>
      <c r="M117" s="177"/>
      <c r="N117" s="201"/>
      <c r="O117" s="177"/>
      <c r="P117" s="200"/>
      <c r="Q117" s="177"/>
      <c r="R117" s="177"/>
      <c r="S117" s="177"/>
      <c r="T117" s="200"/>
      <c r="V117" s="110"/>
      <c r="W117" s="110"/>
      <c r="X117" s="145"/>
      <c r="AD117" s="110"/>
      <c r="AE117" s="110"/>
      <c r="AF117" s="110"/>
      <c r="AG117" s="110"/>
      <c r="AH117" s="110"/>
      <c r="AI117" s="110"/>
      <c r="AJ117" s="6"/>
      <c r="AK117" s="110"/>
      <c r="AL117" s="110"/>
      <c r="AM117" s="110"/>
      <c r="AN117" s="110"/>
      <c r="AP117" s="6"/>
      <c r="AQ117" s="110"/>
      <c r="AR117" s="110"/>
      <c r="AS117" s="110"/>
      <c r="AT117" s="110"/>
      <c r="AU117" s="110"/>
      <c r="AV117" s="203"/>
      <c r="AW117" s="203"/>
      <c r="BA117" s="110"/>
      <c r="BB117" s="6"/>
      <c r="BC117" s="6"/>
      <c r="BD117" s="6"/>
      <c r="BE117" s="110"/>
      <c r="BF117" s="6"/>
      <c r="BG117" s="110"/>
      <c r="BH117" s="110"/>
      <c r="BI117" s="110"/>
      <c r="BJ117" s="6"/>
      <c r="BK117" s="110"/>
      <c r="BL117" s="110"/>
      <c r="BN117" s="6"/>
      <c r="BO117" s="110"/>
      <c r="BQ117" s="110"/>
      <c r="BR117" s="6"/>
      <c r="BS117" s="110"/>
      <c r="BT117" s="110"/>
      <c r="BV117" s="110"/>
      <c r="BW117" s="6"/>
      <c r="BX117" s="110"/>
      <c r="BY117" s="110"/>
      <c r="BZ117" s="110"/>
      <c r="CA117" s="6"/>
      <c r="CB117" s="110"/>
      <c r="CC117" s="203"/>
      <c r="CD117" s="203"/>
      <c r="CF117" s="32" t="s">
        <v>402</v>
      </c>
      <c r="DP117" s="64"/>
      <c r="DQ117" s="32" t="s">
        <v>403</v>
      </c>
      <c r="DR117" s="32"/>
      <c r="DS117" s="30"/>
      <c r="DT117" s="30"/>
      <c r="DU117" s="30"/>
      <c r="DV117" s="30"/>
      <c r="DW117" s="30"/>
      <c r="DX117" s="30"/>
      <c r="DY117" s="30"/>
      <c r="DZ117" s="30"/>
      <c r="EA117" s="30"/>
      <c r="EB117" s="30"/>
      <c r="EC117" s="30"/>
      <c r="ED117" s="30"/>
      <c r="EE117" s="30"/>
      <c r="EF117" s="30"/>
      <c r="EG117" s="30"/>
      <c r="EH117" s="30"/>
      <c r="EI117" s="30"/>
      <c r="EJ117" s="30"/>
      <c r="EK117" s="30"/>
      <c r="EL117" s="30"/>
      <c r="EM117" s="30"/>
      <c r="EN117" s="30"/>
      <c r="EO117" s="30"/>
      <c r="EP117" s="30"/>
      <c r="EQ117" s="30"/>
      <c r="ER117" s="30"/>
      <c r="ES117" s="30"/>
      <c r="ET117" s="30"/>
      <c r="EU117" s="30"/>
      <c r="EV117" s="30"/>
      <c r="EW117" s="30"/>
      <c r="EX117" s="30"/>
      <c r="EY117" s="30"/>
      <c r="EZ117" s="30"/>
      <c r="FA117" s="30"/>
      <c r="FB117" s="30"/>
      <c r="FC117" s="30"/>
      <c r="FD117" s="30"/>
      <c r="FE117" s="30"/>
      <c r="FF117" s="30"/>
      <c r="FG117" s="30"/>
      <c r="FH117" s="30"/>
      <c r="FI117" s="30"/>
      <c r="FJ117" s="30"/>
      <c r="FK117" s="30"/>
      <c r="FL117" s="30"/>
      <c r="FM117" s="30"/>
      <c r="FN117" s="30"/>
      <c r="FO117" s="30"/>
      <c r="FP117" s="30"/>
      <c r="FQ117" s="30"/>
      <c r="FR117" s="30"/>
      <c r="FS117" s="30"/>
      <c r="FT117" s="30"/>
      <c r="FU117" s="30"/>
      <c r="FV117" s="30"/>
      <c r="FW117" s="30"/>
      <c r="FX117" s="30"/>
      <c r="FY117" s="30"/>
      <c r="FZ117" s="30"/>
      <c r="GA117" s="30"/>
      <c r="GB117" s="30"/>
      <c r="GC117" s="30"/>
      <c r="GD117" s="30"/>
      <c r="GE117" s="30"/>
      <c r="GF117" s="30"/>
      <c r="GG117" s="30"/>
      <c r="GH117" s="30"/>
      <c r="GI117" s="30"/>
      <c r="GJ117" s="30"/>
      <c r="GK117" s="30"/>
      <c r="GL117" s="30"/>
      <c r="GM117" s="30"/>
      <c r="GN117" s="30"/>
      <c r="GO117" s="30"/>
      <c r="GP117" s="30"/>
      <c r="GQ117" s="30"/>
      <c r="GR117" s="30"/>
      <c r="GS117" s="30"/>
      <c r="GT117" s="30"/>
      <c r="GU117" s="30"/>
      <c r="GV117" s="30"/>
      <c r="GW117" s="30"/>
      <c r="GX117" s="30"/>
      <c r="GY117" s="30"/>
      <c r="GZ117" s="30"/>
      <c r="HA117" s="30"/>
      <c r="HB117" s="30"/>
      <c r="HC117" s="30"/>
      <c r="HD117" s="30"/>
      <c r="HE117" s="30"/>
      <c r="HF117" s="30"/>
      <c r="HG117" s="30"/>
      <c r="HH117" s="30"/>
      <c r="HI117" s="30"/>
      <c r="HJ117" s="30"/>
      <c r="HK117" s="30"/>
      <c r="HL117" s="30"/>
      <c r="HM117" s="30"/>
      <c r="HN117" s="30"/>
      <c r="HO117" s="30"/>
      <c r="HP117" s="30"/>
      <c r="HQ117" s="30"/>
      <c r="HR117" s="30"/>
      <c r="HS117" s="30"/>
      <c r="HT117" s="30"/>
      <c r="HU117" s="30"/>
      <c r="HV117" s="30"/>
      <c r="HW117" s="30"/>
      <c r="HX117" s="30"/>
      <c r="HY117" s="30"/>
      <c r="HZ117" s="30"/>
      <c r="IA117" s="30"/>
      <c r="IB117" s="30"/>
      <c r="IC117" s="30"/>
      <c r="ID117" s="30"/>
      <c r="IE117" s="30"/>
      <c r="IF117" s="30"/>
      <c r="IG117" s="30"/>
      <c r="IH117" s="30"/>
      <c r="II117" s="30"/>
      <c r="IJ117" s="30"/>
      <c r="IK117" s="30"/>
      <c r="IL117" s="30"/>
      <c r="IM117" s="30"/>
      <c r="IN117" s="30"/>
      <c r="IO117" s="30"/>
      <c r="IP117" s="30"/>
      <c r="IQ117" s="30"/>
      <c r="IR117" s="30"/>
      <c r="IS117" s="30"/>
      <c r="IT117" s="30"/>
      <c r="IU117" s="30"/>
      <c r="IV117" s="30"/>
      <c r="IW117" s="30"/>
      <c r="IX117" s="30"/>
      <c r="IY117" s="30"/>
      <c r="IZ117" s="30"/>
      <c r="JA117" s="30"/>
      <c r="JB117" s="30"/>
      <c r="JC117" s="30"/>
      <c r="JD117" s="30"/>
      <c r="JE117" s="30"/>
      <c r="JF117" s="30"/>
      <c r="JG117" s="30"/>
      <c r="JH117" s="30"/>
      <c r="JI117" s="30"/>
      <c r="JJ117" s="30"/>
      <c r="JK117" s="30"/>
      <c r="JL117" s="30"/>
      <c r="JM117" s="30"/>
      <c r="JN117" s="30"/>
      <c r="JO117" s="30"/>
      <c r="JP117" s="30"/>
      <c r="JQ117" s="30"/>
      <c r="JR117" s="30"/>
      <c r="JS117" s="30"/>
      <c r="JT117" s="30"/>
      <c r="JU117" s="30"/>
      <c r="JV117" s="30"/>
      <c r="JW117" s="30"/>
      <c r="JX117" s="30"/>
      <c r="JY117" s="30"/>
      <c r="JZ117" s="30"/>
      <c r="KA117" s="30"/>
      <c r="KB117" s="30"/>
      <c r="KC117" s="30"/>
      <c r="KD117" s="30"/>
      <c r="KE117" s="30"/>
      <c r="KF117" s="30"/>
      <c r="KG117" s="30"/>
      <c r="KH117" s="30"/>
      <c r="KI117" s="30"/>
      <c r="KJ117" s="30"/>
      <c r="KK117" s="30"/>
      <c r="KL117" s="30"/>
      <c r="KM117" s="30"/>
      <c r="KN117" s="30"/>
      <c r="KO117" s="30"/>
      <c r="KP117" s="30"/>
      <c r="KQ117" s="30"/>
      <c r="KR117" s="30"/>
      <c r="KS117" s="30"/>
      <c r="KT117" s="30"/>
      <c r="KU117" s="30"/>
      <c r="KV117" s="30"/>
      <c r="KW117" s="30"/>
      <c r="KX117" s="30"/>
      <c r="KY117" s="30"/>
      <c r="KZ117" s="30"/>
      <c r="LA117" s="30"/>
      <c r="LB117" s="30"/>
      <c r="LC117" s="30"/>
      <c r="LD117" s="30"/>
      <c r="LE117" s="30"/>
      <c r="LF117" s="30"/>
      <c r="LG117" s="30"/>
      <c r="LH117" s="30"/>
      <c r="LI117" s="30"/>
      <c r="LJ117" s="30"/>
      <c r="LK117" s="110"/>
    </row>
    <row r="118">
      <c r="A118" s="192"/>
      <c r="B118" s="134" t="s">
        <v>19</v>
      </c>
      <c r="C118" s="134" t="s">
        <v>20</v>
      </c>
      <c r="D118" s="134" t="s">
        <v>21</v>
      </c>
      <c r="E118" s="134" t="s">
        <v>22</v>
      </c>
      <c r="F118" s="134" t="s">
        <v>23</v>
      </c>
      <c r="G118" s="134" t="s">
        <v>24</v>
      </c>
      <c r="H118" s="134" t="s">
        <v>25</v>
      </c>
      <c r="I118" s="134" t="s">
        <v>26</v>
      </c>
      <c r="J118" s="134" t="s">
        <v>27</v>
      </c>
      <c r="K118" s="134" t="s">
        <v>28</v>
      </c>
      <c r="L118" s="134" t="s">
        <v>29</v>
      </c>
      <c r="M118" s="134" t="s">
        <v>30</v>
      </c>
      <c r="N118" s="134" t="s">
        <v>31</v>
      </c>
      <c r="O118" s="134"/>
      <c r="P118" s="134" t="s">
        <v>32</v>
      </c>
      <c r="Q118" s="134" t="s">
        <v>351</v>
      </c>
      <c r="R118" s="134" t="s">
        <v>34</v>
      </c>
      <c r="S118" s="134" t="s">
        <v>35</v>
      </c>
      <c r="T118" s="134" t="s">
        <v>36</v>
      </c>
      <c r="U118" s="135" t="s">
        <v>37</v>
      </c>
      <c r="V118" s="134" t="s">
        <v>38</v>
      </c>
      <c r="W118" s="135" t="s">
        <v>39</v>
      </c>
      <c r="X118" s="135" t="s">
        <v>40</v>
      </c>
      <c r="Y118" s="136"/>
      <c r="AB118" s="38" t="s">
        <v>41</v>
      </c>
      <c r="AC118" s="38" t="s">
        <v>42</v>
      </c>
      <c r="AD118" s="38" t="s">
        <v>43</v>
      </c>
      <c r="AE118" s="38" t="s">
        <v>44</v>
      </c>
      <c r="AF118" s="38"/>
      <c r="AG118" s="38" t="s">
        <v>46</v>
      </c>
      <c r="AH118" s="38" t="s">
        <v>47</v>
      </c>
      <c r="AI118" s="38" t="s">
        <v>48</v>
      </c>
      <c r="AJ118" s="38" t="s">
        <v>49</v>
      </c>
      <c r="AK118" s="38" t="s">
        <v>50</v>
      </c>
      <c r="AL118" s="38" t="s">
        <v>51</v>
      </c>
      <c r="AM118" s="38" t="s">
        <v>52</v>
      </c>
      <c r="AN118" s="38" t="s">
        <v>53</v>
      </c>
      <c r="AO118" s="38" t="s">
        <v>54</v>
      </c>
      <c r="AP118" s="38" t="s">
        <v>55</v>
      </c>
      <c r="AQ118" s="38" t="s">
        <v>56</v>
      </c>
      <c r="AR118" s="38" t="s">
        <v>57</v>
      </c>
      <c r="AS118" s="38" t="s">
        <v>352</v>
      </c>
      <c r="AT118" s="38" t="s">
        <v>353</v>
      </c>
      <c r="AU118" s="38" t="s">
        <v>58</v>
      </c>
      <c r="AV118" s="38" t="s">
        <v>59</v>
      </c>
      <c r="AW118" s="38" t="s">
        <v>60</v>
      </c>
      <c r="AX118" s="38"/>
      <c r="AY118" s="38" t="s">
        <v>61</v>
      </c>
      <c r="AZ118" s="38" t="s">
        <v>62</v>
      </c>
      <c r="BA118" s="38" t="s">
        <v>63</v>
      </c>
      <c r="BB118" s="38"/>
      <c r="BC118" s="38" t="s">
        <v>64</v>
      </c>
      <c r="BD118" s="40" t="s">
        <v>65</v>
      </c>
      <c r="BE118" s="38" t="s">
        <v>66</v>
      </c>
      <c r="BF118" s="38" t="s">
        <v>67</v>
      </c>
      <c r="BG118" s="38" t="s">
        <v>354</v>
      </c>
      <c r="BH118" s="38" t="s">
        <v>355</v>
      </c>
      <c r="BI118" s="38" t="s">
        <v>68</v>
      </c>
      <c r="BJ118" s="38" t="s">
        <v>69</v>
      </c>
      <c r="BK118" s="38" t="s">
        <v>70</v>
      </c>
      <c r="BL118" s="38" t="s">
        <v>71</v>
      </c>
      <c r="BM118" s="38" t="s">
        <v>72</v>
      </c>
      <c r="BN118" s="38" t="s">
        <v>73</v>
      </c>
      <c r="BO118" s="38" t="s">
        <v>74</v>
      </c>
      <c r="BP118" s="38" t="s">
        <v>75</v>
      </c>
      <c r="BQ118" s="38" t="s">
        <v>76</v>
      </c>
      <c r="BR118" s="38" t="s">
        <v>77</v>
      </c>
      <c r="BS118" s="38" t="s">
        <v>78</v>
      </c>
      <c r="BT118" s="38" t="s">
        <v>79</v>
      </c>
      <c r="BU118" s="38" t="s">
        <v>80</v>
      </c>
      <c r="BV118" s="38" t="s">
        <v>81</v>
      </c>
      <c r="BW118" s="38" t="s">
        <v>82</v>
      </c>
      <c r="BX118" s="38" t="s">
        <v>83</v>
      </c>
      <c r="BY118" s="38" t="s">
        <v>84</v>
      </c>
      <c r="BZ118" s="38" t="s">
        <v>85</v>
      </c>
      <c r="CA118" s="38" t="s">
        <v>86</v>
      </c>
      <c r="CB118" s="38" t="s">
        <v>87</v>
      </c>
      <c r="CC118" s="38" t="s">
        <v>88</v>
      </c>
      <c r="CD118" s="38" t="s">
        <v>89</v>
      </c>
      <c r="CF118" s="41"/>
      <c r="CG118" s="41" t="s">
        <v>90</v>
      </c>
      <c r="CH118" s="41" t="s">
        <v>91</v>
      </c>
      <c r="CI118" s="41" t="s">
        <v>92</v>
      </c>
      <c r="CJ118" s="41" t="s">
        <v>93</v>
      </c>
      <c r="CK118" s="41" t="s">
        <v>94</v>
      </c>
      <c r="CL118" s="41"/>
      <c r="CM118" s="41" t="s">
        <v>95</v>
      </c>
      <c r="CN118" s="41" t="s">
        <v>96</v>
      </c>
      <c r="CO118" s="41" t="s">
        <v>45</v>
      </c>
      <c r="CP118" s="41" t="s">
        <v>97</v>
      </c>
      <c r="CQ118" s="41" t="s">
        <v>98</v>
      </c>
      <c r="CR118" s="41" t="s">
        <v>99</v>
      </c>
      <c r="CS118" s="41" t="s">
        <v>48</v>
      </c>
      <c r="CT118" s="41" t="s">
        <v>100</v>
      </c>
      <c r="CU118" s="41" t="s">
        <v>101</v>
      </c>
      <c r="CV118" s="41" t="s">
        <v>102</v>
      </c>
      <c r="CW118" s="41" t="s">
        <v>103</v>
      </c>
      <c r="CX118" s="41" t="s">
        <v>67</v>
      </c>
      <c r="CY118" s="41" t="s">
        <v>104</v>
      </c>
      <c r="CZ118" s="41" t="s">
        <v>105</v>
      </c>
      <c r="DA118" s="41" t="s">
        <v>107</v>
      </c>
      <c r="DB118" s="41" t="s">
        <v>108</v>
      </c>
      <c r="DC118" s="41" t="s">
        <v>109</v>
      </c>
      <c r="DD118" s="41" t="s">
        <v>110</v>
      </c>
      <c r="DE118" s="41" t="s">
        <v>111</v>
      </c>
      <c r="DF118" s="41" t="s">
        <v>112</v>
      </c>
      <c r="DG118" s="41" t="s">
        <v>113</v>
      </c>
      <c r="DH118" s="41" t="s">
        <v>114</v>
      </c>
      <c r="DI118" s="41" t="s">
        <v>115</v>
      </c>
      <c r="DJ118" s="41" t="s">
        <v>116</v>
      </c>
      <c r="DK118" s="41" t="s">
        <v>117</v>
      </c>
      <c r="DL118" s="41" t="s">
        <v>118</v>
      </c>
      <c r="DM118" s="41" t="s">
        <v>119</v>
      </c>
      <c r="DP118" s="64"/>
      <c r="DQ118" s="43"/>
      <c r="DR118" s="43" t="s">
        <v>356</v>
      </c>
      <c r="DS118" s="44" t="s">
        <v>357</v>
      </c>
      <c r="DT118" s="43" t="s">
        <v>120</v>
      </c>
      <c r="DU118" s="43" t="s">
        <v>121</v>
      </c>
      <c r="DV118" s="43" t="s">
        <v>122</v>
      </c>
      <c r="DW118" s="43"/>
      <c r="DX118" s="43" t="s">
        <v>123</v>
      </c>
      <c r="DY118" s="43" t="s">
        <v>124</v>
      </c>
      <c r="DZ118" s="44" t="s">
        <v>125</v>
      </c>
      <c r="EA118" s="43" t="s">
        <v>126</v>
      </c>
      <c r="EB118" s="44" t="s">
        <v>358</v>
      </c>
      <c r="EC118" s="43" t="s">
        <v>359</v>
      </c>
      <c r="ED118" s="44" t="s">
        <v>360</v>
      </c>
      <c r="EE118" s="43" t="s">
        <v>127</v>
      </c>
      <c r="EF118" s="43" t="s">
        <v>128</v>
      </c>
      <c r="EG118" s="43" t="s">
        <v>129</v>
      </c>
      <c r="EH118" s="43" t="s">
        <v>130</v>
      </c>
      <c r="EI118" s="43" t="s">
        <v>131</v>
      </c>
      <c r="EJ118" s="43" t="s">
        <v>132</v>
      </c>
      <c r="EK118" s="43" t="s">
        <v>133</v>
      </c>
      <c r="EL118" s="43" t="s">
        <v>134</v>
      </c>
      <c r="EM118" s="43" t="s">
        <v>135</v>
      </c>
      <c r="EN118" s="44" t="s">
        <v>361</v>
      </c>
      <c r="EO118" s="43" t="s">
        <v>136</v>
      </c>
      <c r="EP118" s="43" t="s">
        <v>137</v>
      </c>
      <c r="EQ118" s="43" t="s">
        <v>138</v>
      </c>
      <c r="ER118" s="43" t="s">
        <v>139</v>
      </c>
      <c r="ES118" s="43" t="s">
        <v>140</v>
      </c>
      <c r="ET118" s="43" t="s">
        <v>141</v>
      </c>
      <c r="EU118" s="43"/>
      <c r="EV118" s="43" t="s">
        <v>143</v>
      </c>
      <c r="EW118" s="43" t="s">
        <v>144</v>
      </c>
      <c r="EX118" s="44" t="s">
        <v>145</v>
      </c>
      <c r="EY118" s="43" t="s">
        <v>146</v>
      </c>
      <c r="EZ118" s="43" t="s">
        <v>147</v>
      </c>
      <c r="FA118" s="43" t="s">
        <v>148</v>
      </c>
      <c r="FB118" s="44" t="s">
        <v>362</v>
      </c>
      <c r="FC118" s="43" t="s">
        <v>149</v>
      </c>
      <c r="FD118" s="43" t="s">
        <v>151</v>
      </c>
      <c r="FE118" s="44" t="s">
        <v>363</v>
      </c>
      <c r="FF118" s="43" t="s">
        <v>152</v>
      </c>
      <c r="FG118" s="43" t="s">
        <v>153</v>
      </c>
      <c r="FH118" s="43" t="s">
        <v>364</v>
      </c>
      <c r="FI118" s="43" t="s">
        <v>154</v>
      </c>
      <c r="FJ118" s="43" t="s">
        <v>155</v>
      </c>
      <c r="FK118" s="44" t="s">
        <v>156</v>
      </c>
      <c r="FL118" s="44" t="s">
        <v>157</v>
      </c>
      <c r="FM118" s="44" t="s">
        <v>158</v>
      </c>
      <c r="FN118" s="43" t="s">
        <v>159</v>
      </c>
      <c r="FO118" s="43" t="s">
        <v>160</v>
      </c>
      <c r="FP118" s="44" t="s">
        <v>365</v>
      </c>
      <c r="FQ118" s="43" t="s">
        <v>161</v>
      </c>
      <c r="FR118" s="43" t="s">
        <v>162</v>
      </c>
      <c r="FS118" s="44" t="s">
        <v>366</v>
      </c>
      <c r="FT118" s="44" t="s">
        <v>367</v>
      </c>
      <c r="FU118" s="43" t="s">
        <v>368</v>
      </c>
      <c r="FV118" s="43" t="s">
        <v>163</v>
      </c>
      <c r="FW118" s="43" t="s">
        <v>164</v>
      </c>
      <c r="FX118" s="46" t="s">
        <v>165</v>
      </c>
      <c r="FY118" s="43" t="s">
        <v>369</v>
      </c>
      <c r="FZ118" s="43" t="s">
        <v>167</v>
      </c>
      <c r="GA118" s="43" t="s">
        <v>168</v>
      </c>
      <c r="GB118" s="43" t="s">
        <v>169</v>
      </c>
      <c r="GC118" s="43" t="s">
        <v>170</v>
      </c>
      <c r="GD118" s="43" t="s">
        <v>171</v>
      </c>
      <c r="GE118" s="43" t="s">
        <v>172</v>
      </c>
      <c r="GF118" s="43" t="s">
        <v>173</v>
      </c>
      <c r="GG118" s="43" t="s">
        <v>174</v>
      </c>
      <c r="GH118" s="43" t="s">
        <v>175</v>
      </c>
      <c r="GI118" s="43" t="s">
        <v>176</v>
      </c>
      <c r="GJ118" s="47" t="s">
        <v>177</v>
      </c>
      <c r="GK118" s="43" t="s">
        <v>178</v>
      </c>
      <c r="GL118" s="43" t="s">
        <v>179</v>
      </c>
      <c r="GM118" s="43" t="s">
        <v>180</v>
      </c>
      <c r="GN118" s="43"/>
      <c r="GO118" s="43" t="s">
        <v>181</v>
      </c>
      <c r="GP118" s="44" t="s">
        <v>370</v>
      </c>
      <c r="GQ118" s="43" t="s">
        <v>182</v>
      </c>
      <c r="GR118" s="43" t="s">
        <v>183</v>
      </c>
      <c r="GS118" s="43" t="s">
        <v>184</v>
      </c>
      <c r="GT118" s="43" t="s">
        <v>185</v>
      </c>
      <c r="GU118" s="43" t="s">
        <v>186</v>
      </c>
      <c r="GV118" s="43" t="s">
        <v>187</v>
      </c>
      <c r="GW118" s="43" t="s">
        <v>188</v>
      </c>
      <c r="GX118" s="43" t="s">
        <v>189</v>
      </c>
      <c r="GY118" s="43" t="s">
        <v>190</v>
      </c>
      <c r="GZ118" s="43" t="s">
        <v>191</v>
      </c>
      <c r="HA118" s="44" t="s">
        <v>371</v>
      </c>
      <c r="HB118" s="44" t="s">
        <v>372</v>
      </c>
      <c r="HC118" s="43" t="s">
        <v>192</v>
      </c>
      <c r="HD118" s="44" t="s">
        <v>373</v>
      </c>
      <c r="HE118" s="44" t="s">
        <v>374</v>
      </c>
      <c r="HF118" s="47" t="s">
        <v>194</v>
      </c>
      <c r="HG118" s="43" t="s">
        <v>195</v>
      </c>
      <c r="HH118" s="43" t="s">
        <v>196</v>
      </c>
      <c r="HI118" s="43" t="s">
        <v>197</v>
      </c>
      <c r="HJ118" s="43" t="s">
        <v>198</v>
      </c>
      <c r="HK118" s="43" t="s">
        <v>199</v>
      </c>
      <c r="HL118" s="43" t="s">
        <v>200</v>
      </c>
      <c r="HM118" s="44" t="s">
        <v>201</v>
      </c>
      <c r="HN118" s="43" t="s">
        <v>202</v>
      </c>
      <c r="HO118" s="43" t="s">
        <v>203</v>
      </c>
      <c r="HP118" s="43" t="s">
        <v>204</v>
      </c>
      <c r="HQ118" s="43" t="s">
        <v>205</v>
      </c>
      <c r="HR118" s="43" t="s">
        <v>206</v>
      </c>
      <c r="HS118" s="43" t="s">
        <v>207</v>
      </c>
      <c r="HT118" s="43" t="s">
        <v>208</v>
      </c>
      <c r="HU118" s="43" t="s">
        <v>209</v>
      </c>
      <c r="HV118" s="43" t="s">
        <v>210</v>
      </c>
      <c r="HW118" s="43" t="s">
        <v>211</v>
      </c>
      <c r="HX118" s="43" t="s">
        <v>212</v>
      </c>
      <c r="HY118" s="43" t="s">
        <v>213</v>
      </c>
      <c r="HZ118" s="43" t="s">
        <v>214</v>
      </c>
      <c r="IA118" s="43" t="s">
        <v>215</v>
      </c>
      <c r="IB118" s="43" t="s">
        <v>216</v>
      </c>
      <c r="IC118" s="43" t="s">
        <v>217</v>
      </c>
      <c r="ID118" s="43" t="s">
        <v>218</v>
      </c>
      <c r="IE118" s="43" t="s">
        <v>219</v>
      </c>
      <c r="IF118" s="43" t="s">
        <v>220</v>
      </c>
      <c r="IG118" s="43" t="s">
        <v>221</v>
      </c>
      <c r="IH118" s="43" t="s">
        <v>222</v>
      </c>
      <c r="II118" s="44" t="s">
        <v>375</v>
      </c>
      <c r="IJ118" s="44" t="s">
        <v>376</v>
      </c>
      <c r="IK118" s="43" t="s">
        <v>223</v>
      </c>
      <c r="IL118" s="43" t="s">
        <v>224</v>
      </c>
      <c r="IM118" s="43" t="s">
        <v>225</v>
      </c>
      <c r="IN118" s="43" t="s">
        <v>226</v>
      </c>
      <c r="IO118" s="43" t="s">
        <v>228</v>
      </c>
      <c r="IP118" s="43" t="s">
        <v>229</v>
      </c>
      <c r="IQ118" s="43" t="s">
        <v>230</v>
      </c>
      <c r="IR118" s="44" t="s">
        <v>231</v>
      </c>
      <c r="IS118" s="43" t="s">
        <v>232</v>
      </c>
      <c r="IT118" s="43" t="s">
        <v>233</v>
      </c>
      <c r="IU118" s="43" t="s">
        <v>234</v>
      </c>
      <c r="IV118" s="43" t="s">
        <v>235</v>
      </c>
      <c r="IW118" s="43" t="s">
        <v>236</v>
      </c>
      <c r="IX118" s="43" t="s">
        <v>237</v>
      </c>
      <c r="IY118" s="44" t="s">
        <v>238</v>
      </c>
      <c r="IZ118" s="44" t="s">
        <v>239</v>
      </c>
      <c r="JA118" s="43" t="s">
        <v>240</v>
      </c>
      <c r="JB118" s="43" t="s">
        <v>241</v>
      </c>
      <c r="JC118" s="44" t="s">
        <v>242</v>
      </c>
      <c r="JD118" s="44" t="s">
        <v>243</v>
      </c>
      <c r="JE118" s="43" t="s">
        <v>244</v>
      </c>
      <c r="JF118" s="44" t="s">
        <v>377</v>
      </c>
      <c r="JG118" s="43" t="s">
        <v>378</v>
      </c>
      <c r="JH118" s="43" t="s">
        <v>245</v>
      </c>
      <c r="JI118" s="43" t="s">
        <v>246</v>
      </c>
      <c r="JJ118" s="44" t="s">
        <v>247</v>
      </c>
      <c r="JK118" s="43" t="s">
        <v>248</v>
      </c>
      <c r="JL118" s="43" t="s">
        <v>249</v>
      </c>
      <c r="JM118" s="43" t="s">
        <v>250</v>
      </c>
      <c r="JN118" s="43" t="s">
        <v>251</v>
      </c>
      <c r="JO118" s="43" t="s">
        <v>252</v>
      </c>
      <c r="JP118" s="43" t="s">
        <v>253</v>
      </c>
      <c r="JQ118" s="43" t="s">
        <v>254</v>
      </c>
      <c r="JR118" s="43" t="s">
        <v>255</v>
      </c>
      <c r="JS118" s="43" t="s">
        <v>256</v>
      </c>
      <c r="JT118" s="43" t="s">
        <v>257</v>
      </c>
      <c r="JU118" s="43"/>
      <c r="JV118" s="43" t="s">
        <v>258</v>
      </c>
      <c r="JW118" s="43" t="s">
        <v>259</v>
      </c>
      <c r="JX118" s="43" t="s">
        <v>260</v>
      </c>
      <c r="JY118" s="43" t="s">
        <v>261</v>
      </c>
      <c r="JZ118" s="43" t="s">
        <v>262</v>
      </c>
      <c r="KA118" s="43"/>
      <c r="KB118" s="43" t="s">
        <v>263</v>
      </c>
      <c r="KC118" s="43" t="s">
        <v>25</v>
      </c>
      <c r="KD118" s="43" t="s">
        <v>265</v>
      </c>
      <c r="KE118" s="43"/>
      <c r="KF118" s="43" t="s">
        <v>266</v>
      </c>
      <c r="KG118" s="43" t="s">
        <v>267</v>
      </c>
      <c r="KH118" s="43" t="s">
        <v>268</v>
      </c>
      <c r="KI118" s="43" t="s">
        <v>269</v>
      </c>
      <c r="KJ118" s="43" t="s">
        <v>270</v>
      </c>
      <c r="KK118" s="43" t="s">
        <v>271</v>
      </c>
      <c r="KL118" s="43" t="s">
        <v>272</v>
      </c>
      <c r="KM118" s="43" t="s">
        <v>273</v>
      </c>
      <c r="KN118" s="43" t="s">
        <v>274</v>
      </c>
      <c r="KO118" s="43"/>
      <c r="KP118" s="43" t="s">
        <v>275</v>
      </c>
      <c r="KQ118" s="43" t="s">
        <v>276</v>
      </c>
      <c r="KR118" s="43" t="s">
        <v>277</v>
      </c>
      <c r="KS118" s="43"/>
      <c r="KT118" s="43" t="s">
        <v>278</v>
      </c>
      <c r="KU118" s="44" t="s">
        <v>379</v>
      </c>
      <c r="KV118" s="43" t="s">
        <v>279</v>
      </c>
      <c r="KW118" s="43" t="s">
        <v>280</v>
      </c>
      <c r="KX118" s="43" t="s">
        <v>281</v>
      </c>
      <c r="KY118" s="43" t="s">
        <v>282</v>
      </c>
      <c r="KZ118" s="43" t="s">
        <v>283</v>
      </c>
      <c r="LA118" s="44" t="s">
        <v>380</v>
      </c>
      <c r="LB118" s="43" t="s">
        <v>284</v>
      </c>
      <c r="LC118" s="43" t="s">
        <v>285</v>
      </c>
      <c r="LD118" s="44" t="s">
        <v>381</v>
      </c>
      <c r="LE118" s="43" t="s">
        <v>286</v>
      </c>
      <c r="LF118" s="43"/>
      <c r="LG118" s="43" t="s">
        <v>287</v>
      </c>
      <c r="LH118" s="43" t="s">
        <v>33</v>
      </c>
      <c r="LI118" s="43" t="s">
        <v>288</v>
      </c>
      <c r="LJ118" s="43" t="s">
        <v>289</v>
      </c>
      <c r="LK118" s="110"/>
    </row>
    <row r="119">
      <c r="A119" s="49" t="s">
        <v>291</v>
      </c>
      <c r="B119" s="149"/>
      <c r="C119" s="87"/>
      <c r="D119" s="147"/>
      <c r="E119" s="146"/>
      <c r="F119" s="146"/>
      <c r="G119" s="149"/>
      <c r="H119" s="146"/>
      <c r="I119" s="53"/>
      <c r="J119" s="53"/>
      <c r="K119" s="146"/>
      <c r="L119" s="149"/>
      <c r="M119" s="146"/>
      <c r="N119" s="52"/>
      <c r="O119" s="146"/>
      <c r="P119" s="53"/>
      <c r="Q119" s="146"/>
      <c r="R119" s="146"/>
      <c r="S119" s="146"/>
      <c r="T119" s="53"/>
      <c r="U119" s="27"/>
      <c r="V119" s="28"/>
      <c r="W119" s="28"/>
      <c r="X119" s="195"/>
      <c r="Y119" s="27"/>
      <c r="AB119" s="27"/>
      <c r="AC119" s="27"/>
      <c r="AD119" s="28"/>
      <c r="AE119" s="28"/>
      <c r="AF119" s="28"/>
      <c r="AG119" s="28"/>
      <c r="AH119" s="28"/>
      <c r="AI119" s="28"/>
      <c r="AJ119" s="27"/>
      <c r="AK119" s="28"/>
      <c r="AL119" s="28"/>
      <c r="AM119" s="28"/>
      <c r="AN119" s="28"/>
      <c r="AO119" s="27"/>
      <c r="AP119" s="27"/>
      <c r="AQ119" s="28"/>
      <c r="AR119" s="28"/>
      <c r="AS119" s="28"/>
      <c r="AT119" s="28"/>
      <c r="AU119" s="28"/>
      <c r="AV119" s="62"/>
      <c r="AW119" s="62"/>
      <c r="AX119" s="27"/>
      <c r="AY119" s="27"/>
      <c r="AZ119" s="27"/>
      <c r="BA119" s="28"/>
      <c r="BB119" s="27"/>
      <c r="BC119" s="27"/>
      <c r="BD119" s="27"/>
      <c r="BE119" s="28"/>
      <c r="BF119" s="27"/>
      <c r="BG119" s="28"/>
      <c r="BH119" s="28"/>
      <c r="BI119" s="28"/>
      <c r="BJ119" s="27"/>
      <c r="BK119" s="28"/>
      <c r="BL119" s="28"/>
      <c r="BM119" s="27"/>
      <c r="BN119" s="27"/>
      <c r="BO119" s="28"/>
      <c r="BP119" s="27"/>
      <c r="BQ119" s="28"/>
      <c r="BR119" s="27"/>
      <c r="BS119" s="28"/>
      <c r="BT119" s="28"/>
      <c r="BU119" s="27"/>
      <c r="BV119" s="28"/>
      <c r="BW119" s="27"/>
      <c r="BX119" s="28"/>
      <c r="BY119" s="28"/>
      <c r="BZ119" s="28"/>
      <c r="CA119" s="27"/>
      <c r="CB119" s="28"/>
      <c r="CC119" s="62"/>
      <c r="CD119" s="62"/>
      <c r="CF119" s="49" t="s">
        <v>291</v>
      </c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P119" s="64"/>
      <c r="DQ119" s="49" t="s">
        <v>291</v>
      </c>
      <c r="DR119" s="28"/>
      <c r="DS119" s="28"/>
      <c r="DT119" s="28"/>
      <c r="DU119" s="28"/>
      <c r="DV119" s="62"/>
      <c r="DW119" s="28"/>
      <c r="DX119" s="28"/>
      <c r="DY119" s="28"/>
      <c r="DZ119" s="28"/>
      <c r="EA119" s="28"/>
      <c r="EB119" s="28"/>
      <c r="EC119" s="28"/>
      <c r="ED119" s="28"/>
      <c r="EE119" s="28"/>
      <c r="EF119" s="28"/>
      <c r="EG119" s="28"/>
      <c r="EH119" s="28"/>
      <c r="EI119" s="28"/>
      <c r="EJ119" s="28"/>
      <c r="EK119" s="28"/>
      <c r="EL119" s="28"/>
      <c r="EM119" s="28"/>
      <c r="EN119" s="28"/>
      <c r="EO119" s="28"/>
      <c r="EP119" s="28"/>
      <c r="EQ119" s="28"/>
      <c r="ER119" s="28"/>
      <c r="ES119" s="28"/>
      <c r="ET119" s="28"/>
      <c r="EU119" s="28"/>
      <c r="EV119" s="28"/>
      <c r="EW119" s="28"/>
      <c r="EX119" s="28"/>
      <c r="EY119" s="28"/>
      <c r="EZ119" s="28"/>
      <c r="FA119" s="28"/>
      <c r="FB119" s="28"/>
      <c r="FC119" s="28"/>
      <c r="FD119" s="28"/>
      <c r="FE119" s="28"/>
      <c r="FF119" s="28"/>
      <c r="FG119" s="28"/>
      <c r="FH119" s="28"/>
      <c r="FI119" s="28"/>
      <c r="FJ119" s="28"/>
      <c r="FK119" s="28"/>
      <c r="FL119" s="28"/>
      <c r="FM119" s="28"/>
      <c r="FN119" s="28"/>
      <c r="FO119" s="28"/>
      <c r="FP119" s="28"/>
      <c r="FQ119" s="28"/>
      <c r="FR119" s="28"/>
      <c r="FS119" s="28"/>
      <c r="FT119" s="28"/>
      <c r="FU119" s="28"/>
      <c r="FV119" s="28"/>
      <c r="FW119" s="28"/>
      <c r="FX119" s="28"/>
      <c r="FY119" s="28"/>
      <c r="FZ119" s="28"/>
      <c r="GA119" s="28"/>
      <c r="GB119" s="28"/>
      <c r="GC119" s="28"/>
      <c r="GD119" s="28"/>
      <c r="GE119" s="28"/>
      <c r="GF119" s="28"/>
      <c r="GG119" s="28"/>
      <c r="GH119" s="28"/>
      <c r="GI119" s="28"/>
      <c r="GJ119" s="28"/>
      <c r="GK119" s="28"/>
      <c r="GL119" s="28"/>
      <c r="GM119" s="62"/>
      <c r="GN119" s="28"/>
      <c r="GO119" s="28"/>
      <c r="GP119" s="28"/>
      <c r="GQ119" s="28"/>
      <c r="GR119" s="28"/>
      <c r="GS119" s="28"/>
      <c r="GT119" s="28"/>
      <c r="GU119" s="28"/>
      <c r="GV119" s="28"/>
      <c r="GW119" s="28"/>
      <c r="GX119" s="28"/>
      <c r="GY119" s="28"/>
      <c r="GZ119" s="28"/>
      <c r="HA119" s="28"/>
      <c r="HB119" s="28"/>
      <c r="HC119" s="28"/>
      <c r="HD119" s="28"/>
      <c r="HE119" s="28"/>
      <c r="HF119" s="27"/>
      <c r="HG119" s="28"/>
      <c r="HH119" s="28"/>
      <c r="HI119" s="28"/>
      <c r="HJ119" s="28"/>
      <c r="HK119" s="28"/>
      <c r="HL119" s="28"/>
      <c r="HM119" s="28"/>
      <c r="HN119" s="28"/>
      <c r="HO119" s="28"/>
      <c r="HP119" s="28"/>
      <c r="HQ119" s="28"/>
      <c r="HR119" s="28"/>
      <c r="HS119" s="28"/>
      <c r="HT119" s="28"/>
      <c r="HU119" s="28"/>
      <c r="HV119" s="28"/>
      <c r="HW119" s="28"/>
      <c r="HX119" s="28"/>
      <c r="HY119" s="28"/>
      <c r="HZ119" s="28"/>
      <c r="IA119" s="28"/>
      <c r="IB119" s="28"/>
      <c r="IC119" s="28"/>
      <c r="ID119" s="28"/>
      <c r="IE119" s="28"/>
      <c r="IF119" s="28"/>
      <c r="IG119" s="28"/>
      <c r="IH119" s="28"/>
      <c r="II119" s="28"/>
      <c r="IJ119" s="28"/>
      <c r="IK119" s="28"/>
      <c r="IL119" s="28"/>
      <c r="IM119" s="28"/>
      <c r="IN119" s="28"/>
      <c r="IO119" s="28"/>
      <c r="IP119" s="28"/>
      <c r="IQ119" s="28"/>
      <c r="IR119" s="28"/>
      <c r="IS119" s="28"/>
      <c r="IT119" s="28"/>
      <c r="IU119" s="28"/>
      <c r="IV119" s="28"/>
      <c r="IW119" s="28"/>
      <c r="IX119" s="28"/>
      <c r="IY119" s="28"/>
      <c r="IZ119" s="28"/>
      <c r="JA119" s="28"/>
      <c r="JB119" s="28"/>
      <c r="JC119" s="28"/>
      <c r="JD119" s="28"/>
      <c r="JE119" s="28"/>
      <c r="JF119" s="28"/>
      <c r="JG119" s="28"/>
      <c r="JH119" s="28"/>
      <c r="JI119" s="28"/>
      <c r="JJ119" s="28"/>
      <c r="JK119" s="28"/>
      <c r="JL119" s="28"/>
      <c r="JM119" s="28"/>
      <c r="JN119" s="28"/>
      <c r="JO119" s="28"/>
      <c r="JP119" s="28"/>
      <c r="JQ119" s="28"/>
      <c r="JR119" s="28"/>
      <c r="JS119" s="28"/>
      <c r="JT119" s="62"/>
      <c r="JU119" s="28"/>
      <c r="JV119" s="28"/>
      <c r="JW119" s="28"/>
      <c r="JX119" s="28"/>
      <c r="JY119" s="28"/>
      <c r="JZ119" s="62"/>
      <c r="KA119" s="28"/>
      <c r="KB119" s="28"/>
      <c r="KC119" s="28"/>
      <c r="KD119" s="62"/>
      <c r="KE119" s="28"/>
      <c r="KF119" s="28"/>
      <c r="KG119" s="28"/>
      <c r="KH119" s="28"/>
      <c r="KI119" s="28"/>
      <c r="KJ119" s="28"/>
      <c r="KK119" s="28"/>
      <c r="KL119" s="28"/>
      <c r="KM119" s="28"/>
      <c r="KN119" s="62"/>
      <c r="KO119" s="28"/>
      <c r="KP119" s="28"/>
      <c r="KQ119" s="28"/>
      <c r="KR119" s="28"/>
      <c r="KS119" s="28"/>
      <c r="KT119" s="28"/>
      <c r="KU119" s="28"/>
      <c r="KV119" s="28"/>
      <c r="KW119" s="28"/>
      <c r="KX119" s="28"/>
      <c r="KY119" s="28"/>
      <c r="KZ119" s="28"/>
      <c r="LA119" s="28"/>
      <c r="LB119" s="28"/>
      <c r="LC119" s="28"/>
      <c r="LD119" s="28"/>
      <c r="LE119" s="62"/>
      <c r="LF119" s="28"/>
      <c r="LG119" s="28"/>
      <c r="LH119" s="28"/>
      <c r="LI119" s="28"/>
      <c r="LJ119" s="28"/>
      <c r="LK119" s="110"/>
    </row>
    <row r="120">
      <c r="A120" s="49" t="s">
        <v>296</v>
      </c>
      <c r="B120" s="149"/>
      <c r="C120" s="87"/>
      <c r="D120" s="147"/>
      <c r="E120" s="146"/>
      <c r="F120" s="146"/>
      <c r="G120" s="149"/>
      <c r="H120" s="146"/>
      <c r="I120" s="53"/>
      <c r="J120" s="53"/>
      <c r="K120" s="146"/>
      <c r="L120" s="149"/>
      <c r="M120" s="146"/>
      <c r="N120" s="52"/>
      <c r="O120" s="146"/>
      <c r="P120" s="53"/>
      <c r="Q120" s="146"/>
      <c r="R120" s="146"/>
      <c r="S120" s="146"/>
      <c r="T120" s="53"/>
      <c r="U120" s="27"/>
      <c r="V120" s="28"/>
      <c r="W120" s="28"/>
      <c r="X120" s="195"/>
      <c r="Y120" s="27"/>
      <c r="AB120" s="27"/>
      <c r="AC120" s="27"/>
      <c r="AD120" s="28"/>
      <c r="AE120" s="28"/>
      <c r="AF120" s="28"/>
      <c r="AG120" s="28"/>
      <c r="AH120" s="28"/>
      <c r="AI120" s="28"/>
      <c r="AJ120" s="27"/>
      <c r="AK120" s="28"/>
      <c r="AL120" s="28"/>
      <c r="AM120" s="28"/>
      <c r="AN120" s="28"/>
      <c r="AO120" s="27"/>
      <c r="AP120" s="27"/>
      <c r="AQ120" s="28"/>
      <c r="AR120" s="28"/>
      <c r="AS120" s="28"/>
      <c r="AT120" s="28"/>
      <c r="AU120" s="28"/>
      <c r="AV120" s="62"/>
      <c r="AW120" s="62"/>
      <c r="AX120" s="27"/>
      <c r="AY120" s="27"/>
      <c r="AZ120" s="27"/>
      <c r="BA120" s="28"/>
      <c r="BB120" s="27"/>
      <c r="BC120" s="27"/>
      <c r="BD120" s="27"/>
      <c r="BE120" s="28"/>
      <c r="BF120" s="27"/>
      <c r="BG120" s="28"/>
      <c r="BH120" s="28"/>
      <c r="BI120" s="28"/>
      <c r="BJ120" s="27"/>
      <c r="BK120" s="28"/>
      <c r="BL120" s="28"/>
      <c r="BM120" s="27"/>
      <c r="BN120" s="27"/>
      <c r="BO120" s="28"/>
      <c r="BP120" s="27"/>
      <c r="BQ120" s="28"/>
      <c r="BR120" s="27"/>
      <c r="BS120" s="28"/>
      <c r="BT120" s="28"/>
      <c r="BU120" s="27"/>
      <c r="BV120" s="28"/>
      <c r="BW120" s="27"/>
      <c r="BX120" s="28"/>
      <c r="BY120" s="28"/>
      <c r="BZ120" s="28"/>
      <c r="CA120" s="27"/>
      <c r="CB120" s="28"/>
      <c r="CC120" s="62"/>
      <c r="CD120" s="62"/>
      <c r="CF120" s="49" t="s">
        <v>296</v>
      </c>
      <c r="CG120" s="27"/>
      <c r="CH120" s="28"/>
      <c r="CI120" s="27"/>
      <c r="CJ120" s="28"/>
      <c r="CK120" s="27"/>
      <c r="CL120" s="27"/>
      <c r="CM120" s="27"/>
      <c r="CN120" s="28"/>
      <c r="CO120" s="28"/>
      <c r="CP120" s="28"/>
      <c r="CQ120" s="28"/>
      <c r="CR120" s="28"/>
      <c r="CS120" s="28"/>
      <c r="CT120" s="27"/>
      <c r="CU120" s="28"/>
      <c r="CV120" s="28"/>
      <c r="CW120" s="28"/>
      <c r="CX120" s="27"/>
      <c r="CY120" s="27"/>
      <c r="CZ120" s="28"/>
      <c r="DA120" s="28"/>
      <c r="DB120" s="27"/>
      <c r="DC120" s="28"/>
      <c r="DD120" s="27"/>
      <c r="DE120" s="28"/>
      <c r="DF120" s="28"/>
      <c r="DG120" s="27"/>
      <c r="DH120" s="28"/>
      <c r="DI120" s="27"/>
      <c r="DJ120" s="28"/>
      <c r="DK120" s="28"/>
      <c r="DL120" s="28"/>
      <c r="DM120" s="28"/>
      <c r="DP120" s="64"/>
      <c r="DQ120" s="49" t="s">
        <v>296</v>
      </c>
      <c r="DR120" s="28"/>
      <c r="DS120" s="28"/>
      <c r="DT120" s="28"/>
      <c r="DU120" s="28"/>
      <c r="DV120" s="62"/>
      <c r="DW120" s="28"/>
      <c r="DX120" s="28"/>
      <c r="DY120" s="28"/>
      <c r="DZ120" s="28"/>
      <c r="EA120" s="28"/>
      <c r="EB120" s="28"/>
      <c r="EC120" s="27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8"/>
      <c r="EY120" s="28"/>
      <c r="EZ120" s="28"/>
      <c r="FA120" s="28"/>
      <c r="FB120" s="28"/>
      <c r="FC120" s="28"/>
      <c r="FD120" s="28"/>
      <c r="FE120" s="28"/>
      <c r="FF120" s="28"/>
      <c r="FG120" s="28"/>
      <c r="FH120" s="28"/>
      <c r="FI120" s="28"/>
      <c r="FJ120" s="28"/>
      <c r="FK120" s="28"/>
      <c r="FL120" s="28"/>
      <c r="FM120" s="28"/>
      <c r="FN120" s="28"/>
      <c r="FO120" s="28"/>
      <c r="FP120" s="28"/>
      <c r="FQ120" s="28"/>
      <c r="FR120" s="28"/>
      <c r="FS120" s="28"/>
      <c r="FT120" s="28"/>
      <c r="FU120" s="28"/>
      <c r="FV120" s="28"/>
      <c r="FW120" s="28"/>
      <c r="FX120" s="28"/>
      <c r="FY120" s="28"/>
      <c r="FZ120" s="28"/>
      <c r="GA120" s="28"/>
      <c r="GB120" s="28"/>
      <c r="GC120" s="28"/>
      <c r="GD120" s="28"/>
      <c r="GE120" s="28"/>
      <c r="GF120" s="28"/>
      <c r="GG120" s="28"/>
      <c r="GH120" s="28"/>
      <c r="GI120" s="28"/>
      <c r="GJ120" s="28"/>
      <c r="GK120" s="28"/>
      <c r="GL120" s="28"/>
      <c r="GM120" s="62"/>
      <c r="GN120" s="28"/>
      <c r="GO120" s="28"/>
      <c r="GP120" s="28"/>
      <c r="GQ120" s="28"/>
      <c r="GR120" s="28"/>
      <c r="GS120" s="28"/>
      <c r="GT120" s="28"/>
      <c r="GU120" s="28"/>
      <c r="GV120" s="28"/>
      <c r="GW120" s="28"/>
      <c r="GX120" s="28"/>
      <c r="GY120" s="28"/>
      <c r="GZ120" s="28"/>
      <c r="HA120" s="27"/>
      <c r="HB120" s="28"/>
      <c r="HC120" s="28"/>
      <c r="HD120" s="28"/>
      <c r="HE120" s="28"/>
      <c r="HF120" s="28"/>
      <c r="HG120" s="28"/>
      <c r="HH120" s="28"/>
      <c r="HI120" s="28"/>
      <c r="HJ120" s="28"/>
      <c r="HK120" s="28"/>
      <c r="HL120" s="28"/>
      <c r="HM120" s="28"/>
      <c r="HN120" s="28"/>
      <c r="HO120" s="28"/>
      <c r="HP120" s="28"/>
      <c r="HQ120" s="28"/>
      <c r="HR120" s="28"/>
      <c r="HS120" s="27"/>
      <c r="HT120" s="28"/>
      <c r="HU120" s="28"/>
      <c r="HV120" s="27"/>
      <c r="HW120" s="27"/>
      <c r="HX120" s="28"/>
      <c r="HY120" s="28"/>
      <c r="HZ120" s="28"/>
      <c r="IA120" s="28"/>
      <c r="IB120" s="28"/>
      <c r="IC120" s="28"/>
      <c r="ID120" s="28"/>
      <c r="IE120" s="28"/>
      <c r="IF120" s="28"/>
      <c r="IG120" s="28"/>
      <c r="IH120" s="28"/>
      <c r="II120" s="28"/>
      <c r="IJ120" s="28"/>
      <c r="IK120" s="28"/>
      <c r="IL120" s="28"/>
      <c r="IM120" s="28"/>
      <c r="IN120" s="28"/>
      <c r="IO120" s="28"/>
      <c r="IP120" s="28"/>
      <c r="IQ120" s="28"/>
      <c r="IR120" s="28"/>
      <c r="IS120" s="28"/>
      <c r="IT120" s="28"/>
      <c r="IU120" s="28"/>
      <c r="IV120" s="28"/>
      <c r="IW120" s="28"/>
      <c r="IX120" s="28"/>
      <c r="IY120" s="28"/>
      <c r="IZ120" s="28"/>
      <c r="JA120" s="28"/>
      <c r="JB120" s="28"/>
      <c r="JC120" s="28"/>
      <c r="JD120" s="28"/>
      <c r="JE120" s="28"/>
      <c r="JF120" s="28"/>
      <c r="JG120" s="28"/>
      <c r="JH120" s="28"/>
      <c r="JI120" s="28"/>
      <c r="JJ120" s="28"/>
      <c r="JK120" s="28"/>
      <c r="JL120" s="28"/>
      <c r="JM120" s="28"/>
      <c r="JN120" s="28"/>
      <c r="JO120" s="28"/>
      <c r="JP120" s="28"/>
      <c r="JQ120" s="28"/>
      <c r="JR120" s="28"/>
      <c r="JS120" s="28"/>
      <c r="JT120" s="62"/>
      <c r="JU120" s="28"/>
      <c r="JV120" s="28"/>
      <c r="JW120" s="28"/>
      <c r="JX120" s="28"/>
      <c r="JY120" s="28"/>
      <c r="JZ120" s="62"/>
      <c r="KA120" s="28"/>
      <c r="KB120" s="28"/>
      <c r="KC120" s="28"/>
      <c r="KD120" s="62"/>
      <c r="KE120" s="28"/>
      <c r="KF120" s="28"/>
      <c r="KG120" s="28"/>
      <c r="KH120" s="28"/>
      <c r="KI120" s="28"/>
      <c r="KJ120" s="28"/>
      <c r="KK120" s="28"/>
      <c r="KL120" s="28"/>
      <c r="KM120" s="28"/>
      <c r="KN120" s="62"/>
      <c r="KO120" s="28"/>
      <c r="KP120" s="28"/>
      <c r="KQ120" s="28"/>
      <c r="KR120" s="28"/>
      <c r="KS120" s="28"/>
      <c r="KT120" s="28"/>
      <c r="KU120" s="28"/>
      <c r="KV120" s="28"/>
      <c r="KW120" s="28"/>
      <c r="KX120" s="28"/>
      <c r="KY120" s="28"/>
      <c r="KZ120" s="28"/>
      <c r="LA120" s="28"/>
      <c r="LB120" s="28"/>
      <c r="LC120" s="28"/>
      <c r="LD120" s="28"/>
      <c r="LE120" s="62"/>
      <c r="LF120" s="28"/>
      <c r="LG120" s="28"/>
      <c r="LH120" s="28"/>
      <c r="LI120" s="28"/>
      <c r="LJ120" s="28"/>
      <c r="LK120" s="110"/>
    </row>
    <row r="121">
      <c r="A121" s="49" t="s">
        <v>299</v>
      </c>
      <c r="B121" s="149"/>
      <c r="C121" s="87"/>
      <c r="D121" s="147"/>
      <c r="E121" s="146"/>
      <c r="F121" s="146"/>
      <c r="G121" s="149"/>
      <c r="H121" s="146"/>
      <c r="I121" s="53"/>
      <c r="J121" s="53"/>
      <c r="K121" s="146"/>
      <c r="L121" s="149"/>
      <c r="M121" s="146"/>
      <c r="N121" s="52"/>
      <c r="O121" s="146"/>
      <c r="P121" s="53"/>
      <c r="Q121" s="146"/>
      <c r="R121" s="146"/>
      <c r="S121" s="146"/>
      <c r="T121" s="53"/>
      <c r="U121" s="27"/>
      <c r="V121" s="28"/>
      <c r="W121" s="28"/>
      <c r="X121" s="195"/>
      <c r="Y121" s="27"/>
      <c r="AB121" s="27"/>
      <c r="AC121" s="27"/>
      <c r="AD121" s="28"/>
      <c r="AE121" s="28"/>
      <c r="AF121" s="28"/>
      <c r="AG121" s="28"/>
      <c r="AH121" s="28"/>
      <c r="AI121" s="28"/>
      <c r="AJ121" s="27"/>
      <c r="AK121" s="28"/>
      <c r="AL121" s="28"/>
      <c r="AM121" s="28"/>
      <c r="AN121" s="28"/>
      <c r="AO121" s="27"/>
      <c r="AP121" s="27"/>
      <c r="AQ121" s="28"/>
      <c r="AR121" s="28"/>
      <c r="AS121" s="28"/>
      <c r="AT121" s="28"/>
      <c r="AU121" s="28"/>
      <c r="AV121" s="62"/>
      <c r="AW121" s="62"/>
      <c r="AX121" s="27"/>
      <c r="AY121" s="27"/>
      <c r="AZ121" s="27"/>
      <c r="BA121" s="28"/>
      <c r="BB121" s="27"/>
      <c r="BC121" s="27"/>
      <c r="BD121" s="27"/>
      <c r="BE121" s="28"/>
      <c r="BF121" s="27"/>
      <c r="BG121" s="28"/>
      <c r="BH121" s="28"/>
      <c r="BI121" s="28"/>
      <c r="BJ121" s="27"/>
      <c r="BK121" s="28"/>
      <c r="BL121" s="28"/>
      <c r="BM121" s="27"/>
      <c r="BN121" s="27"/>
      <c r="BO121" s="28"/>
      <c r="BP121" s="27"/>
      <c r="BQ121" s="28"/>
      <c r="BR121" s="27"/>
      <c r="BS121" s="28"/>
      <c r="BT121" s="28"/>
      <c r="BU121" s="27"/>
      <c r="BV121" s="28"/>
      <c r="BW121" s="27"/>
      <c r="BX121" s="28"/>
      <c r="BY121" s="28"/>
      <c r="BZ121" s="28"/>
      <c r="CA121" s="27"/>
      <c r="CB121" s="28"/>
      <c r="CC121" s="62"/>
      <c r="CD121" s="62"/>
      <c r="CF121" s="49" t="s">
        <v>299</v>
      </c>
      <c r="CG121" s="27"/>
      <c r="CH121" s="28"/>
      <c r="CI121" s="27"/>
      <c r="CJ121" s="28"/>
      <c r="CK121" s="27"/>
      <c r="CL121" s="27"/>
      <c r="CM121" s="27"/>
      <c r="CN121" s="28"/>
      <c r="CO121" s="28"/>
      <c r="CP121" s="28"/>
      <c r="CQ121" s="28"/>
      <c r="CR121" s="28"/>
      <c r="CS121" s="28"/>
      <c r="CT121" s="27"/>
      <c r="CU121" s="28"/>
      <c r="CV121" s="28"/>
      <c r="CW121" s="28"/>
      <c r="CX121" s="27"/>
      <c r="CY121" s="27"/>
      <c r="CZ121" s="28"/>
      <c r="DA121" s="28"/>
      <c r="DB121" s="27"/>
      <c r="DC121" s="28"/>
      <c r="DD121" s="27"/>
      <c r="DE121" s="28"/>
      <c r="DF121" s="28"/>
      <c r="DG121" s="27"/>
      <c r="DH121" s="28"/>
      <c r="DI121" s="27"/>
      <c r="DJ121" s="28"/>
      <c r="DK121" s="28"/>
      <c r="DL121" s="28"/>
      <c r="DM121" s="28"/>
      <c r="DP121" s="64"/>
      <c r="DQ121" s="49" t="s">
        <v>299</v>
      </c>
      <c r="DR121" s="28"/>
      <c r="DS121" s="28"/>
      <c r="DT121" s="28"/>
      <c r="DU121" s="28"/>
      <c r="DV121" s="62"/>
      <c r="DW121" s="28"/>
      <c r="DX121" s="28"/>
      <c r="DY121" s="28"/>
      <c r="DZ121" s="28"/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  <c r="EP121" s="28"/>
      <c r="EQ121" s="28"/>
      <c r="ER121" s="28"/>
      <c r="ES121" s="28"/>
      <c r="ET121" s="28"/>
      <c r="EU121" s="28"/>
      <c r="EV121" s="28"/>
      <c r="EW121" s="28"/>
      <c r="EX121" s="28"/>
      <c r="EY121" s="28"/>
      <c r="EZ121" s="28"/>
      <c r="FA121" s="28"/>
      <c r="FB121" s="28"/>
      <c r="FC121" s="28"/>
      <c r="FD121" s="28"/>
      <c r="FE121" s="28"/>
      <c r="FF121" s="28"/>
      <c r="FG121" s="28"/>
      <c r="FH121" s="28"/>
      <c r="FI121" s="28"/>
      <c r="FJ121" s="28"/>
      <c r="FK121" s="28"/>
      <c r="FL121" s="28"/>
      <c r="FM121" s="28"/>
      <c r="FN121" s="28"/>
      <c r="FO121" s="28"/>
      <c r="FP121" s="28"/>
      <c r="FQ121" s="28"/>
      <c r="FR121" s="28"/>
      <c r="FS121" s="28"/>
      <c r="FT121" s="28"/>
      <c r="FU121" s="28"/>
      <c r="FV121" s="28"/>
      <c r="FW121" s="28"/>
      <c r="FX121" s="28"/>
      <c r="FY121" s="28"/>
      <c r="FZ121" s="28"/>
      <c r="GA121" s="28"/>
      <c r="GB121" s="28"/>
      <c r="GC121" s="28"/>
      <c r="GD121" s="28"/>
      <c r="GE121" s="28"/>
      <c r="GF121" s="28"/>
      <c r="GG121" s="28"/>
      <c r="GH121" s="28"/>
      <c r="GI121" s="28"/>
      <c r="GJ121" s="28"/>
      <c r="GK121" s="28"/>
      <c r="GL121" s="28"/>
      <c r="GM121" s="62"/>
      <c r="GN121" s="28"/>
      <c r="GO121" s="28"/>
      <c r="GP121" s="28"/>
      <c r="GQ121" s="28"/>
      <c r="GR121" s="28"/>
      <c r="GS121" s="28"/>
      <c r="GT121" s="28"/>
      <c r="GU121" s="28"/>
      <c r="GV121" s="28"/>
      <c r="GW121" s="28"/>
      <c r="GX121" s="28"/>
      <c r="GY121" s="28"/>
      <c r="GZ121" s="28"/>
      <c r="HA121" s="28"/>
      <c r="HB121" s="28"/>
      <c r="HC121" s="28"/>
      <c r="HD121" s="28"/>
      <c r="HE121" s="28"/>
      <c r="HF121" s="28"/>
      <c r="HG121" s="28"/>
      <c r="HH121" s="28"/>
      <c r="HI121" s="28"/>
      <c r="HJ121" s="28"/>
      <c r="HK121" s="28"/>
      <c r="HL121" s="28"/>
      <c r="HM121" s="28"/>
      <c r="HN121" s="28"/>
      <c r="HO121" s="28"/>
      <c r="HP121" s="28"/>
      <c r="HQ121" s="28"/>
      <c r="HR121" s="28"/>
      <c r="HS121" s="28"/>
      <c r="HT121" s="28"/>
      <c r="HU121" s="28"/>
      <c r="HV121" s="28"/>
      <c r="HW121" s="28"/>
      <c r="HX121" s="28"/>
      <c r="HY121" s="28"/>
      <c r="HZ121" s="28"/>
      <c r="IA121" s="28"/>
      <c r="IB121" s="28"/>
      <c r="IC121" s="28"/>
      <c r="ID121" s="28"/>
      <c r="IE121" s="28"/>
      <c r="IF121" s="28"/>
      <c r="IG121" s="28"/>
      <c r="IH121" s="28"/>
      <c r="II121" s="28"/>
      <c r="IJ121" s="28"/>
      <c r="IK121" s="28"/>
      <c r="IL121" s="28"/>
      <c r="IM121" s="28"/>
      <c r="IN121" s="28"/>
      <c r="IO121" s="28"/>
      <c r="IP121" s="28"/>
      <c r="IQ121" s="28"/>
      <c r="IR121" s="28"/>
      <c r="IS121" s="28"/>
      <c r="IT121" s="28"/>
      <c r="IU121" s="28"/>
      <c r="IV121" s="28"/>
      <c r="IW121" s="28"/>
      <c r="IX121" s="28"/>
      <c r="IY121" s="28"/>
      <c r="IZ121" s="28"/>
      <c r="JA121" s="28"/>
      <c r="JB121" s="28"/>
      <c r="JC121" s="28"/>
      <c r="JD121" s="28"/>
      <c r="JE121" s="28"/>
      <c r="JF121" s="28"/>
      <c r="JG121" s="28"/>
      <c r="JH121" s="28"/>
      <c r="JI121" s="28"/>
      <c r="JJ121" s="28"/>
      <c r="JK121" s="28"/>
      <c r="JL121" s="28"/>
      <c r="JM121" s="28"/>
      <c r="JN121" s="28"/>
      <c r="JO121" s="28"/>
      <c r="JP121" s="28"/>
      <c r="JQ121" s="28"/>
      <c r="JR121" s="28"/>
      <c r="JS121" s="28"/>
      <c r="JT121" s="62"/>
      <c r="JU121" s="28"/>
      <c r="JV121" s="28"/>
      <c r="JW121" s="28"/>
      <c r="JX121" s="28"/>
      <c r="JY121" s="28"/>
      <c r="JZ121" s="62"/>
      <c r="KA121" s="28"/>
      <c r="KB121" s="28"/>
      <c r="KC121" s="28"/>
      <c r="KD121" s="62"/>
      <c r="KE121" s="28"/>
      <c r="KF121" s="28"/>
      <c r="KG121" s="28"/>
      <c r="KH121" s="28"/>
      <c r="KI121" s="28"/>
      <c r="KJ121" s="28"/>
      <c r="KK121" s="28"/>
      <c r="KL121" s="28"/>
      <c r="KM121" s="28"/>
      <c r="KN121" s="62"/>
      <c r="KO121" s="28"/>
      <c r="KP121" s="28"/>
      <c r="KQ121" s="28"/>
      <c r="KR121" s="28"/>
      <c r="KS121" s="28"/>
      <c r="KT121" s="28"/>
      <c r="KU121" s="28"/>
      <c r="KV121" s="28"/>
      <c r="KW121" s="28"/>
      <c r="KX121" s="28"/>
      <c r="KY121" s="28"/>
      <c r="KZ121" s="28"/>
      <c r="LA121" s="28"/>
      <c r="LB121" s="28"/>
      <c r="LC121" s="28"/>
      <c r="LD121" s="28"/>
      <c r="LE121" s="62"/>
      <c r="LF121" s="28"/>
      <c r="LG121" s="28"/>
      <c r="LH121" s="28"/>
      <c r="LI121" s="28"/>
      <c r="LJ121" s="28"/>
      <c r="LK121" s="110"/>
    </row>
    <row r="122">
      <c r="A122" s="49" t="s">
        <v>302</v>
      </c>
      <c r="B122" s="149"/>
      <c r="C122" s="87"/>
      <c r="D122" s="147"/>
      <c r="E122" s="146"/>
      <c r="F122" s="146"/>
      <c r="G122" s="149"/>
      <c r="H122" s="146"/>
      <c r="I122" s="53"/>
      <c r="J122" s="53"/>
      <c r="K122" s="146"/>
      <c r="L122" s="149"/>
      <c r="M122" s="146"/>
      <c r="N122" s="52"/>
      <c r="O122" s="146"/>
      <c r="P122" s="53"/>
      <c r="Q122" s="146"/>
      <c r="R122" s="146"/>
      <c r="S122" s="146"/>
      <c r="T122" s="53"/>
      <c r="U122" s="27"/>
      <c r="V122" s="28"/>
      <c r="W122" s="28"/>
      <c r="X122" s="195"/>
      <c r="Y122" s="27"/>
      <c r="AB122" s="27"/>
      <c r="AC122" s="27"/>
      <c r="AD122" s="28"/>
      <c r="AE122" s="28"/>
      <c r="AF122" s="28"/>
      <c r="AG122" s="28"/>
      <c r="AH122" s="28"/>
      <c r="AI122" s="28"/>
      <c r="AJ122" s="27"/>
      <c r="AK122" s="28"/>
      <c r="AL122" s="28"/>
      <c r="AM122" s="28"/>
      <c r="AN122" s="28"/>
      <c r="AO122" s="27"/>
      <c r="AP122" s="27"/>
      <c r="AQ122" s="28"/>
      <c r="AR122" s="28"/>
      <c r="AS122" s="28"/>
      <c r="AT122" s="28"/>
      <c r="AU122" s="28"/>
      <c r="AV122" s="62"/>
      <c r="AW122" s="62"/>
      <c r="AX122" s="27"/>
      <c r="AY122" s="27"/>
      <c r="AZ122" s="27"/>
      <c r="BA122" s="28"/>
      <c r="BB122" s="27"/>
      <c r="BC122" s="27"/>
      <c r="BD122" s="27"/>
      <c r="BE122" s="28"/>
      <c r="BF122" s="27"/>
      <c r="BG122" s="28"/>
      <c r="BH122" s="28"/>
      <c r="BI122" s="28"/>
      <c r="BJ122" s="27"/>
      <c r="BK122" s="28"/>
      <c r="BL122" s="28"/>
      <c r="BM122" s="27"/>
      <c r="BN122" s="27"/>
      <c r="BO122" s="28"/>
      <c r="BP122" s="27"/>
      <c r="BQ122" s="28"/>
      <c r="BR122" s="27"/>
      <c r="BS122" s="28"/>
      <c r="BT122" s="28"/>
      <c r="BU122" s="27"/>
      <c r="BV122" s="28"/>
      <c r="BW122" s="27"/>
      <c r="BX122" s="28"/>
      <c r="BY122" s="28"/>
      <c r="BZ122" s="28"/>
      <c r="CA122" s="27"/>
      <c r="CB122" s="28"/>
      <c r="CC122" s="62"/>
      <c r="CD122" s="62"/>
      <c r="CF122" s="49" t="s">
        <v>302</v>
      </c>
      <c r="CG122" s="27"/>
      <c r="CH122" s="28"/>
      <c r="CI122" s="27"/>
      <c r="CJ122" s="28"/>
      <c r="CK122" s="27"/>
      <c r="CL122" s="27"/>
      <c r="CM122" s="27"/>
      <c r="CN122" s="28"/>
      <c r="CO122" s="28"/>
      <c r="CP122" s="28"/>
      <c r="CQ122" s="28"/>
      <c r="CR122" s="28"/>
      <c r="CS122" s="28"/>
      <c r="CT122" s="27"/>
      <c r="CU122" s="28"/>
      <c r="CV122" s="28"/>
      <c r="CW122" s="28"/>
      <c r="CX122" s="27"/>
      <c r="CY122" s="27"/>
      <c r="CZ122" s="28"/>
      <c r="DA122" s="28"/>
      <c r="DB122" s="27"/>
      <c r="DC122" s="28"/>
      <c r="DD122" s="27"/>
      <c r="DE122" s="28"/>
      <c r="DF122" s="28"/>
      <c r="DG122" s="27"/>
      <c r="DH122" s="28"/>
      <c r="DI122" s="27"/>
      <c r="DJ122" s="28"/>
      <c r="DK122" s="28"/>
      <c r="DL122" s="28"/>
      <c r="DM122" s="28"/>
      <c r="DP122" s="64"/>
      <c r="DQ122" s="49" t="s">
        <v>302</v>
      </c>
      <c r="DR122" s="28"/>
      <c r="DS122" s="28"/>
      <c r="DT122" s="28"/>
      <c r="DU122" s="28"/>
      <c r="DV122" s="62"/>
      <c r="DW122" s="28"/>
      <c r="DX122" s="28"/>
      <c r="DY122" s="28"/>
      <c r="DZ122" s="28"/>
      <c r="EA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M122" s="28"/>
      <c r="EN122" s="28"/>
      <c r="EO122" s="28"/>
      <c r="EP122" s="28"/>
      <c r="EQ122" s="28"/>
      <c r="ER122" s="28"/>
      <c r="ES122" s="28"/>
      <c r="ET122" s="28"/>
      <c r="EU122" s="28"/>
      <c r="EV122" s="28"/>
      <c r="EW122" s="28"/>
      <c r="EX122" s="28"/>
      <c r="EY122" s="28"/>
      <c r="EZ122" s="28"/>
      <c r="FA122" s="28"/>
      <c r="FB122" s="28"/>
      <c r="FC122" s="28"/>
      <c r="FD122" s="28"/>
      <c r="FE122" s="28"/>
      <c r="FF122" s="28"/>
      <c r="FG122" s="28"/>
      <c r="FH122" s="28"/>
      <c r="FI122" s="28"/>
      <c r="FJ122" s="28"/>
      <c r="FK122" s="28"/>
      <c r="FL122" s="28"/>
      <c r="FM122" s="28"/>
      <c r="FN122" s="28"/>
      <c r="FO122" s="28"/>
      <c r="FP122" s="28"/>
      <c r="FQ122" s="28"/>
      <c r="FR122" s="28"/>
      <c r="FS122" s="28"/>
      <c r="FT122" s="28"/>
      <c r="FU122" s="28"/>
      <c r="FV122" s="28"/>
      <c r="FW122" s="28"/>
      <c r="FX122" s="28"/>
      <c r="FY122" s="28"/>
      <c r="FZ122" s="28"/>
      <c r="GA122" s="28"/>
      <c r="GB122" s="28"/>
      <c r="GC122" s="28"/>
      <c r="GD122" s="28"/>
      <c r="GE122" s="28"/>
      <c r="GF122" s="28"/>
      <c r="GG122" s="28"/>
      <c r="GH122" s="28"/>
      <c r="GI122" s="28"/>
      <c r="GJ122" s="28"/>
      <c r="GK122" s="28"/>
      <c r="GL122" s="28"/>
      <c r="GM122" s="62"/>
      <c r="GN122" s="28"/>
      <c r="GO122" s="28"/>
      <c r="GP122" s="28"/>
      <c r="GQ122" s="28"/>
      <c r="GR122" s="28"/>
      <c r="GS122" s="28"/>
      <c r="GT122" s="28"/>
      <c r="GU122" s="28"/>
      <c r="GV122" s="28"/>
      <c r="GW122" s="28"/>
      <c r="GX122" s="28"/>
      <c r="GY122" s="28"/>
      <c r="GZ122" s="28"/>
      <c r="HA122" s="28"/>
      <c r="HB122" s="28"/>
      <c r="HC122" s="28"/>
      <c r="HD122" s="28"/>
      <c r="HE122" s="28"/>
      <c r="HF122" s="28"/>
      <c r="HG122" s="28"/>
      <c r="HH122" s="28"/>
      <c r="HI122" s="28"/>
      <c r="HJ122" s="28"/>
      <c r="HK122" s="28"/>
      <c r="HL122" s="28"/>
      <c r="HM122" s="28"/>
      <c r="HN122" s="28"/>
      <c r="HO122" s="28"/>
      <c r="HP122" s="28"/>
      <c r="HQ122" s="28"/>
      <c r="HR122" s="28"/>
      <c r="HS122" s="28"/>
      <c r="HT122" s="28"/>
      <c r="HU122" s="28"/>
      <c r="HV122" s="28"/>
      <c r="HW122" s="28"/>
      <c r="HX122" s="28"/>
      <c r="HY122" s="28"/>
      <c r="HZ122" s="28"/>
      <c r="IA122" s="28"/>
      <c r="IB122" s="28"/>
      <c r="IC122" s="28"/>
      <c r="ID122" s="28"/>
      <c r="IE122" s="28"/>
      <c r="IF122" s="28"/>
      <c r="IG122" s="28"/>
      <c r="IH122" s="28"/>
      <c r="II122" s="28"/>
      <c r="IJ122" s="28"/>
      <c r="IK122" s="28"/>
      <c r="IL122" s="28"/>
      <c r="IM122" s="28"/>
      <c r="IN122" s="28"/>
      <c r="IO122" s="28"/>
      <c r="IP122" s="28"/>
      <c r="IQ122" s="28"/>
      <c r="IR122" s="28"/>
      <c r="IS122" s="28"/>
      <c r="IT122" s="28"/>
      <c r="IU122" s="28"/>
      <c r="IV122" s="28"/>
      <c r="IW122" s="28"/>
      <c r="IX122" s="28"/>
      <c r="IY122" s="28"/>
      <c r="IZ122" s="28"/>
      <c r="JA122" s="28"/>
      <c r="JB122" s="28"/>
      <c r="JC122" s="28"/>
      <c r="JD122" s="28"/>
      <c r="JE122" s="28"/>
      <c r="JF122" s="28"/>
      <c r="JG122" s="28"/>
      <c r="JH122" s="28"/>
      <c r="JI122" s="28"/>
      <c r="JJ122" s="28"/>
      <c r="JK122" s="28"/>
      <c r="JL122" s="28"/>
      <c r="JM122" s="28"/>
      <c r="JN122" s="28"/>
      <c r="JO122" s="28"/>
      <c r="JP122" s="28"/>
      <c r="JQ122" s="28"/>
      <c r="JR122" s="28"/>
      <c r="JS122" s="28"/>
      <c r="JT122" s="62"/>
      <c r="JU122" s="28"/>
      <c r="JV122" s="28"/>
      <c r="JW122" s="28"/>
      <c r="JX122" s="28"/>
      <c r="JY122" s="28"/>
      <c r="JZ122" s="62"/>
      <c r="KA122" s="28"/>
      <c r="KB122" s="28"/>
      <c r="KC122" s="28"/>
      <c r="KD122" s="62"/>
      <c r="KE122" s="28"/>
      <c r="KF122" s="28"/>
      <c r="KG122" s="28"/>
      <c r="KH122" s="28"/>
      <c r="KI122" s="28"/>
      <c r="KJ122" s="28"/>
      <c r="KK122" s="28"/>
      <c r="KL122" s="28"/>
      <c r="KM122" s="28"/>
      <c r="KN122" s="62"/>
      <c r="KO122" s="28"/>
      <c r="KP122" s="28"/>
      <c r="KQ122" s="28"/>
      <c r="KR122" s="28"/>
      <c r="KS122" s="28"/>
      <c r="KT122" s="28"/>
      <c r="KU122" s="28"/>
      <c r="KV122" s="28"/>
      <c r="KW122" s="28"/>
      <c r="KX122" s="28"/>
      <c r="KY122" s="28"/>
      <c r="KZ122" s="28"/>
      <c r="LA122" s="28"/>
      <c r="LB122" s="28"/>
      <c r="LC122" s="28"/>
      <c r="LD122" s="28"/>
      <c r="LE122" s="62"/>
      <c r="LF122" s="28"/>
      <c r="LG122" s="28"/>
      <c r="LH122" s="28"/>
      <c r="LI122" s="28"/>
      <c r="LJ122" s="28"/>
      <c r="LK122" s="110"/>
    </row>
    <row r="123">
      <c r="A123" s="49" t="s">
        <v>304</v>
      </c>
      <c r="B123" s="149"/>
      <c r="C123" s="87"/>
      <c r="D123" s="147"/>
      <c r="E123" s="146"/>
      <c r="F123" s="146"/>
      <c r="G123" s="149"/>
      <c r="H123" s="146"/>
      <c r="I123" s="53"/>
      <c r="J123" s="53"/>
      <c r="K123" s="146"/>
      <c r="L123" s="149"/>
      <c r="M123" s="146"/>
      <c r="N123" s="52"/>
      <c r="O123" s="146"/>
      <c r="P123" s="53"/>
      <c r="Q123" s="146"/>
      <c r="R123" s="146"/>
      <c r="S123" s="146"/>
      <c r="T123" s="53"/>
      <c r="U123" s="27"/>
      <c r="V123" s="28"/>
      <c r="W123" s="28"/>
      <c r="X123" s="195"/>
      <c r="Y123" s="27"/>
      <c r="AB123" s="27"/>
      <c r="AC123" s="27"/>
      <c r="AD123" s="28"/>
      <c r="AE123" s="28"/>
      <c r="AF123" s="28"/>
      <c r="AG123" s="28"/>
      <c r="AH123" s="28"/>
      <c r="AI123" s="28"/>
      <c r="AJ123" s="27"/>
      <c r="AK123" s="28"/>
      <c r="AL123" s="28"/>
      <c r="AM123" s="28"/>
      <c r="AN123" s="28"/>
      <c r="AO123" s="27"/>
      <c r="AP123" s="27"/>
      <c r="AQ123" s="28"/>
      <c r="AR123" s="28"/>
      <c r="AS123" s="28"/>
      <c r="AT123" s="28"/>
      <c r="AU123" s="28"/>
      <c r="AV123" s="62"/>
      <c r="AW123" s="62"/>
      <c r="AX123" s="27"/>
      <c r="AY123" s="27"/>
      <c r="AZ123" s="27"/>
      <c r="BA123" s="28"/>
      <c r="BB123" s="27"/>
      <c r="BC123" s="27"/>
      <c r="BD123" s="27"/>
      <c r="BE123" s="28"/>
      <c r="BF123" s="27"/>
      <c r="BG123" s="28"/>
      <c r="BH123" s="28"/>
      <c r="BI123" s="28"/>
      <c r="BJ123" s="27"/>
      <c r="BK123" s="28"/>
      <c r="BL123" s="28"/>
      <c r="BM123" s="27"/>
      <c r="BN123" s="27"/>
      <c r="BO123" s="28"/>
      <c r="BP123" s="27"/>
      <c r="BQ123" s="28"/>
      <c r="BR123" s="27"/>
      <c r="BS123" s="28"/>
      <c r="BT123" s="28"/>
      <c r="BU123" s="27"/>
      <c r="BV123" s="28"/>
      <c r="BW123" s="27"/>
      <c r="BX123" s="28"/>
      <c r="BY123" s="28"/>
      <c r="BZ123" s="28"/>
      <c r="CA123" s="27"/>
      <c r="CB123" s="28"/>
      <c r="CC123" s="62"/>
      <c r="CD123" s="62"/>
      <c r="CF123" s="49" t="s">
        <v>304</v>
      </c>
      <c r="CG123" s="27"/>
      <c r="CH123" s="28"/>
      <c r="CI123" s="27"/>
      <c r="CJ123" s="28"/>
      <c r="CK123" s="27"/>
      <c r="CL123" s="27"/>
      <c r="CM123" s="27"/>
      <c r="CN123" s="28"/>
      <c r="CO123" s="28"/>
      <c r="CP123" s="28"/>
      <c r="CQ123" s="28"/>
      <c r="CR123" s="28"/>
      <c r="CS123" s="28"/>
      <c r="CT123" s="27"/>
      <c r="CU123" s="28"/>
      <c r="CV123" s="28"/>
      <c r="CW123" s="28"/>
      <c r="CX123" s="27"/>
      <c r="CY123" s="27"/>
      <c r="CZ123" s="28"/>
      <c r="DA123" s="28"/>
      <c r="DB123" s="27"/>
      <c r="DC123" s="28"/>
      <c r="DD123" s="27"/>
      <c r="DE123" s="28"/>
      <c r="DF123" s="28"/>
      <c r="DG123" s="27"/>
      <c r="DH123" s="28"/>
      <c r="DI123" s="27"/>
      <c r="DJ123" s="28"/>
      <c r="DK123" s="28"/>
      <c r="DL123" s="28"/>
      <c r="DM123" s="28"/>
      <c r="DP123" s="64"/>
      <c r="DQ123" s="49" t="s">
        <v>304</v>
      </c>
      <c r="DR123" s="28"/>
      <c r="DS123" s="28"/>
      <c r="DT123" s="28"/>
      <c r="DU123" s="28"/>
      <c r="DV123" s="62"/>
      <c r="DW123" s="28"/>
      <c r="DX123" s="28"/>
      <c r="DY123" s="28"/>
      <c r="DZ123" s="28"/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  <c r="EP123" s="28"/>
      <c r="EQ123" s="28"/>
      <c r="ER123" s="28"/>
      <c r="ES123" s="28"/>
      <c r="ET123" s="28"/>
      <c r="EU123" s="28"/>
      <c r="EV123" s="28"/>
      <c r="EW123" s="28"/>
      <c r="EX123" s="28"/>
      <c r="EY123" s="28"/>
      <c r="EZ123" s="28"/>
      <c r="FA123" s="28"/>
      <c r="FB123" s="28"/>
      <c r="FC123" s="28"/>
      <c r="FD123" s="28"/>
      <c r="FE123" s="28"/>
      <c r="FF123" s="28"/>
      <c r="FG123" s="28"/>
      <c r="FH123" s="28"/>
      <c r="FI123" s="28"/>
      <c r="FJ123" s="28"/>
      <c r="FK123" s="28"/>
      <c r="FL123" s="28"/>
      <c r="FM123" s="28"/>
      <c r="FN123" s="28"/>
      <c r="FO123" s="28"/>
      <c r="FP123" s="28"/>
      <c r="FQ123" s="28"/>
      <c r="FR123" s="28"/>
      <c r="FS123" s="28"/>
      <c r="FT123" s="28"/>
      <c r="FU123" s="28"/>
      <c r="FV123" s="28"/>
      <c r="FW123" s="28"/>
      <c r="FX123" s="28"/>
      <c r="FY123" s="28"/>
      <c r="FZ123" s="28"/>
      <c r="GA123" s="28"/>
      <c r="GB123" s="28"/>
      <c r="GC123" s="28"/>
      <c r="GD123" s="28"/>
      <c r="GE123" s="28"/>
      <c r="GF123" s="28"/>
      <c r="GG123" s="28"/>
      <c r="GH123" s="28"/>
      <c r="GI123" s="28"/>
      <c r="GJ123" s="28"/>
      <c r="GK123" s="28"/>
      <c r="GL123" s="28"/>
      <c r="GM123" s="62"/>
      <c r="GN123" s="28"/>
      <c r="GO123" s="28"/>
      <c r="GP123" s="28"/>
      <c r="GQ123" s="28"/>
      <c r="GR123" s="28"/>
      <c r="GS123" s="28"/>
      <c r="GT123" s="28"/>
      <c r="GU123" s="28"/>
      <c r="GV123" s="28"/>
      <c r="GW123" s="28"/>
      <c r="GX123" s="28"/>
      <c r="GY123" s="28"/>
      <c r="GZ123" s="28"/>
      <c r="HA123" s="28"/>
      <c r="HB123" s="28"/>
      <c r="HC123" s="28"/>
      <c r="HD123" s="28"/>
      <c r="HE123" s="28"/>
      <c r="HF123" s="28"/>
      <c r="HG123" s="28"/>
      <c r="HH123" s="28"/>
      <c r="HI123" s="28"/>
      <c r="HJ123" s="28"/>
      <c r="HK123" s="28"/>
      <c r="HL123" s="28"/>
      <c r="HM123" s="28"/>
      <c r="HN123" s="28"/>
      <c r="HO123" s="28"/>
      <c r="HP123" s="28"/>
      <c r="HQ123" s="28"/>
      <c r="HR123" s="28"/>
      <c r="HS123" s="28"/>
      <c r="HT123" s="28"/>
      <c r="HU123" s="28"/>
      <c r="HV123" s="28"/>
      <c r="HW123" s="28"/>
      <c r="HX123" s="28"/>
      <c r="HY123" s="28"/>
      <c r="HZ123" s="28"/>
      <c r="IA123" s="28"/>
      <c r="IB123" s="28"/>
      <c r="IC123" s="28"/>
      <c r="ID123" s="28"/>
      <c r="IE123" s="28"/>
      <c r="IF123" s="28"/>
      <c r="IG123" s="28"/>
      <c r="IH123" s="28"/>
      <c r="II123" s="28"/>
      <c r="IJ123" s="28"/>
      <c r="IK123" s="28"/>
      <c r="IL123" s="28"/>
      <c r="IM123" s="28"/>
      <c r="IN123" s="28"/>
      <c r="IO123" s="28"/>
      <c r="IP123" s="28"/>
      <c r="IQ123" s="28"/>
      <c r="IR123" s="28"/>
      <c r="IS123" s="28"/>
      <c r="IT123" s="28"/>
      <c r="IU123" s="28"/>
      <c r="IV123" s="28"/>
      <c r="IW123" s="28"/>
      <c r="IX123" s="28"/>
      <c r="IY123" s="28"/>
      <c r="IZ123" s="28"/>
      <c r="JA123" s="28"/>
      <c r="JB123" s="28"/>
      <c r="JC123" s="28"/>
      <c r="JD123" s="28"/>
      <c r="JE123" s="28"/>
      <c r="JF123" s="28"/>
      <c r="JG123" s="28"/>
      <c r="JH123" s="28"/>
      <c r="JI123" s="28"/>
      <c r="JJ123" s="28"/>
      <c r="JK123" s="28"/>
      <c r="JL123" s="28"/>
      <c r="JM123" s="28"/>
      <c r="JN123" s="28"/>
      <c r="JO123" s="28"/>
      <c r="JP123" s="28"/>
      <c r="JQ123" s="28"/>
      <c r="JR123" s="28"/>
      <c r="JS123" s="28"/>
      <c r="JT123" s="62"/>
      <c r="JU123" s="28"/>
      <c r="JV123" s="28"/>
      <c r="JW123" s="28"/>
      <c r="JX123" s="28"/>
      <c r="JY123" s="28"/>
      <c r="JZ123" s="62"/>
      <c r="KA123" s="28"/>
      <c r="KB123" s="28"/>
      <c r="KC123" s="28"/>
      <c r="KD123" s="62"/>
      <c r="KE123" s="28"/>
      <c r="KF123" s="28"/>
      <c r="KG123" s="28"/>
      <c r="KH123" s="28"/>
      <c r="KI123" s="28"/>
      <c r="KJ123" s="28"/>
      <c r="KK123" s="28"/>
      <c r="KL123" s="28"/>
      <c r="KM123" s="28"/>
      <c r="KN123" s="62"/>
      <c r="KO123" s="28"/>
      <c r="KP123" s="28"/>
      <c r="KQ123" s="28"/>
      <c r="KR123" s="28"/>
      <c r="KS123" s="28"/>
      <c r="KT123" s="28"/>
      <c r="KU123" s="28"/>
      <c r="KV123" s="28"/>
      <c r="KW123" s="28"/>
      <c r="KX123" s="28"/>
      <c r="KY123" s="28"/>
      <c r="KZ123" s="28"/>
      <c r="LA123" s="28"/>
      <c r="LB123" s="28"/>
      <c r="LC123" s="28"/>
      <c r="LD123" s="28"/>
      <c r="LE123" s="62"/>
      <c r="LF123" s="28"/>
      <c r="LG123" s="28"/>
      <c r="LH123" s="28"/>
      <c r="LI123" s="28"/>
      <c r="LJ123" s="28"/>
      <c r="LK123" s="110"/>
    </row>
    <row r="124">
      <c r="A124" s="49" t="s">
        <v>313</v>
      </c>
      <c r="B124" s="149"/>
      <c r="C124" s="87"/>
      <c r="D124" s="147"/>
      <c r="E124" s="146"/>
      <c r="F124" s="146"/>
      <c r="G124" s="149"/>
      <c r="H124" s="146"/>
      <c r="I124" s="53"/>
      <c r="J124" s="53"/>
      <c r="K124" s="146"/>
      <c r="L124" s="149"/>
      <c r="M124" s="146"/>
      <c r="N124" s="52"/>
      <c r="O124" s="146"/>
      <c r="P124" s="53"/>
      <c r="Q124" s="146"/>
      <c r="R124" s="146"/>
      <c r="S124" s="146"/>
      <c r="T124" s="53"/>
      <c r="U124" s="27"/>
      <c r="V124" s="28"/>
      <c r="W124" s="28"/>
      <c r="X124" s="195"/>
      <c r="Y124" s="27"/>
      <c r="AB124" s="27"/>
      <c r="AC124" s="27"/>
      <c r="AD124" s="28"/>
      <c r="AE124" s="28"/>
      <c r="AF124" s="28"/>
      <c r="AG124" s="28"/>
      <c r="AH124" s="28"/>
      <c r="AI124" s="28"/>
      <c r="AJ124" s="27"/>
      <c r="AK124" s="28"/>
      <c r="AL124" s="28"/>
      <c r="AM124" s="28"/>
      <c r="AN124" s="28"/>
      <c r="AO124" s="27"/>
      <c r="AP124" s="27"/>
      <c r="AQ124" s="28"/>
      <c r="AR124" s="28"/>
      <c r="AS124" s="28"/>
      <c r="AT124" s="28"/>
      <c r="AU124" s="28"/>
      <c r="AV124" s="62"/>
      <c r="AW124" s="62"/>
      <c r="AX124" s="27"/>
      <c r="AY124" s="27"/>
      <c r="AZ124" s="27"/>
      <c r="BA124" s="28"/>
      <c r="BB124" s="27"/>
      <c r="BC124" s="27"/>
      <c r="BD124" s="27"/>
      <c r="BE124" s="28"/>
      <c r="BF124" s="27"/>
      <c r="BG124" s="28"/>
      <c r="BH124" s="28"/>
      <c r="BI124" s="28"/>
      <c r="BJ124" s="27"/>
      <c r="BK124" s="28"/>
      <c r="BL124" s="28"/>
      <c r="BM124" s="27"/>
      <c r="BN124" s="27"/>
      <c r="BO124" s="28"/>
      <c r="BP124" s="27"/>
      <c r="BQ124" s="28"/>
      <c r="BR124" s="27"/>
      <c r="BS124" s="28"/>
      <c r="BT124" s="28"/>
      <c r="BU124" s="27"/>
      <c r="BV124" s="28"/>
      <c r="BW124" s="27"/>
      <c r="BX124" s="28"/>
      <c r="BY124" s="28"/>
      <c r="BZ124" s="28"/>
      <c r="CA124" s="27"/>
      <c r="CB124" s="28"/>
      <c r="CC124" s="62"/>
      <c r="CD124" s="62"/>
      <c r="CF124" s="49" t="s">
        <v>313</v>
      </c>
      <c r="CG124" s="27"/>
      <c r="CH124" s="98"/>
      <c r="CI124" s="98"/>
      <c r="CJ124" s="98"/>
      <c r="CK124" s="98"/>
      <c r="CL124" s="27"/>
      <c r="CM124" s="27"/>
      <c r="CN124" s="98"/>
      <c r="CO124" s="98"/>
      <c r="CP124" s="98"/>
      <c r="CQ124" s="98"/>
      <c r="CR124" s="98"/>
      <c r="CS124" s="98"/>
      <c r="CT124" s="98"/>
      <c r="CU124" s="98"/>
      <c r="CV124" s="98"/>
      <c r="CW124" s="98"/>
      <c r="CX124" s="98"/>
      <c r="CY124" s="98"/>
      <c r="CZ124" s="98"/>
      <c r="DA124" s="98"/>
      <c r="DB124" s="27"/>
      <c r="DC124" s="98"/>
      <c r="DD124" s="98"/>
      <c r="DE124" s="98"/>
      <c r="DF124" s="98"/>
      <c r="DG124" s="27"/>
      <c r="DH124" s="98"/>
      <c r="DI124" s="98"/>
      <c r="DJ124" s="98"/>
      <c r="DK124" s="98"/>
      <c r="DL124" s="98"/>
      <c r="DM124" s="98"/>
      <c r="DP124" s="64"/>
      <c r="DQ124" s="49" t="s">
        <v>313</v>
      </c>
      <c r="DR124" s="28"/>
      <c r="DS124" s="28"/>
      <c r="DT124" s="28"/>
      <c r="DU124" s="28"/>
      <c r="DV124" s="62"/>
      <c r="DW124" s="28"/>
      <c r="DX124" s="28"/>
      <c r="DY124" s="28"/>
      <c r="DZ124" s="28"/>
      <c r="EA124" s="28"/>
      <c r="EB124" s="28"/>
      <c r="EC124" s="28"/>
      <c r="ED124" s="28"/>
      <c r="EE124" s="28"/>
      <c r="EF124" s="28"/>
      <c r="EG124" s="28"/>
      <c r="EH124" s="28"/>
      <c r="EI124" s="28"/>
      <c r="EJ124" s="28"/>
      <c r="EK124" s="28"/>
      <c r="EL124" s="28"/>
      <c r="EM124" s="28"/>
      <c r="EN124" s="28"/>
      <c r="EO124" s="28"/>
      <c r="EP124" s="28"/>
      <c r="EQ124" s="28"/>
      <c r="ER124" s="28"/>
      <c r="ES124" s="28"/>
      <c r="ET124" s="28"/>
      <c r="EU124" s="28"/>
      <c r="EV124" s="28"/>
      <c r="EW124" s="28"/>
      <c r="EX124" s="28"/>
      <c r="EY124" s="28"/>
      <c r="EZ124" s="28"/>
      <c r="FA124" s="28"/>
      <c r="FB124" s="28"/>
      <c r="FC124" s="28"/>
      <c r="FD124" s="28"/>
      <c r="FE124" s="28"/>
      <c r="FF124" s="28"/>
      <c r="FG124" s="28"/>
      <c r="FH124" s="28"/>
      <c r="FI124" s="28"/>
      <c r="FJ124" s="28"/>
      <c r="FK124" s="28"/>
      <c r="FL124" s="28"/>
      <c r="FM124" s="28"/>
      <c r="FN124" s="28"/>
      <c r="FO124" s="28"/>
      <c r="FP124" s="28"/>
      <c r="FQ124" s="28"/>
      <c r="FR124" s="28"/>
      <c r="FS124" s="28"/>
      <c r="FT124" s="28"/>
      <c r="FU124" s="28"/>
      <c r="FV124" s="28"/>
      <c r="FW124" s="28"/>
      <c r="FX124" s="28"/>
      <c r="FY124" s="28"/>
      <c r="FZ124" s="28"/>
      <c r="GA124" s="28"/>
      <c r="GB124" s="28"/>
      <c r="GC124" s="28"/>
      <c r="GD124" s="28"/>
      <c r="GE124" s="28"/>
      <c r="GF124" s="28"/>
      <c r="GG124" s="28"/>
      <c r="GH124" s="28"/>
      <c r="GI124" s="28"/>
      <c r="GJ124" s="28"/>
      <c r="GK124" s="28"/>
      <c r="GL124" s="28"/>
      <c r="GM124" s="62"/>
      <c r="GN124" s="28"/>
      <c r="GO124" s="28"/>
      <c r="GP124" s="28"/>
      <c r="GQ124" s="27"/>
      <c r="GR124" s="27"/>
      <c r="GS124" s="27"/>
      <c r="GT124" s="27"/>
      <c r="GU124" s="27"/>
      <c r="GV124" s="27"/>
      <c r="GW124" s="27"/>
      <c r="GX124" s="27"/>
      <c r="GY124" s="27"/>
      <c r="GZ124" s="27"/>
      <c r="HA124" s="27"/>
      <c r="HB124" s="27"/>
      <c r="HC124" s="27"/>
      <c r="HD124" s="27"/>
      <c r="HE124" s="27"/>
      <c r="HF124" s="27"/>
      <c r="HG124" s="27"/>
      <c r="HH124" s="27"/>
      <c r="HI124" s="27"/>
      <c r="HJ124" s="27"/>
      <c r="HK124" s="27"/>
      <c r="HL124" s="27"/>
      <c r="HM124" s="27"/>
      <c r="HN124" s="27"/>
      <c r="HO124" s="27"/>
      <c r="HP124" s="27"/>
      <c r="HQ124" s="27"/>
      <c r="HR124" s="27"/>
      <c r="HS124" s="27"/>
      <c r="HT124" s="27"/>
      <c r="HU124" s="27"/>
      <c r="HV124" s="27"/>
      <c r="HW124" s="27"/>
      <c r="HX124" s="27"/>
      <c r="HY124" s="27"/>
      <c r="HZ124" s="27"/>
      <c r="IA124" s="27"/>
      <c r="IB124" s="27"/>
      <c r="IC124" s="27"/>
      <c r="ID124" s="27"/>
      <c r="IE124" s="27"/>
      <c r="IF124" s="27"/>
      <c r="IG124" s="27"/>
      <c r="IH124" s="27"/>
      <c r="II124" s="27"/>
      <c r="IJ124" s="27"/>
      <c r="IK124" s="27"/>
      <c r="IL124" s="27"/>
      <c r="IM124" s="27"/>
      <c r="IN124" s="27"/>
      <c r="IO124" s="27"/>
      <c r="IP124" s="27"/>
      <c r="IQ124" s="27"/>
      <c r="IR124" s="27"/>
      <c r="IS124" s="27"/>
      <c r="IT124" s="27"/>
      <c r="IU124" s="27"/>
      <c r="IV124" s="27"/>
      <c r="IW124" s="27"/>
      <c r="IX124" s="27"/>
      <c r="IY124" s="27"/>
      <c r="IZ124" s="27"/>
      <c r="JA124" s="27"/>
      <c r="JB124" s="27"/>
      <c r="JC124" s="27"/>
      <c r="JD124" s="27"/>
      <c r="JE124" s="27"/>
      <c r="JF124" s="27"/>
      <c r="JG124" s="27"/>
      <c r="JH124" s="27"/>
      <c r="JI124" s="27"/>
      <c r="JJ124" s="27"/>
      <c r="JK124" s="27"/>
      <c r="JL124" s="27"/>
      <c r="JM124" s="27"/>
      <c r="JN124" s="27"/>
      <c r="JO124" s="27"/>
      <c r="JP124" s="27"/>
      <c r="JQ124" s="27"/>
      <c r="JR124" s="27"/>
      <c r="JS124" s="27"/>
      <c r="JT124" s="27"/>
      <c r="JU124" s="27"/>
      <c r="JV124" s="27"/>
      <c r="JW124" s="27"/>
      <c r="JX124" s="27"/>
      <c r="JY124" s="27"/>
      <c r="JZ124" s="27"/>
      <c r="KA124" s="27"/>
      <c r="KB124" s="27"/>
      <c r="KC124" s="27"/>
      <c r="KD124" s="27"/>
      <c r="KE124" s="27"/>
      <c r="KF124" s="27"/>
      <c r="KG124" s="27"/>
      <c r="KH124" s="27"/>
      <c r="KI124" s="27"/>
      <c r="KJ124" s="27"/>
      <c r="KK124" s="27"/>
      <c r="KL124" s="27"/>
      <c r="KM124" s="27"/>
      <c r="KN124" s="27"/>
      <c r="KO124" s="27"/>
      <c r="KP124" s="27"/>
      <c r="KQ124" s="27"/>
      <c r="KR124" s="27"/>
      <c r="KS124" s="27"/>
      <c r="KT124" s="27"/>
      <c r="KU124" s="27"/>
      <c r="KV124" s="27"/>
      <c r="KW124" s="27"/>
      <c r="KX124" s="27"/>
      <c r="KY124" s="27"/>
      <c r="KZ124" s="27"/>
      <c r="LA124" s="27"/>
      <c r="LB124" s="27"/>
      <c r="LC124" s="27"/>
      <c r="LD124" s="27"/>
      <c r="LE124" s="27"/>
      <c r="LF124" s="27"/>
      <c r="LG124" s="27"/>
      <c r="LH124" s="27"/>
      <c r="LI124" s="27"/>
      <c r="LJ124" s="27"/>
      <c r="LK124" s="110"/>
    </row>
    <row r="125">
      <c r="A125" s="49" t="s">
        <v>316</v>
      </c>
      <c r="B125" s="149"/>
      <c r="C125" s="87"/>
      <c r="D125" s="147"/>
      <c r="E125" s="146"/>
      <c r="F125" s="146"/>
      <c r="G125" s="149"/>
      <c r="H125" s="146"/>
      <c r="I125" s="53"/>
      <c r="J125" s="53"/>
      <c r="K125" s="146"/>
      <c r="L125" s="149"/>
      <c r="M125" s="146"/>
      <c r="N125" s="52"/>
      <c r="O125" s="146"/>
      <c r="P125" s="53"/>
      <c r="Q125" s="146"/>
      <c r="R125" s="146"/>
      <c r="S125" s="146"/>
      <c r="T125" s="53"/>
      <c r="U125" s="27"/>
      <c r="V125" s="28"/>
      <c r="W125" s="28"/>
      <c r="X125" s="195"/>
      <c r="Y125" s="27"/>
      <c r="AB125" s="27"/>
      <c r="AC125" s="27"/>
      <c r="AD125" s="28"/>
      <c r="AE125" s="28"/>
      <c r="AF125" s="28"/>
      <c r="AG125" s="28"/>
      <c r="AH125" s="28"/>
      <c r="AI125" s="28"/>
      <c r="AJ125" s="27"/>
      <c r="AK125" s="28"/>
      <c r="AL125" s="28"/>
      <c r="AM125" s="28"/>
      <c r="AN125" s="28"/>
      <c r="AO125" s="27"/>
      <c r="AP125" s="27"/>
      <c r="AQ125" s="28"/>
      <c r="AR125" s="28"/>
      <c r="AS125" s="28"/>
      <c r="AT125" s="28"/>
      <c r="AU125" s="28"/>
      <c r="AV125" s="62"/>
      <c r="AW125" s="62"/>
      <c r="AX125" s="27"/>
      <c r="AY125" s="27"/>
      <c r="AZ125" s="27"/>
      <c r="BA125" s="28"/>
      <c r="BB125" s="27"/>
      <c r="BC125" s="27"/>
      <c r="BD125" s="27"/>
      <c r="BE125" s="28"/>
      <c r="BF125" s="27"/>
      <c r="BG125" s="28"/>
      <c r="BH125" s="28"/>
      <c r="BI125" s="28"/>
      <c r="BJ125" s="27"/>
      <c r="BK125" s="28"/>
      <c r="BL125" s="28"/>
      <c r="BM125" s="27"/>
      <c r="BN125" s="27"/>
      <c r="BO125" s="28"/>
      <c r="BP125" s="27"/>
      <c r="BQ125" s="28"/>
      <c r="BR125" s="27"/>
      <c r="BS125" s="28"/>
      <c r="BT125" s="28"/>
      <c r="BU125" s="27"/>
      <c r="BV125" s="28"/>
      <c r="BW125" s="27"/>
      <c r="BX125" s="28"/>
      <c r="BY125" s="28"/>
      <c r="BZ125" s="28"/>
      <c r="CA125" s="27"/>
      <c r="CB125" s="28"/>
      <c r="CC125" s="62"/>
      <c r="CD125" s="62"/>
      <c r="CF125" s="49" t="s">
        <v>316</v>
      </c>
      <c r="CG125" s="27"/>
      <c r="CH125" s="98"/>
      <c r="CI125" s="98"/>
      <c r="CJ125" s="98"/>
      <c r="CK125" s="98"/>
      <c r="CL125" s="27"/>
      <c r="CM125" s="27"/>
      <c r="CN125" s="98"/>
      <c r="CO125" s="98"/>
      <c r="CP125" s="98"/>
      <c r="CQ125" s="98"/>
      <c r="CR125" s="98"/>
      <c r="CS125" s="98"/>
      <c r="CT125" s="98"/>
      <c r="CU125" s="98"/>
      <c r="CV125" s="98"/>
      <c r="CW125" s="98"/>
      <c r="CX125" s="98"/>
      <c r="CY125" s="98"/>
      <c r="CZ125" s="98"/>
      <c r="DA125" s="98"/>
      <c r="DB125" s="27"/>
      <c r="DC125" s="98"/>
      <c r="DD125" s="98"/>
      <c r="DE125" s="98"/>
      <c r="DF125" s="98"/>
      <c r="DG125" s="27"/>
      <c r="DH125" s="98"/>
      <c r="DI125" s="98"/>
      <c r="DJ125" s="98"/>
      <c r="DK125" s="98"/>
      <c r="DL125" s="98"/>
      <c r="DM125" s="98"/>
      <c r="DP125" s="64"/>
      <c r="DQ125" s="49" t="s">
        <v>316</v>
      </c>
      <c r="DR125" s="28"/>
      <c r="DS125" s="28"/>
      <c r="DT125" s="28"/>
      <c r="DU125" s="28"/>
      <c r="DV125" s="62"/>
      <c r="DW125" s="28"/>
      <c r="DX125" s="28"/>
      <c r="DY125" s="28"/>
      <c r="DZ125" s="28"/>
      <c r="EA125" s="28"/>
      <c r="EB125" s="28"/>
      <c r="EC125" s="28"/>
      <c r="ED125" s="28"/>
      <c r="EE125" s="28"/>
      <c r="EF125" s="28"/>
      <c r="EG125" s="28"/>
      <c r="EH125" s="28"/>
      <c r="EI125" s="28"/>
      <c r="EJ125" s="28"/>
      <c r="EK125" s="28"/>
      <c r="EL125" s="28"/>
      <c r="EM125" s="28"/>
      <c r="EN125" s="28"/>
      <c r="EO125" s="28"/>
      <c r="EP125" s="28"/>
      <c r="EQ125" s="28"/>
      <c r="ER125" s="28"/>
      <c r="ES125" s="28"/>
      <c r="ET125" s="28"/>
      <c r="EU125" s="28"/>
      <c r="EV125" s="28"/>
      <c r="EW125" s="28"/>
      <c r="EX125" s="28"/>
      <c r="EY125" s="28"/>
      <c r="EZ125" s="28"/>
      <c r="FA125" s="28"/>
      <c r="FB125" s="28"/>
      <c r="FC125" s="28"/>
      <c r="FD125" s="28"/>
      <c r="FE125" s="28"/>
      <c r="FF125" s="28"/>
      <c r="FG125" s="28"/>
      <c r="FH125" s="27"/>
      <c r="FI125" s="28"/>
      <c r="FJ125" s="28"/>
      <c r="FK125" s="27"/>
      <c r="FL125" s="28"/>
      <c r="FM125" s="28"/>
      <c r="FN125" s="28"/>
      <c r="FO125" s="28"/>
      <c r="FP125" s="28"/>
      <c r="FQ125" s="202"/>
      <c r="FR125" s="28"/>
      <c r="FS125" s="28"/>
      <c r="FT125" s="28"/>
      <c r="FU125" s="28"/>
      <c r="FV125" s="28"/>
      <c r="FW125" s="28"/>
      <c r="FX125" s="28"/>
      <c r="FY125" s="28"/>
      <c r="FZ125" s="28"/>
      <c r="GA125" s="28"/>
      <c r="GB125" s="28"/>
      <c r="GC125" s="28"/>
      <c r="GD125" s="28"/>
      <c r="GE125" s="28"/>
      <c r="GF125" s="28"/>
      <c r="GG125" s="28"/>
      <c r="GH125" s="28"/>
      <c r="GI125" s="28"/>
      <c r="GJ125" s="28"/>
      <c r="GK125" s="28"/>
      <c r="GL125" s="28"/>
      <c r="GM125" s="62"/>
      <c r="GN125" s="28"/>
      <c r="GO125" s="28"/>
      <c r="GP125" s="28"/>
      <c r="GQ125" s="28"/>
      <c r="GR125" s="28"/>
      <c r="GS125" s="28"/>
      <c r="GT125" s="28"/>
      <c r="GU125" s="28"/>
      <c r="GV125" s="28"/>
      <c r="GW125" s="28"/>
      <c r="GX125" s="28"/>
      <c r="GY125" s="28"/>
      <c r="GZ125" s="28"/>
      <c r="HA125" s="28"/>
      <c r="HB125" s="28"/>
      <c r="HC125" s="28"/>
      <c r="HD125" s="28"/>
      <c r="HE125" s="28"/>
      <c r="HF125" s="28"/>
      <c r="HG125" s="28"/>
      <c r="HH125" s="28"/>
      <c r="HI125" s="28"/>
      <c r="HJ125" s="28"/>
      <c r="HK125" s="28"/>
      <c r="HL125" s="28"/>
      <c r="HM125" s="28"/>
      <c r="HN125" s="28"/>
      <c r="HO125" s="28"/>
      <c r="HP125" s="28"/>
      <c r="HQ125" s="28"/>
      <c r="HR125" s="28"/>
      <c r="HS125" s="28"/>
      <c r="HT125" s="28"/>
      <c r="HU125" s="28"/>
      <c r="HV125" s="28"/>
      <c r="HW125" s="28"/>
      <c r="HX125" s="28"/>
      <c r="HY125" s="28"/>
      <c r="HZ125" s="28"/>
      <c r="IA125" s="28"/>
      <c r="IB125" s="28"/>
      <c r="IC125" s="28"/>
      <c r="ID125" s="28"/>
      <c r="IE125" s="28"/>
      <c r="IF125" s="28"/>
      <c r="IG125" s="28"/>
      <c r="IH125" s="28"/>
      <c r="II125" s="28"/>
      <c r="IJ125" s="28"/>
      <c r="IK125" s="28"/>
      <c r="IL125" s="28"/>
      <c r="IM125" s="28"/>
      <c r="IN125" s="28"/>
      <c r="IO125" s="28"/>
      <c r="IP125" s="28"/>
      <c r="IQ125" s="28"/>
      <c r="IR125" s="28"/>
      <c r="IS125" s="28"/>
      <c r="IT125" s="28"/>
      <c r="IU125" s="28"/>
      <c r="IV125" s="28"/>
      <c r="IW125" s="28"/>
      <c r="IX125" s="28"/>
      <c r="IY125" s="28"/>
      <c r="IZ125" s="28"/>
      <c r="JA125" s="28"/>
      <c r="JB125" s="28"/>
      <c r="JC125" s="28"/>
      <c r="JD125" s="28"/>
      <c r="JE125" s="28"/>
      <c r="JF125" s="28"/>
      <c r="JG125" s="28"/>
      <c r="JH125" s="28"/>
      <c r="JI125" s="28"/>
      <c r="JJ125" s="28"/>
      <c r="JK125" s="28"/>
      <c r="JL125" s="28"/>
      <c r="JM125" s="28"/>
      <c r="JN125" s="28"/>
      <c r="JO125" s="28"/>
      <c r="JP125" s="28"/>
      <c r="JQ125" s="28"/>
      <c r="JR125" s="28"/>
      <c r="JS125" s="28"/>
      <c r="JT125" s="62"/>
      <c r="JU125" s="28"/>
      <c r="JV125" s="28"/>
      <c r="JW125" s="28"/>
      <c r="JX125" s="28"/>
      <c r="JY125" s="28"/>
      <c r="JZ125" s="62"/>
      <c r="KA125" s="28"/>
      <c r="KB125" s="28"/>
      <c r="KC125" s="28"/>
      <c r="KD125" s="62"/>
      <c r="KE125" s="28"/>
      <c r="KF125" s="28"/>
      <c r="KG125" s="28"/>
      <c r="KH125" s="28"/>
      <c r="KI125" s="28"/>
      <c r="KJ125" s="28"/>
      <c r="KK125" s="28"/>
      <c r="KL125" s="28"/>
      <c r="KM125" s="28"/>
      <c r="KN125" s="62"/>
      <c r="KO125" s="28"/>
      <c r="KP125" s="28"/>
      <c r="KQ125" s="28"/>
      <c r="KR125" s="28"/>
      <c r="KS125" s="28"/>
      <c r="KT125" s="28"/>
      <c r="KU125" s="28"/>
      <c r="KV125" s="28"/>
      <c r="KW125" s="28"/>
      <c r="KX125" s="28"/>
      <c r="KY125" s="28"/>
      <c r="KZ125" s="28"/>
      <c r="LA125" s="28"/>
      <c r="LB125" s="28"/>
      <c r="LC125" s="28"/>
      <c r="LD125" s="28"/>
      <c r="LE125" s="62"/>
      <c r="LF125" s="28"/>
      <c r="LG125" s="28"/>
      <c r="LH125" s="28"/>
      <c r="LI125" s="28"/>
      <c r="LJ125" s="28"/>
      <c r="LK125" s="110"/>
    </row>
    <row r="126">
      <c r="A126" s="49" t="s">
        <v>318</v>
      </c>
      <c r="B126" s="149"/>
      <c r="C126" s="87"/>
      <c r="D126" s="147"/>
      <c r="E126" s="146"/>
      <c r="F126" s="146"/>
      <c r="G126" s="149"/>
      <c r="H126" s="146"/>
      <c r="I126" s="53"/>
      <c r="J126" s="53"/>
      <c r="K126" s="146"/>
      <c r="L126" s="149"/>
      <c r="M126" s="146"/>
      <c r="N126" s="52"/>
      <c r="O126" s="146"/>
      <c r="P126" s="53"/>
      <c r="Q126" s="146"/>
      <c r="R126" s="146"/>
      <c r="S126" s="146"/>
      <c r="T126" s="53"/>
      <c r="U126" s="27"/>
      <c r="V126" s="28"/>
      <c r="W126" s="28"/>
      <c r="X126" s="195"/>
      <c r="Y126" s="27"/>
      <c r="AB126" s="27"/>
      <c r="AC126" s="27"/>
      <c r="AD126" s="28"/>
      <c r="AE126" s="28"/>
      <c r="AF126" s="28"/>
      <c r="AG126" s="28"/>
      <c r="AH126" s="28"/>
      <c r="AI126" s="28"/>
      <c r="AJ126" s="27"/>
      <c r="AK126" s="28"/>
      <c r="AL126" s="28"/>
      <c r="AM126" s="28"/>
      <c r="AN126" s="28"/>
      <c r="AO126" s="27"/>
      <c r="AP126" s="27"/>
      <c r="AQ126" s="28"/>
      <c r="AR126" s="28"/>
      <c r="AS126" s="28"/>
      <c r="AT126" s="28"/>
      <c r="AU126" s="28"/>
      <c r="AV126" s="62"/>
      <c r="AW126" s="62"/>
      <c r="AX126" s="27"/>
      <c r="AY126" s="27"/>
      <c r="AZ126" s="27"/>
      <c r="BA126" s="28"/>
      <c r="BB126" s="27"/>
      <c r="BC126" s="27"/>
      <c r="BD126" s="27"/>
      <c r="BE126" s="28"/>
      <c r="BF126" s="27"/>
      <c r="BG126" s="28"/>
      <c r="BH126" s="28"/>
      <c r="BI126" s="28"/>
      <c r="BJ126" s="27"/>
      <c r="BK126" s="28"/>
      <c r="BL126" s="28"/>
      <c r="BM126" s="27"/>
      <c r="BN126" s="27"/>
      <c r="BO126" s="28"/>
      <c r="BP126" s="27"/>
      <c r="BQ126" s="28"/>
      <c r="BR126" s="27"/>
      <c r="BS126" s="28"/>
      <c r="BT126" s="28"/>
      <c r="BU126" s="27"/>
      <c r="BV126" s="28"/>
      <c r="BW126" s="27"/>
      <c r="BX126" s="28"/>
      <c r="BY126" s="28"/>
      <c r="BZ126" s="28"/>
      <c r="CA126" s="27"/>
      <c r="CB126" s="28"/>
      <c r="CC126" s="62"/>
      <c r="CD126" s="62"/>
      <c r="CF126" s="49" t="s">
        <v>318</v>
      </c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P126" s="64"/>
      <c r="DQ126" s="49" t="s">
        <v>318</v>
      </c>
      <c r="DR126" s="28"/>
      <c r="DS126" s="28"/>
      <c r="DT126" s="28"/>
      <c r="DU126" s="28"/>
      <c r="DV126" s="62"/>
      <c r="DW126" s="28"/>
      <c r="DX126" s="28"/>
      <c r="DY126" s="28"/>
      <c r="DZ126" s="28"/>
      <c r="EA126" s="28"/>
      <c r="EB126" s="28"/>
      <c r="EC126" s="28"/>
      <c r="ED126" s="28"/>
      <c r="EE126" s="28"/>
      <c r="EF126" s="28"/>
      <c r="EG126" s="28"/>
      <c r="EH126" s="28"/>
      <c r="EI126" s="28"/>
      <c r="EJ126" s="28"/>
      <c r="EK126" s="28"/>
      <c r="EL126" s="28"/>
      <c r="EM126" s="28"/>
      <c r="EN126" s="27"/>
      <c r="EO126" s="28"/>
      <c r="EP126" s="28"/>
      <c r="EQ126" s="28"/>
      <c r="ER126" s="28"/>
      <c r="ES126" s="28"/>
      <c r="ET126" s="28"/>
      <c r="EU126" s="28"/>
      <c r="EV126" s="28"/>
      <c r="EW126" s="28"/>
      <c r="EX126" s="28"/>
      <c r="EY126" s="28"/>
      <c r="EZ126" s="28"/>
      <c r="FA126" s="28"/>
      <c r="FB126" s="28"/>
      <c r="FC126" s="28"/>
      <c r="FD126" s="28"/>
      <c r="FE126" s="28"/>
      <c r="FF126" s="28"/>
      <c r="FG126" s="28"/>
      <c r="FH126" s="28"/>
      <c r="FI126" s="28"/>
      <c r="FJ126" s="28"/>
      <c r="FK126" s="28"/>
      <c r="FL126" s="28"/>
      <c r="FM126" s="28"/>
      <c r="FN126" s="28"/>
      <c r="FO126" s="28"/>
      <c r="FP126" s="28"/>
      <c r="FQ126" s="28"/>
      <c r="FR126" s="28"/>
      <c r="FS126" s="28"/>
      <c r="FT126" s="28"/>
      <c r="FU126" s="28"/>
      <c r="FV126" s="28"/>
      <c r="FW126" s="28"/>
      <c r="FX126" s="28"/>
      <c r="FY126" s="28"/>
      <c r="FZ126" s="28"/>
      <c r="GA126" s="28"/>
      <c r="GB126" s="28"/>
      <c r="GC126" s="28"/>
      <c r="GD126" s="28"/>
      <c r="GE126" s="28"/>
      <c r="GF126" s="28"/>
      <c r="GG126" s="28"/>
      <c r="GH126" s="28"/>
      <c r="GI126" s="28"/>
      <c r="GJ126" s="28"/>
      <c r="GK126" s="28"/>
      <c r="GL126" s="28"/>
      <c r="GM126" s="62"/>
      <c r="GN126" s="28"/>
      <c r="GO126" s="28"/>
      <c r="GP126" s="28"/>
      <c r="GQ126" s="28"/>
      <c r="GR126" s="28"/>
      <c r="GS126" s="28"/>
      <c r="GT126" s="28"/>
      <c r="GU126" s="28"/>
      <c r="GV126" s="28"/>
      <c r="GW126" s="28"/>
      <c r="GX126" s="28"/>
      <c r="GY126" s="28"/>
      <c r="GZ126" s="28"/>
      <c r="HA126" s="27"/>
      <c r="HB126" s="27"/>
      <c r="HC126" s="28"/>
      <c r="HD126" s="28"/>
      <c r="HE126" s="28"/>
      <c r="HF126" s="28"/>
      <c r="HG126" s="28"/>
      <c r="HH126" s="28"/>
      <c r="HI126" s="28"/>
      <c r="HJ126" s="28"/>
      <c r="HK126" s="28"/>
      <c r="HL126" s="28"/>
      <c r="HM126" s="28"/>
      <c r="HN126" s="28"/>
      <c r="HO126" s="28"/>
      <c r="HP126" s="28"/>
      <c r="HQ126" s="28"/>
      <c r="HR126" s="28"/>
      <c r="HS126" s="27"/>
      <c r="HT126" s="28"/>
      <c r="HU126" s="28"/>
      <c r="HV126" s="28"/>
      <c r="HW126" s="28"/>
      <c r="HX126" s="28"/>
      <c r="HY126" s="28"/>
      <c r="HZ126" s="28"/>
      <c r="IA126" s="28"/>
      <c r="IB126" s="28"/>
      <c r="IC126" s="28"/>
      <c r="ID126" s="28"/>
      <c r="IE126" s="28"/>
      <c r="IF126" s="28"/>
      <c r="IG126" s="28"/>
      <c r="IH126" s="28"/>
      <c r="II126" s="28"/>
      <c r="IJ126" s="28"/>
      <c r="IK126" s="28"/>
      <c r="IL126" s="28"/>
      <c r="IM126" s="28"/>
      <c r="IN126" s="28"/>
      <c r="IO126" s="28"/>
      <c r="IP126" s="28"/>
      <c r="IQ126" s="28"/>
      <c r="IR126" s="28"/>
      <c r="IS126" s="28"/>
      <c r="IT126" s="28"/>
      <c r="IU126" s="28"/>
      <c r="IV126" s="28"/>
      <c r="IW126" s="28"/>
      <c r="IX126" s="28"/>
      <c r="IY126" s="28"/>
      <c r="IZ126" s="28"/>
      <c r="JA126" s="28"/>
      <c r="JB126" s="28"/>
      <c r="JC126" s="28"/>
      <c r="JD126" s="28"/>
      <c r="JE126" s="28"/>
      <c r="JF126" s="28"/>
      <c r="JG126" s="28"/>
      <c r="JH126" s="28"/>
      <c r="JI126" s="28"/>
      <c r="JJ126" s="28"/>
      <c r="JK126" s="28"/>
      <c r="JL126" s="28"/>
      <c r="JM126" s="28"/>
      <c r="JN126" s="28"/>
      <c r="JO126" s="28"/>
      <c r="JP126" s="28"/>
      <c r="JQ126" s="28"/>
      <c r="JR126" s="28"/>
      <c r="JS126" s="28"/>
      <c r="JT126" s="62"/>
      <c r="JU126" s="28"/>
      <c r="JV126" s="28"/>
      <c r="JW126" s="28"/>
      <c r="JX126" s="28"/>
      <c r="JY126" s="28"/>
      <c r="JZ126" s="62"/>
      <c r="KA126" s="28"/>
      <c r="KB126" s="28"/>
      <c r="KC126" s="28"/>
      <c r="KD126" s="62"/>
      <c r="KE126" s="28"/>
      <c r="KF126" s="28"/>
      <c r="KG126" s="28"/>
      <c r="KH126" s="28"/>
      <c r="KI126" s="28"/>
      <c r="KJ126" s="28"/>
      <c r="KK126" s="28"/>
      <c r="KL126" s="27"/>
      <c r="KM126" s="28"/>
      <c r="KN126" s="62"/>
      <c r="KO126" s="28"/>
      <c r="KP126" s="28"/>
      <c r="KQ126" s="28"/>
      <c r="KR126" s="194"/>
      <c r="KS126" s="28"/>
      <c r="KT126" s="28"/>
      <c r="KU126" s="28"/>
      <c r="KV126" s="28"/>
      <c r="KW126" s="28"/>
      <c r="KX126" s="28"/>
      <c r="KY126" s="28"/>
      <c r="KZ126" s="28"/>
      <c r="LA126" s="28"/>
      <c r="LB126" s="28"/>
      <c r="LC126" s="28"/>
      <c r="LD126" s="28"/>
      <c r="LE126" s="62"/>
      <c r="LF126" s="28"/>
      <c r="LG126" s="28"/>
      <c r="LH126" s="28"/>
      <c r="LI126" s="28"/>
      <c r="LJ126" s="28"/>
      <c r="LK126" s="110"/>
    </row>
    <row r="127">
      <c r="A127" s="49" t="s">
        <v>3</v>
      </c>
      <c r="B127" s="149"/>
      <c r="C127" s="87"/>
      <c r="D127" s="147"/>
      <c r="E127" s="146"/>
      <c r="F127" s="146"/>
      <c r="G127" s="149"/>
      <c r="H127" s="146"/>
      <c r="I127" s="53"/>
      <c r="J127" s="53"/>
      <c r="K127" s="146"/>
      <c r="L127" s="149"/>
      <c r="M127" s="146"/>
      <c r="N127" s="52"/>
      <c r="O127" s="146"/>
      <c r="P127" s="53"/>
      <c r="Q127" s="146"/>
      <c r="R127" s="146"/>
      <c r="S127" s="146"/>
      <c r="T127" s="53"/>
      <c r="U127" s="27"/>
      <c r="V127" s="28"/>
      <c r="W127" s="28"/>
      <c r="X127" s="195"/>
      <c r="Y127" s="27"/>
      <c r="AB127" s="27"/>
      <c r="AC127" s="27"/>
      <c r="AD127" s="28"/>
      <c r="AE127" s="28"/>
      <c r="AF127" s="28"/>
      <c r="AG127" s="28"/>
      <c r="AH127" s="28"/>
      <c r="AI127" s="28"/>
      <c r="AJ127" s="27"/>
      <c r="AK127" s="28"/>
      <c r="AL127" s="28"/>
      <c r="AM127" s="28"/>
      <c r="AN127" s="28"/>
      <c r="AO127" s="27"/>
      <c r="AP127" s="27"/>
      <c r="AQ127" s="28"/>
      <c r="AR127" s="28"/>
      <c r="AS127" s="28"/>
      <c r="AT127" s="28"/>
      <c r="AU127" s="28"/>
      <c r="AV127" s="62"/>
      <c r="AW127" s="62"/>
      <c r="AX127" s="27"/>
      <c r="AY127" s="27"/>
      <c r="AZ127" s="27"/>
      <c r="BA127" s="28"/>
      <c r="BB127" s="27"/>
      <c r="BC127" s="27"/>
      <c r="BD127" s="27"/>
      <c r="BE127" s="28"/>
      <c r="BF127" s="27"/>
      <c r="BG127" s="28"/>
      <c r="BH127" s="28"/>
      <c r="BI127" s="28"/>
      <c r="BJ127" s="27"/>
      <c r="BK127" s="28"/>
      <c r="BL127" s="28"/>
      <c r="BM127" s="27"/>
      <c r="BN127" s="27"/>
      <c r="BO127" s="28"/>
      <c r="BP127" s="27"/>
      <c r="BQ127" s="28"/>
      <c r="BR127" s="27"/>
      <c r="BS127" s="28"/>
      <c r="BT127" s="28"/>
      <c r="BU127" s="27"/>
      <c r="BV127" s="28"/>
      <c r="BW127" s="27"/>
      <c r="BX127" s="28"/>
      <c r="BY127" s="28"/>
      <c r="BZ127" s="28"/>
      <c r="CA127" s="27"/>
      <c r="CB127" s="28"/>
      <c r="CC127" s="62"/>
      <c r="CD127" s="62"/>
      <c r="CF127" s="49" t="s">
        <v>3</v>
      </c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P127" s="64"/>
      <c r="DQ127" s="49" t="s">
        <v>3</v>
      </c>
      <c r="DR127" s="28"/>
      <c r="DS127" s="28"/>
      <c r="DT127" s="28"/>
      <c r="DU127" s="28"/>
      <c r="DV127" s="62"/>
      <c r="DW127" s="28"/>
      <c r="DX127" s="28"/>
      <c r="DY127" s="28"/>
      <c r="DZ127" s="28"/>
      <c r="EA127" s="28"/>
      <c r="EB127" s="28"/>
      <c r="EC127" s="28"/>
      <c r="ED127" s="28"/>
      <c r="EE127" s="28"/>
      <c r="EF127" s="28"/>
      <c r="EG127" s="28"/>
      <c r="EH127" s="28"/>
      <c r="EI127" s="28"/>
      <c r="EJ127" s="28"/>
      <c r="EK127" s="28"/>
      <c r="EL127" s="28"/>
      <c r="EM127" s="28"/>
      <c r="EN127" s="28"/>
      <c r="EO127" s="28"/>
      <c r="EP127" s="28"/>
      <c r="EQ127" s="28"/>
      <c r="ER127" s="28"/>
      <c r="ES127" s="28"/>
      <c r="ET127" s="28"/>
      <c r="EU127" s="28"/>
      <c r="EV127" s="28"/>
      <c r="EW127" s="28"/>
      <c r="EX127" s="28"/>
      <c r="EY127" s="28"/>
      <c r="EZ127" s="28"/>
      <c r="FA127" s="28"/>
      <c r="FB127" s="28"/>
      <c r="FC127" s="28"/>
      <c r="FD127" s="28"/>
      <c r="FE127" s="28"/>
      <c r="FF127" s="28"/>
      <c r="FG127" s="28"/>
      <c r="FH127" s="28"/>
      <c r="FI127" s="28"/>
      <c r="FJ127" s="28"/>
      <c r="FK127" s="28"/>
      <c r="FL127" s="28"/>
      <c r="FM127" s="28"/>
      <c r="FN127" s="28"/>
      <c r="FO127" s="28"/>
      <c r="FP127" s="28"/>
      <c r="FQ127" s="28"/>
      <c r="FR127" s="28"/>
      <c r="FS127" s="28"/>
      <c r="FT127" s="28"/>
      <c r="FU127" s="28"/>
      <c r="FV127" s="28"/>
      <c r="FW127" s="28"/>
      <c r="FX127" s="28"/>
      <c r="FY127" s="28"/>
      <c r="FZ127" s="28"/>
      <c r="GA127" s="28"/>
      <c r="GB127" s="28"/>
      <c r="GC127" s="28"/>
      <c r="GD127" s="28"/>
      <c r="GE127" s="28"/>
      <c r="GF127" s="28"/>
      <c r="GG127" s="28"/>
      <c r="GH127" s="28"/>
      <c r="GI127" s="28"/>
      <c r="GJ127" s="28"/>
      <c r="GK127" s="28"/>
      <c r="GL127" s="28"/>
      <c r="GM127" s="62"/>
      <c r="GN127" s="28"/>
      <c r="GO127" s="28"/>
      <c r="GP127" s="28"/>
      <c r="GQ127" s="28"/>
      <c r="GR127" s="28"/>
      <c r="GS127" s="28"/>
      <c r="GT127" s="28"/>
      <c r="GU127" s="28"/>
      <c r="GV127" s="28"/>
      <c r="GW127" s="28"/>
      <c r="GX127" s="28"/>
      <c r="GY127" s="28"/>
      <c r="GZ127" s="28"/>
      <c r="HA127" s="28"/>
      <c r="HB127" s="28"/>
      <c r="HC127" s="28"/>
      <c r="HD127" s="28"/>
      <c r="HE127" s="28"/>
      <c r="HF127" s="28"/>
      <c r="HG127" s="28"/>
      <c r="HH127" s="28"/>
      <c r="HI127" s="28"/>
      <c r="HJ127" s="28"/>
      <c r="HK127" s="28"/>
      <c r="HL127" s="28"/>
      <c r="HM127" s="28"/>
      <c r="HN127" s="28"/>
      <c r="HO127" s="28"/>
      <c r="HP127" s="28"/>
      <c r="HQ127" s="28"/>
      <c r="HR127" s="28"/>
      <c r="HS127" s="28"/>
      <c r="HT127" s="28"/>
      <c r="HU127" s="28"/>
      <c r="HV127" s="28"/>
      <c r="HW127" s="28"/>
      <c r="HX127" s="28"/>
      <c r="HY127" s="28"/>
      <c r="HZ127" s="28"/>
      <c r="IA127" s="28"/>
      <c r="IB127" s="28"/>
      <c r="IC127" s="28"/>
      <c r="ID127" s="28"/>
      <c r="IE127" s="28"/>
      <c r="IF127" s="28"/>
      <c r="IG127" s="28"/>
      <c r="IH127" s="28"/>
      <c r="II127" s="28"/>
      <c r="IJ127" s="28"/>
      <c r="IK127" s="28"/>
      <c r="IL127" s="28"/>
      <c r="IM127" s="28"/>
      <c r="IN127" s="28"/>
      <c r="IO127" s="28"/>
      <c r="IP127" s="28"/>
      <c r="IQ127" s="28"/>
      <c r="IR127" s="28"/>
      <c r="IS127" s="28"/>
      <c r="IT127" s="28"/>
      <c r="IU127" s="28"/>
      <c r="IV127" s="28"/>
      <c r="IW127" s="28"/>
      <c r="IX127" s="28"/>
      <c r="IY127" s="28"/>
      <c r="IZ127" s="28"/>
      <c r="JA127" s="28"/>
      <c r="JB127" s="28"/>
      <c r="JC127" s="28"/>
      <c r="JD127" s="28"/>
      <c r="JE127" s="28"/>
      <c r="JF127" s="28"/>
      <c r="JG127" s="28"/>
      <c r="JH127" s="28"/>
      <c r="JI127" s="28"/>
      <c r="JJ127" s="28"/>
      <c r="JK127" s="28"/>
      <c r="JL127" s="28"/>
      <c r="JM127" s="28"/>
      <c r="JN127" s="28"/>
      <c r="JO127" s="28"/>
      <c r="JP127" s="28"/>
      <c r="JQ127" s="28"/>
      <c r="JR127" s="28"/>
      <c r="JS127" s="28"/>
      <c r="JT127" s="62"/>
      <c r="JU127" s="28"/>
      <c r="JV127" s="28"/>
      <c r="JW127" s="28"/>
      <c r="JX127" s="28"/>
      <c r="JY127" s="28"/>
      <c r="JZ127" s="62"/>
      <c r="KA127" s="28"/>
      <c r="KB127" s="28"/>
      <c r="KC127" s="28"/>
      <c r="KD127" s="62"/>
      <c r="KE127" s="28"/>
      <c r="KF127" s="28"/>
      <c r="KG127" s="28"/>
      <c r="KH127" s="28"/>
      <c r="KI127" s="28"/>
      <c r="KJ127" s="28"/>
      <c r="KK127" s="28"/>
      <c r="KL127" s="28"/>
      <c r="KM127" s="28"/>
      <c r="KN127" s="62"/>
      <c r="KO127" s="28"/>
      <c r="KP127" s="28"/>
      <c r="KQ127" s="28"/>
      <c r="KR127" s="28"/>
      <c r="KS127" s="28"/>
      <c r="KT127" s="28"/>
      <c r="KU127" s="28"/>
      <c r="KV127" s="28"/>
      <c r="KW127" s="28"/>
      <c r="KX127" s="28"/>
      <c r="KY127" s="28"/>
      <c r="KZ127" s="28"/>
      <c r="LA127" s="28"/>
      <c r="LB127" s="28"/>
      <c r="LC127" s="28"/>
      <c r="LD127" s="28"/>
      <c r="LE127" s="62"/>
      <c r="LF127" s="28"/>
      <c r="LG127" s="28"/>
      <c r="LH127" s="28"/>
      <c r="LI127" s="28"/>
      <c r="LJ127" s="28"/>
      <c r="LK127" s="110"/>
    </row>
    <row r="128">
      <c r="A128" s="49" t="s">
        <v>322</v>
      </c>
      <c r="B128" s="149"/>
      <c r="C128" s="87"/>
      <c r="D128" s="147"/>
      <c r="E128" s="146"/>
      <c r="F128" s="146"/>
      <c r="G128" s="149"/>
      <c r="H128" s="146"/>
      <c r="I128" s="53"/>
      <c r="J128" s="53"/>
      <c r="K128" s="146"/>
      <c r="L128" s="149"/>
      <c r="M128" s="146"/>
      <c r="N128" s="52"/>
      <c r="O128" s="146"/>
      <c r="P128" s="53"/>
      <c r="Q128" s="146"/>
      <c r="R128" s="146"/>
      <c r="S128" s="146"/>
      <c r="T128" s="53"/>
      <c r="U128" s="27"/>
      <c r="V128" s="28"/>
      <c r="W128" s="28"/>
      <c r="X128" s="195"/>
      <c r="Y128" s="27"/>
      <c r="AB128" s="27"/>
      <c r="AC128" s="27"/>
      <c r="AD128" s="28"/>
      <c r="AE128" s="28"/>
      <c r="AF128" s="28"/>
      <c r="AG128" s="28"/>
      <c r="AH128" s="28"/>
      <c r="AI128" s="28"/>
      <c r="AJ128" s="27"/>
      <c r="AK128" s="28"/>
      <c r="AL128" s="28"/>
      <c r="AM128" s="28"/>
      <c r="AN128" s="28"/>
      <c r="AO128" s="27"/>
      <c r="AP128" s="27"/>
      <c r="AQ128" s="28"/>
      <c r="AR128" s="28"/>
      <c r="AS128" s="28"/>
      <c r="AT128" s="28"/>
      <c r="AU128" s="28"/>
      <c r="AV128" s="62"/>
      <c r="AW128" s="62"/>
      <c r="AX128" s="27"/>
      <c r="AY128" s="27"/>
      <c r="AZ128" s="27"/>
      <c r="BA128" s="28"/>
      <c r="BB128" s="27"/>
      <c r="BC128" s="27"/>
      <c r="BD128" s="27"/>
      <c r="BE128" s="28"/>
      <c r="BF128" s="27"/>
      <c r="BG128" s="28"/>
      <c r="BH128" s="28"/>
      <c r="BI128" s="28"/>
      <c r="BJ128" s="27"/>
      <c r="BK128" s="28"/>
      <c r="BL128" s="28"/>
      <c r="BM128" s="27"/>
      <c r="BN128" s="27"/>
      <c r="BO128" s="28"/>
      <c r="BP128" s="27"/>
      <c r="BQ128" s="28"/>
      <c r="BR128" s="27"/>
      <c r="BS128" s="28"/>
      <c r="BT128" s="28"/>
      <c r="BU128" s="27"/>
      <c r="BV128" s="28"/>
      <c r="BW128" s="27"/>
      <c r="BX128" s="28"/>
      <c r="BY128" s="28"/>
      <c r="BZ128" s="28"/>
      <c r="CA128" s="27"/>
      <c r="CB128" s="28"/>
      <c r="CC128" s="62"/>
      <c r="CD128" s="62"/>
      <c r="CF128" s="49" t="s">
        <v>322</v>
      </c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P128" s="64"/>
      <c r="DQ128" s="49" t="s">
        <v>322</v>
      </c>
      <c r="DR128" s="28"/>
      <c r="DS128" s="28"/>
      <c r="DT128" s="28"/>
      <c r="DU128" s="28"/>
      <c r="DV128" s="62"/>
      <c r="DW128" s="28"/>
      <c r="DX128" s="28"/>
      <c r="DY128" s="28"/>
      <c r="DZ128" s="28"/>
      <c r="EA128" s="28"/>
      <c r="EB128" s="28"/>
      <c r="EC128" s="28"/>
      <c r="ED128" s="28"/>
      <c r="EE128" s="28"/>
      <c r="EF128" s="28"/>
      <c r="EG128" s="28"/>
      <c r="EH128" s="28"/>
      <c r="EI128" s="28"/>
      <c r="EJ128" s="28"/>
      <c r="EK128" s="28"/>
      <c r="EL128" s="28"/>
      <c r="EM128" s="28"/>
      <c r="EN128" s="28"/>
      <c r="EO128" s="28"/>
      <c r="EP128" s="28"/>
      <c r="EQ128" s="28"/>
      <c r="ER128" s="28"/>
      <c r="ES128" s="28"/>
      <c r="ET128" s="28"/>
      <c r="EU128" s="28"/>
      <c r="EV128" s="28"/>
      <c r="EW128" s="28"/>
      <c r="EX128" s="28"/>
      <c r="EY128" s="28"/>
      <c r="EZ128" s="28"/>
      <c r="FA128" s="28"/>
      <c r="FB128" s="28"/>
      <c r="FC128" s="28"/>
      <c r="FD128" s="28"/>
      <c r="FE128" s="28"/>
      <c r="FF128" s="28"/>
      <c r="FG128" s="28"/>
      <c r="FH128" s="28"/>
      <c r="FI128" s="28"/>
      <c r="FJ128" s="28"/>
      <c r="FK128" s="28"/>
      <c r="FL128" s="28"/>
      <c r="FM128" s="28"/>
      <c r="FN128" s="28"/>
      <c r="FO128" s="28"/>
      <c r="FP128" s="28"/>
      <c r="FQ128" s="28"/>
      <c r="FR128" s="28"/>
      <c r="FS128" s="28"/>
      <c r="FT128" s="28"/>
      <c r="FU128" s="28"/>
      <c r="FV128" s="28"/>
      <c r="FW128" s="28"/>
      <c r="FX128" s="28"/>
      <c r="FY128" s="28"/>
      <c r="FZ128" s="28"/>
      <c r="GA128" s="28"/>
      <c r="GB128" s="28"/>
      <c r="GC128" s="28"/>
      <c r="GD128" s="28"/>
      <c r="GE128" s="28"/>
      <c r="GF128" s="28"/>
      <c r="GG128" s="28"/>
      <c r="GH128" s="28"/>
      <c r="GI128" s="28"/>
      <c r="GJ128" s="28"/>
      <c r="GK128" s="28"/>
      <c r="GL128" s="28"/>
      <c r="GM128" s="62"/>
      <c r="GN128" s="28"/>
      <c r="GO128" s="28"/>
      <c r="GP128" s="28"/>
      <c r="GQ128" s="28"/>
      <c r="GR128" s="28"/>
      <c r="GS128" s="28"/>
      <c r="GT128" s="28"/>
      <c r="GU128" s="28"/>
      <c r="GV128" s="28"/>
      <c r="GW128" s="28"/>
      <c r="GX128" s="28"/>
      <c r="GY128" s="28"/>
      <c r="GZ128" s="28"/>
      <c r="HA128" s="28"/>
      <c r="HB128" s="28"/>
      <c r="HC128" s="28"/>
      <c r="HD128" s="28"/>
      <c r="HE128" s="28"/>
      <c r="HF128" s="28"/>
      <c r="HG128" s="28"/>
      <c r="HH128" s="28"/>
      <c r="HI128" s="28"/>
      <c r="HJ128" s="28"/>
      <c r="HK128" s="28"/>
      <c r="HL128" s="28"/>
      <c r="HM128" s="28"/>
      <c r="HN128" s="28"/>
      <c r="HO128" s="28"/>
      <c r="HP128" s="28"/>
      <c r="HQ128" s="28"/>
      <c r="HR128" s="28"/>
      <c r="HS128" s="28"/>
      <c r="HT128" s="28"/>
      <c r="HU128" s="28"/>
      <c r="HV128" s="28"/>
      <c r="HW128" s="28"/>
      <c r="HX128" s="28"/>
      <c r="HY128" s="28"/>
      <c r="HZ128" s="28"/>
      <c r="IA128" s="28"/>
      <c r="IB128" s="28"/>
      <c r="IC128" s="28"/>
      <c r="ID128" s="28"/>
      <c r="IE128" s="28"/>
      <c r="IF128" s="28"/>
      <c r="IG128" s="28"/>
      <c r="IH128" s="28"/>
      <c r="II128" s="28"/>
      <c r="IJ128" s="28"/>
      <c r="IK128" s="28"/>
      <c r="IL128" s="28"/>
      <c r="IM128" s="28"/>
      <c r="IN128" s="28"/>
      <c r="IO128" s="28"/>
      <c r="IP128" s="28"/>
      <c r="IQ128" s="28"/>
      <c r="IR128" s="28"/>
      <c r="IS128" s="28"/>
      <c r="IT128" s="28"/>
      <c r="IU128" s="28"/>
      <c r="IV128" s="28"/>
      <c r="IW128" s="28"/>
      <c r="IX128" s="28"/>
      <c r="IY128" s="28"/>
      <c r="IZ128" s="28"/>
      <c r="JA128" s="28"/>
      <c r="JB128" s="28"/>
      <c r="JC128" s="28"/>
      <c r="JD128" s="28"/>
      <c r="JE128" s="28"/>
      <c r="JF128" s="28"/>
      <c r="JG128" s="28"/>
      <c r="JH128" s="28"/>
      <c r="JI128" s="28"/>
      <c r="JJ128" s="28"/>
      <c r="JK128" s="28"/>
      <c r="JL128" s="28"/>
      <c r="JM128" s="28"/>
      <c r="JN128" s="28"/>
      <c r="JO128" s="28"/>
      <c r="JP128" s="28"/>
      <c r="JQ128" s="28"/>
      <c r="JR128" s="28"/>
      <c r="JS128" s="28"/>
      <c r="JT128" s="62"/>
      <c r="JU128" s="28"/>
      <c r="JV128" s="28"/>
      <c r="JW128" s="28"/>
      <c r="JX128" s="28"/>
      <c r="JY128" s="28"/>
      <c r="JZ128" s="62"/>
      <c r="KA128" s="28"/>
      <c r="KB128" s="28"/>
      <c r="KC128" s="28"/>
      <c r="KD128" s="62"/>
      <c r="KE128" s="28"/>
      <c r="KF128" s="28"/>
      <c r="KG128" s="28"/>
      <c r="KH128" s="28"/>
      <c r="KI128" s="28"/>
      <c r="KJ128" s="28"/>
      <c r="KK128" s="28"/>
      <c r="KL128" s="28"/>
      <c r="KM128" s="28"/>
      <c r="KN128" s="62"/>
      <c r="KO128" s="28"/>
      <c r="KP128" s="28"/>
      <c r="KQ128" s="28"/>
      <c r="KR128" s="28"/>
      <c r="KS128" s="28"/>
      <c r="KT128" s="28"/>
      <c r="KU128" s="28"/>
      <c r="KV128" s="28"/>
      <c r="KW128" s="28"/>
      <c r="KX128" s="28"/>
      <c r="KY128" s="28"/>
      <c r="KZ128" s="28"/>
      <c r="LA128" s="28"/>
      <c r="LB128" s="28"/>
      <c r="LC128" s="28"/>
      <c r="LD128" s="28"/>
      <c r="LE128" s="62"/>
      <c r="LF128" s="28"/>
      <c r="LG128" s="28"/>
      <c r="LH128" s="28"/>
      <c r="LI128" s="28"/>
      <c r="LJ128" s="28"/>
      <c r="LK128" s="110"/>
    </row>
    <row r="129">
      <c r="A129" s="49" t="s">
        <v>323</v>
      </c>
      <c r="B129" s="149"/>
      <c r="C129" s="87"/>
      <c r="D129" s="147"/>
      <c r="E129" s="146"/>
      <c r="F129" s="146"/>
      <c r="G129" s="149"/>
      <c r="H129" s="146"/>
      <c r="I129" s="53"/>
      <c r="J129" s="53"/>
      <c r="K129" s="146"/>
      <c r="L129" s="149"/>
      <c r="M129" s="146"/>
      <c r="N129" s="52"/>
      <c r="O129" s="146"/>
      <c r="P129" s="53"/>
      <c r="Q129" s="146"/>
      <c r="R129" s="146"/>
      <c r="S129" s="146"/>
      <c r="T129" s="53"/>
      <c r="U129" s="27"/>
      <c r="V129" s="28"/>
      <c r="W129" s="28"/>
      <c r="X129" s="195"/>
      <c r="Y129" s="27"/>
      <c r="AB129" s="27"/>
      <c r="AC129" s="27"/>
      <c r="AD129" s="28"/>
      <c r="AE129" s="28"/>
      <c r="AF129" s="28"/>
      <c r="AG129" s="28"/>
      <c r="AH129" s="28"/>
      <c r="AI129" s="28"/>
      <c r="AJ129" s="27"/>
      <c r="AK129" s="28"/>
      <c r="AL129" s="28"/>
      <c r="AM129" s="28"/>
      <c r="AN129" s="28"/>
      <c r="AO129" s="27"/>
      <c r="AP129" s="27"/>
      <c r="AQ129" s="28"/>
      <c r="AR129" s="28"/>
      <c r="AS129" s="28"/>
      <c r="AT129" s="28"/>
      <c r="AU129" s="28"/>
      <c r="AV129" s="62"/>
      <c r="AW129" s="62"/>
      <c r="AX129" s="27"/>
      <c r="AY129" s="27"/>
      <c r="AZ129" s="27"/>
      <c r="BA129" s="28"/>
      <c r="BB129" s="27"/>
      <c r="BC129" s="27"/>
      <c r="BD129" s="27"/>
      <c r="BE129" s="28"/>
      <c r="BF129" s="27"/>
      <c r="BG129" s="28"/>
      <c r="BH129" s="28"/>
      <c r="BI129" s="28"/>
      <c r="BJ129" s="27"/>
      <c r="BK129" s="28"/>
      <c r="BL129" s="28"/>
      <c r="BM129" s="27"/>
      <c r="BN129" s="27"/>
      <c r="BO129" s="28"/>
      <c r="BP129" s="27"/>
      <c r="BQ129" s="28"/>
      <c r="BR129" s="27"/>
      <c r="BS129" s="28"/>
      <c r="BT129" s="28"/>
      <c r="BU129" s="27"/>
      <c r="BV129" s="28"/>
      <c r="BW129" s="27"/>
      <c r="BX129" s="28"/>
      <c r="BY129" s="28"/>
      <c r="BZ129" s="28"/>
      <c r="CA129" s="27"/>
      <c r="CB129" s="28"/>
      <c r="CC129" s="62"/>
      <c r="CD129" s="62"/>
      <c r="CF129" s="49" t="s">
        <v>323</v>
      </c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P129" s="64"/>
      <c r="DQ129" s="49" t="s">
        <v>323</v>
      </c>
      <c r="DR129" s="28"/>
      <c r="DS129" s="28"/>
      <c r="DT129" s="28"/>
      <c r="DU129" s="28"/>
      <c r="DV129" s="62"/>
      <c r="DW129" s="28"/>
      <c r="DX129" s="28"/>
      <c r="DY129" s="28"/>
      <c r="DZ129" s="28"/>
      <c r="EA129" s="28"/>
      <c r="EB129" s="28"/>
      <c r="EC129" s="28"/>
      <c r="ED129" s="28"/>
      <c r="EE129" s="28"/>
      <c r="EF129" s="28"/>
      <c r="EG129" s="28"/>
      <c r="EH129" s="28"/>
      <c r="EI129" s="28"/>
      <c r="EJ129" s="28"/>
      <c r="EK129" s="28"/>
      <c r="EL129" s="28"/>
      <c r="EM129" s="28"/>
      <c r="EN129" s="28"/>
      <c r="EO129" s="28"/>
      <c r="EP129" s="28"/>
      <c r="EQ129" s="28"/>
      <c r="ER129" s="28"/>
      <c r="ES129" s="28"/>
      <c r="ET129" s="28"/>
      <c r="EU129" s="28"/>
      <c r="EV129" s="28"/>
      <c r="EW129" s="28"/>
      <c r="EX129" s="28"/>
      <c r="EY129" s="28"/>
      <c r="EZ129" s="28"/>
      <c r="FA129" s="28"/>
      <c r="FB129" s="28"/>
      <c r="FC129" s="28"/>
      <c r="FD129" s="28"/>
      <c r="FE129" s="28"/>
      <c r="FF129" s="28"/>
      <c r="FG129" s="28"/>
      <c r="FH129" s="28"/>
      <c r="FI129" s="28"/>
      <c r="FJ129" s="28"/>
      <c r="FK129" s="28"/>
      <c r="FL129" s="28"/>
      <c r="FM129" s="28"/>
      <c r="FN129" s="28"/>
      <c r="FO129" s="28"/>
      <c r="FP129" s="28"/>
      <c r="FQ129" s="28"/>
      <c r="FR129" s="28"/>
      <c r="FS129" s="28"/>
      <c r="FT129" s="28"/>
      <c r="FU129" s="28"/>
      <c r="FV129" s="28"/>
      <c r="FW129" s="28"/>
      <c r="FX129" s="28"/>
      <c r="FY129" s="28"/>
      <c r="FZ129" s="28"/>
      <c r="GA129" s="28"/>
      <c r="GB129" s="28"/>
      <c r="GC129" s="28"/>
      <c r="GD129" s="28"/>
      <c r="GE129" s="28"/>
      <c r="GF129" s="28"/>
      <c r="GG129" s="28"/>
      <c r="GH129" s="28"/>
      <c r="GI129" s="28"/>
      <c r="GJ129" s="28"/>
      <c r="GK129" s="28"/>
      <c r="GL129" s="28"/>
      <c r="GM129" s="62"/>
      <c r="GN129" s="28"/>
      <c r="GO129" s="28"/>
      <c r="GP129" s="28"/>
      <c r="GQ129" s="28"/>
      <c r="GR129" s="28"/>
      <c r="GS129" s="28"/>
      <c r="GT129" s="28"/>
      <c r="GU129" s="28"/>
      <c r="GV129" s="28"/>
      <c r="GW129" s="28"/>
      <c r="GX129" s="28"/>
      <c r="GY129" s="28"/>
      <c r="GZ129" s="28"/>
      <c r="HA129" s="28"/>
      <c r="HB129" s="28"/>
      <c r="HC129" s="28"/>
      <c r="HD129" s="28"/>
      <c r="HE129" s="28"/>
      <c r="HF129" s="28"/>
      <c r="HG129" s="28"/>
      <c r="HH129" s="28"/>
      <c r="HI129" s="28"/>
      <c r="HJ129" s="28"/>
      <c r="HK129" s="28"/>
      <c r="HL129" s="28"/>
      <c r="HM129" s="28"/>
      <c r="HN129" s="28"/>
      <c r="HO129" s="28"/>
      <c r="HP129" s="28"/>
      <c r="HQ129" s="28"/>
      <c r="HR129" s="28"/>
      <c r="HS129" s="28"/>
      <c r="HT129" s="28"/>
      <c r="HU129" s="28"/>
      <c r="HV129" s="28"/>
      <c r="HW129" s="28"/>
      <c r="HX129" s="28"/>
      <c r="HY129" s="28"/>
      <c r="HZ129" s="28"/>
      <c r="IA129" s="28"/>
      <c r="IB129" s="28"/>
      <c r="IC129" s="28"/>
      <c r="ID129" s="28"/>
      <c r="IE129" s="28"/>
      <c r="IF129" s="28"/>
      <c r="IG129" s="28"/>
      <c r="IH129" s="28"/>
      <c r="II129" s="28"/>
      <c r="IJ129" s="28"/>
      <c r="IK129" s="28"/>
      <c r="IL129" s="28"/>
      <c r="IM129" s="28"/>
      <c r="IN129" s="28"/>
      <c r="IO129" s="28"/>
      <c r="IP129" s="28"/>
      <c r="IQ129" s="28"/>
      <c r="IR129" s="28"/>
      <c r="IS129" s="28"/>
      <c r="IT129" s="28"/>
      <c r="IU129" s="28"/>
      <c r="IV129" s="28"/>
      <c r="IW129" s="28"/>
      <c r="IX129" s="28"/>
      <c r="IY129" s="28"/>
      <c r="IZ129" s="28"/>
      <c r="JA129" s="28"/>
      <c r="JB129" s="28"/>
      <c r="JC129" s="28"/>
      <c r="JD129" s="28"/>
      <c r="JE129" s="28"/>
      <c r="JF129" s="28"/>
      <c r="JG129" s="28"/>
      <c r="JH129" s="28"/>
      <c r="JI129" s="28"/>
      <c r="JJ129" s="28"/>
      <c r="JK129" s="28"/>
      <c r="JL129" s="28"/>
      <c r="JM129" s="28"/>
      <c r="JN129" s="28"/>
      <c r="JO129" s="28"/>
      <c r="JP129" s="28"/>
      <c r="JQ129" s="28"/>
      <c r="JR129" s="28"/>
      <c r="JS129" s="28"/>
      <c r="JT129" s="62"/>
      <c r="JU129" s="28"/>
      <c r="JV129" s="28"/>
      <c r="JW129" s="28"/>
      <c r="JX129" s="28"/>
      <c r="JY129" s="28"/>
      <c r="JZ129" s="62"/>
      <c r="KA129" s="28"/>
      <c r="KB129" s="28"/>
      <c r="KC129" s="28"/>
      <c r="KD129" s="62"/>
      <c r="KE129" s="28"/>
      <c r="KF129" s="28"/>
      <c r="KG129" s="28"/>
      <c r="KH129" s="28"/>
      <c r="KI129" s="28"/>
      <c r="KJ129" s="28"/>
      <c r="KK129" s="28"/>
      <c r="KL129" s="28"/>
      <c r="KM129" s="28"/>
      <c r="KN129" s="62"/>
      <c r="KO129" s="28"/>
      <c r="KP129" s="28"/>
      <c r="KQ129" s="28"/>
      <c r="KR129" s="28"/>
      <c r="KS129" s="28"/>
      <c r="KT129" s="28"/>
      <c r="KU129" s="28"/>
      <c r="KV129" s="28"/>
      <c r="KW129" s="28"/>
      <c r="KX129" s="28"/>
      <c r="KY129" s="28"/>
      <c r="KZ129" s="28"/>
      <c r="LA129" s="28"/>
      <c r="LB129" s="28"/>
      <c r="LC129" s="28"/>
      <c r="LD129" s="28"/>
      <c r="LE129" s="62"/>
      <c r="LF129" s="28"/>
      <c r="LG129" s="28"/>
      <c r="LH129" s="28"/>
      <c r="LI129" s="28"/>
      <c r="LJ129" s="28"/>
      <c r="LK129" s="110"/>
    </row>
    <row r="130">
      <c r="A130" s="49" t="s">
        <v>324</v>
      </c>
      <c r="B130" s="149">
        <v>1.09899887406E11</v>
      </c>
      <c r="C130" s="87">
        <v>-6.2023191146E10</v>
      </c>
      <c r="D130" s="147">
        <v>4.787669626E10</v>
      </c>
      <c r="E130" s="146">
        <v>-1.9621904003E10</v>
      </c>
      <c r="F130" s="146">
        <v>-1.8047126991E10</v>
      </c>
      <c r="G130" s="149"/>
      <c r="H130" s="146"/>
      <c r="I130" s="53"/>
      <c r="J130" s="53">
        <v>1.0207665266E10</v>
      </c>
      <c r="K130" s="146"/>
      <c r="L130" s="149">
        <v>1.37510649E8</v>
      </c>
      <c r="M130" s="146">
        <v>-4.31948593E9</v>
      </c>
      <c r="N130" s="52">
        <v>-4.181975281E9</v>
      </c>
      <c r="O130" s="146"/>
      <c r="P130" s="53">
        <v>6.025689985E9</v>
      </c>
      <c r="Q130" s="146">
        <v>-1.251431017E9</v>
      </c>
      <c r="R130" s="146"/>
      <c r="S130" s="146">
        <v>-1.251431017E9</v>
      </c>
      <c r="T130" s="53">
        <v>4.774258968E9</v>
      </c>
      <c r="U130" s="27"/>
      <c r="V130" s="28"/>
      <c r="W130" s="28"/>
      <c r="X130" s="195">
        <v>4.774258968E9</v>
      </c>
      <c r="Y130" s="27"/>
      <c r="AB130" s="27"/>
      <c r="AC130" s="27"/>
      <c r="AD130" s="28">
        <v>6.193114911E9</v>
      </c>
      <c r="AE130" s="28">
        <v>2.7500364563E10</v>
      </c>
      <c r="AF130" s="28"/>
      <c r="AG130" s="28"/>
      <c r="AH130" s="28">
        <v>3.962377615E9</v>
      </c>
      <c r="AI130" s="28">
        <v>1.8513124514E10</v>
      </c>
      <c r="AJ130" s="27"/>
      <c r="AK130" s="28"/>
      <c r="AL130" s="28"/>
      <c r="AM130" s="28">
        <v>1.046272425E9</v>
      </c>
      <c r="AN130" s="28"/>
      <c r="AO130" s="27"/>
      <c r="AP130" s="28">
        <v>3.618909476E9</v>
      </c>
      <c r="AQ130" s="28">
        <v>6.342269569E9</v>
      </c>
      <c r="AR130" s="28"/>
      <c r="AS130" s="28"/>
      <c r="AT130" s="28">
        <v>8.06542163E8</v>
      </c>
      <c r="AU130" s="28"/>
      <c r="AV130" s="62">
        <v>1.0767721208E10</v>
      </c>
      <c r="AW130" s="62">
        <v>6.7982975236E10</v>
      </c>
      <c r="AX130" s="27"/>
      <c r="AY130" s="27"/>
      <c r="AZ130" s="27"/>
      <c r="BA130" s="28">
        <v>4.338891579E9</v>
      </c>
      <c r="BB130" s="27"/>
      <c r="BC130" s="27"/>
      <c r="BD130" s="27"/>
      <c r="BE130" s="28">
        <v>1.252591174E9</v>
      </c>
      <c r="BF130" s="27"/>
      <c r="BG130" s="28"/>
      <c r="BH130" s="28"/>
      <c r="BI130" s="28"/>
      <c r="BJ130" s="27"/>
      <c r="BK130" s="28"/>
      <c r="BL130" s="28">
        <v>5.591482753E9</v>
      </c>
      <c r="BM130" s="27"/>
      <c r="BN130" s="28">
        <v>4.2089868229E10</v>
      </c>
      <c r="BO130" s="28"/>
      <c r="BP130" s="27"/>
      <c r="BQ130" s="28">
        <v>2.7146355E9</v>
      </c>
      <c r="BR130" s="27"/>
      <c r="BS130" s="28">
        <v>4.4804503729E10</v>
      </c>
      <c r="BT130" s="28">
        <v>5.0395986482E10</v>
      </c>
      <c r="BU130" s="27"/>
      <c r="BV130" s="28">
        <v>1.28E9</v>
      </c>
      <c r="BW130" s="28">
        <v>1.6034933821E10</v>
      </c>
      <c r="BX130" s="28"/>
      <c r="BY130" s="28"/>
      <c r="BZ130" s="28"/>
      <c r="CA130" s="28">
        <v>2.72054933E8</v>
      </c>
      <c r="CB130" s="28"/>
      <c r="CC130" s="62">
        <v>1.7586988754E10</v>
      </c>
      <c r="CD130" s="62">
        <v>6.7982975236E10</v>
      </c>
      <c r="CF130" s="49" t="s">
        <v>324</v>
      </c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P130" s="64"/>
      <c r="DQ130" s="49" t="s">
        <v>324</v>
      </c>
      <c r="DR130" s="28"/>
      <c r="DS130" s="28"/>
      <c r="DT130" s="28"/>
      <c r="DU130" s="28"/>
      <c r="DV130" s="62"/>
      <c r="DW130" s="28"/>
      <c r="DX130" s="28"/>
      <c r="DY130" s="28"/>
      <c r="DZ130" s="28"/>
      <c r="EA130" s="28"/>
      <c r="EB130" s="28"/>
      <c r="EC130" s="28"/>
      <c r="ED130" s="28"/>
      <c r="EE130" s="28"/>
      <c r="EF130" s="28"/>
      <c r="EG130" s="28"/>
      <c r="EH130" s="28"/>
      <c r="EI130" s="28"/>
      <c r="EJ130" s="28"/>
      <c r="EK130" s="28"/>
      <c r="EL130" s="28"/>
      <c r="EM130" s="28"/>
      <c r="EN130" s="28"/>
      <c r="EO130" s="28"/>
      <c r="EP130" s="28"/>
      <c r="EQ130" s="28"/>
      <c r="ER130" s="28"/>
      <c r="ES130" s="28"/>
      <c r="ET130" s="28"/>
      <c r="EU130" s="28"/>
      <c r="EV130" s="28"/>
      <c r="EW130" s="28"/>
      <c r="EX130" s="28"/>
      <c r="EY130" s="28"/>
      <c r="EZ130" s="28"/>
      <c r="FA130" s="28"/>
      <c r="FB130" s="28"/>
      <c r="FC130" s="28"/>
      <c r="FD130" s="28"/>
      <c r="FE130" s="28"/>
      <c r="FF130" s="28"/>
      <c r="FG130" s="28"/>
      <c r="FH130" s="28"/>
      <c r="FI130" s="28"/>
      <c r="FJ130" s="28"/>
      <c r="FK130" s="28"/>
      <c r="FL130" s="28"/>
      <c r="FM130" s="28"/>
      <c r="FN130" s="28"/>
      <c r="FO130" s="28"/>
      <c r="FP130" s="28"/>
      <c r="FQ130" s="28"/>
      <c r="FR130" s="28"/>
      <c r="FS130" s="28"/>
      <c r="FT130" s="28"/>
      <c r="FU130" s="28"/>
      <c r="FV130" s="28"/>
      <c r="FW130" s="28"/>
      <c r="FX130" s="28"/>
      <c r="FY130" s="28"/>
      <c r="FZ130" s="28"/>
      <c r="GA130" s="28"/>
      <c r="GB130" s="28"/>
      <c r="GC130" s="28"/>
      <c r="GD130" s="28"/>
      <c r="GE130" s="28"/>
      <c r="GF130" s="28"/>
      <c r="GG130" s="28"/>
      <c r="GH130" s="28"/>
      <c r="GI130" s="28"/>
      <c r="GJ130" s="28"/>
      <c r="GK130" s="28"/>
      <c r="GL130" s="28"/>
      <c r="GM130" s="62"/>
      <c r="GN130" s="28"/>
      <c r="GO130" s="28"/>
      <c r="GP130" s="28"/>
      <c r="GQ130" s="28"/>
      <c r="GR130" s="28"/>
      <c r="GS130" s="28">
        <v>1.4158341103E10</v>
      </c>
      <c r="GT130" s="28"/>
      <c r="GU130" s="28"/>
      <c r="GV130" s="28"/>
      <c r="GW130" s="28"/>
      <c r="GX130" s="28"/>
      <c r="GY130" s="28"/>
      <c r="GZ130" s="28"/>
      <c r="HA130" s="28"/>
      <c r="HB130" s="28"/>
      <c r="HC130" s="28"/>
      <c r="HD130" s="28"/>
      <c r="HE130" s="28"/>
      <c r="HF130" s="28"/>
      <c r="HG130" s="28"/>
      <c r="HH130" s="28"/>
      <c r="HI130" s="28"/>
      <c r="HJ130" s="28"/>
      <c r="HK130" s="28"/>
      <c r="HL130" s="28"/>
      <c r="HM130" s="28"/>
      <c r="HN130" s="28"/>
      <c r="HO130" s="28"/>
      <c r="HP130" s="28"/>
      <c r="HQ130" s="28"/>
      <c r="HR130" s="28"/>
      <c r="HS130" s="28"/>
      <c r="HT130" s="28"/>
      <c r="HU130" s="28"/>
      <c r="HV130" s="28"/>
      <c r="HW130" s="28"/>
      <c r="HX130" s="28"/>
      <c r="HY130" s="28"/>
      <c r="HZ130" s="28"/>
      <c r="IA130" s="28"/>
      <c r="IB130" s="28"/>
      <c r="IC130" s="28"/>
      <c r="ID130" s="28"/>
      <c r="IE130" s="28"/>
      <c r="IF130" s="28"/>
      <c r="IG130" s="28"/>
      <c r="IH130" s="28"/>
      <c r="II130" s="28">
        <v>3.257524849E9</v>
      </c>
      <c r="IJ130" s="28"/>
      <c r="IK130" s="28"/>
      <c r="IL130" s="28"/>
      <c r="IM130" s="28"/>
      <c r="IN130" s="28"/>
      <c r="IO130" s="28"/>
      <c r="IP130" s="28"/>
      <c r="IQ130" s="28"/>
      <c r="IR130" s="28"/>
      <c r="IS130" s="28"/>
      <c r="IT130" s="28"/>
      <c r="IU130" s="28"/>
      <c r="IV130" s="28"/>
      <c r="IW130" s="28"/>
      <c r="IX130" s="28"/>
      <c r="IY130" s="28"/>
      <c r="IZ130" s="28"/>
      <c r="JA130" s="28"/>
      <c r="JB130" s="28"/>
      <c r="JC130" s="28"/>
      <c r="JD130" s="28"/>
      <c r="JE130" s="28"/>
      <c r="JF130" s="28"/>
      <c r="JG130" s="28"/>
      <c r="JH130" s="28"/>
      <c r="JI130" s="28"/>
      <c r="JJ130" s="28"/>
      <c r="JK130" s="28"/>
      <c r="JL130" s="28"/>
      <c r="JM130" s="28"/>
      <c r="JN130" s="28"/>
      <c r="JO130" s="28"/>
      <c r="JP130" s="28"/>
      <c r="JQ130" s="28"/>
      <c r="JR130" s="28"/>
      <c r="JS130" s="28"/>
      <c r="JT130" s="62"/>
      <c r="JU130" s="28"/>
      <c r="JV130" s="28"/>
      <c r="JW130" s="28"/>
      <c r="JX130" s="28"/>
      <c r="JY130" s="28"/>
      <c r="JZ130" s="62"/>
      <c r="KA130" s="28"/>
      <c r="KB130" s="28"/>
      <c r="KC130" s="28"/>
      <c r="KD130" s="62"/>
      <c r="KE130" s="28"/>
      <c r="KF130" s="28"/>
      <c r="KG130" s="28">
        <v>2.0720191E7</v>
      </c>
      <c r="KH130" s="28"/>
      <c r="KI130" s="28"/>
      <c r="KJ130" s="28"/>
      <c r="KK130" s="28"/>
      <c r="KL130" s="28"/>
      <c r="KM130" s="28"/>
      <c r="KN130" s="62"/>
      <c r="KO130" s="28"/>
      <c r="KP130" s="28"/>
      <c r="KQ130" s="28"/>
      <c r="KR130" s="27"/>
      <c r="KS130" s="28"/>
      <c r="KT130" s="28"/>
      <c r="KU130" s="28"/>
      <c r="KV130" s="28"/>
      <c r="KW130" s="28"/>
      <c r="KX130" s="28"/>
      <c r="KY130" s="28"/>
      <c r="KZ130" s="28"/>
      <c r="LA130" s="28"/>
      <c r="LB130" s="28"/>
      <c r="LC130" s="28"/>
      <c r="LD130" s="28"/>
      <c r="LE130" s="62"/>
      <c r="LF130" s="28"/>
      <c r="LG130" s="28"/>
      <c r="LH130" s="28"/>
      <c r="LI130" s="28"/>
      <c r="LJ130" s="28"/>
      <c r="LK130" s="110"/>
    </row>
    <row r="131">
      <c r="A131" s="204"/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4"/>
      <c r="V131" s="206"/>
      <c r="W131" s="204"/>
      <c r="X131" s="204"/>
      <c r="Y131" s="204"/>
      <c r="Z131" s="204"/>
      <c r="AA131" s="204"/>
      <c r="AB131" s="204"/>
      <c r="AC131" s="204"/>
      <c r="AD131" s="204"/>
      <c r="AE131" s="207"/>
      <c r="AF131" s="204"/>
      <c r="AG131" s="204"/>
      <c r="AH131" s="204"/>
      <c r="AI131" s="204"/>
      <c r="AJ131" s="204"/>
      <c r="AK131" s="204"/>
      <c r="AL131" s="204"/>
      <c r="AM131" s="208"/>
      <c r="AN131" s="209"/>
      <c r="AO131" s="204"/>
      <c r="AP131" s="204"/>
      <c r="AQ131" s="204"/>
      <c r="AR131" s="204"/>
      <c r="AS131" s="204"/>
      <c r="AT131" s="204"/>
      <c r="AU131" s="204"/>
      <c r="AV131" s="204"/>
      <c r="AW131" s="204"/>
      <c r="AX131" s="204"/>
      <c r="AY131" s="204"/>
      <c r="AZ131" s="204"/>
      <c r="BA131" s="204"/>
      <c r="BB131" s="204"/>
      <c r="BC131" s="204"/>
      <c r="BD131" s="204"/>
      <c r="BE131" s="204"/>
      <c r="BF131" s="204"/>
      <c r="BG131" s="204"/>
      <c r="BH131" s="204"/>
      <c r="BI131" s="204"/>
      <c r="BJ131" s="204"/>
      <c r="BK131" s="204"/>
      <c r="BL131" s="204"/>
      <c r="BM131" s="204"/>
      <c r="BN131" s="204"/>
      <c r="BO131" s="204"/>
      <c r="BP131" s="204"/>
      <c r="BQ131" s="204"/>
      <c r="BR131" s="204"/>
      <c r="BS131" s="204"/>
      <c r="BT131" s="209"/>
      <c r="BU131" s="204"/>
      <c r="BV131" s="204"/>
      <c r="BW131" s="204"/>
      <c r="BX131" s="204"/>
      <c r="BY131" s="204"/>
      <c r="BZ131" s="204"/>
      <c r="CA131" s="204"/>
      <c r="CB131" s="204"/>
      <c r="CC131" s="210"/>
      <c r="CD131" s="210"/>
      <c r="CE131" s="204"/>
      <c r="CF131" s="204"/>
      <c r="CG131" s="204"/>
      <c r="CH131" s="204"/>
      <c r="CI131" s="204"/>
      <c r="CJ131" s="204"/>
      <c r="CK131" s="204"/>
      <c r="CL131" s="204"/>
      <c r="CM131" s="204"/>
      <c r="CN131" s="204"/>
      <c r="CO131" s="204"/>
      <c r="CP131" s="204"/>
      <c r="CQ131" s="204"/>
      <c r="CR131" s="204"/>
      <c r="CS131" s="204"/>
      <c r="CT131" s="204"/>
      <c r="CU131" s="204"/>
      <c r="CV131" s="204"/>
      <c r="CW131" s="204"/>
      <c r="CX131" s="204"/>
      <c r="CY131" s="204"/>
      <c r="CZ131" s="204"/>
      <c r="DA131" s="204"/>
      <c r="DB131" s="204"/>
      <c r="DC131" s="204"/>
      <c r="DD131" s="204"/>
      <c r="DE131" s="204"/>
      <c r="DF131" s="204"/>
      <c r="DG131" s="204"/>
      <c r="DH131" s="204"/>
      <c r="DI131" s="204"/>
      <c r="DJ131" s="204"/>
      <c r="DK131" s="204"/>
      <c r="DL131" s="204"/>
      <c r="DM131" s="204"/>
      <c r="DN131" s="204"/>
      <c r="DO131" s="204"/>
      <c r="DP131" s="204"/>
      <c r="DQ131" s="204"/>
      <c r="DR131" s="204"/>
      <c r="DS131" s="204"/>
      <c r="DT131" s="204"/>
      <c r="DU131" s="204"/>
      <c r="DV131" s="204"/>
      <c r="DW131" s="204"/>
      <c r="DX131" s="204"/>
      <c r="DY131" s="204"/>
      <c r="DZ131" s="204"/>
      <c r="EA131" s="204"/>
      <c r="EB131" s="204"/>
      <c r="EC131" s="204"/>
      <c r="ED131" s="204"/>
      <c r="EE131" s="204"/>
      <c r="EF131" s="204"/>
      <c r="EG131" s="204"/>
      <c r="EH131" s="204"/>
      <c r="EI131" s="204"/>
      <c r="EJ131" s="204"/>
      <c r="EK131" s="204"/>
      <c r="EL131" s="204"/>
      <c r="EM131" s="204"/>
      <c r="EN131" s="204"/>
      <c r="EO131" s="204"/>
      <c r="EP131" s="204"/>
      <c r="EQ131" s="204"/>
      <c r="ER131" s="204"/>
      <c r="ES131" s="204"/>
      <c r="ET131" s="204"/>
      <c r="EU131" s="204"/>
      <c r="EV131" s="204"/>
      <c r="EW131" s="204"/>
      <c r="EX131" s="204"/>
      <c r="EY131" s="204"/>
      <c r="EZ131" s="204"/>
      <c r="FA131" s="204"/>
      <c r="FB131" s="204"/>
      <c r="FC131" s="204"/>
      <c r="FD131" s="204"/>
      <c r="FE131" s="204"/>
      <c r="FF131" s="204"/>
      <c r="FG131" s="204"/>
      <c r="FH131" s="204"/>
      <c r="FI131" s="204"/>
      <c r="FJ131" s="204"/>
      <c r="FK131" s="204"/>
      <c r="FL131" s="204"/>
      <c r="FM131" s="204"/>
      <c r="FN131" s="204"/>
      <c r="FO131" s="204"/>
      <c r="FP131" s="204"/>
      <c r="FQ131" s="204"/>
      <c r="FR131" s="204"/>
      <c r="FS131" s="204"/>
      <c r="FT131" s="204"/>
      <c r="FU131" s="204"/>
      <c r="FV131" s="204"/>
      <c r="FW131" s="204"/>
      <c r="FX131" s="204"/>
      <c r="FY131" s="204"/>
      <c r="FZ131" s="204"/>
      <c r="GA131" s="204"/>
      <c r="GB131" s="204"/>
      <c r="GC131" s="204"/>
      <c r="GD131" s="204"/>
      <c r="GE131" s="204"/>
      <c r="GF131" s="204"/>
      <c r="GG131" s="204"/>
      <c r="GH131" s="204"/>
      <c r="GI131" s="204"/>
      <c r="GJ131" s="204"/>
      <c r="GK131" s="204"/>
      <c r="GL131" s="204"/>
      <c r="GM131" s="206"/>
      <c r="GN131" s="204"/>
      <c r="GO131" s="204"/>
      <c r="GP131" s="204"/>
      <c r="GQ131" s="204"/>
      <c r="GR131" s="204"/>
      <c r="GS131" s="204"/>
      <c r="GT131" s="204"/>
      <c r="GU131" s="204"/>
      <c r="GV131" s="204"/>
      <c r="GW131" s="204"/>
      <c r="GX131" s="204"/>
      <c r="GY131" s="204"/>
      <c r="GZ131" s="204"/>
      <c r="HA131" s="204"/>
      <c r="HB131" s="204"/>
      <c r="HC131" s="204"/>
      <c r="HD131" s="204"/>
      <c r="HE131" s="204"/>
      <c r="HF131" s="204"/>
      <c r="HG131" s="204"/>
      <c r="HH131" s="204"/>
      <c r="HI131" s="204"/>
      <c r="HJ131" s="204"/>
      <c r="HK131" s="204"/>
      <c r="HL131" s="204"/>
      <c r="HM131" s="204"/>
      <c r="HN131" s="204"/>
      <c r="HO131" s="204"/>
      <c r="HP131" s="204"/>
      <c r="HQ131" s="204"/>
      <c r="HR131" s="204"/>
      <c r="HS131" s="204"/>
      <c r="HT131" s="204"/>
      <c r="HU131" s="204"/>
      <c r="HV131" s="204"/>
      <c r="HW131" s="204"/>
      <c r="HX131" s="204"/>
      <c r="HY131" s="204"/>
      <c r="HZ131" s="204"/>
      <c r="IA131" s="204"/>
      <c r="IB131" s="204"/>
      <c r="IC131" s="204"/>
      <c r="ID131" s="204"/>
      <c r="IE131" s="204"/>
      <c r="IF131" s="204"/>
      <c r="IG131" s="204"/>
      <c r="IH131" s="204"/>
      <c r="II131" s="204"/>
      <c r="IJ131" s="204"/>
      <c r="IK131" s="204"/>
      <c r="IL131" s="204"/>
      <c r="IM131" s="204"/>
      <c r="IN131" s="204"/>
      <c r="IO131" s="204"/>
      <c r="IP131" s="204"/>
      <c r="IQ131" s="204"/>
      <c r="IR131" s="204"/>
      <c r="IS131" s="204"/>
      <c r="IT131" s="204"/>
      <c r="IU131" s="204"/>
      <c r="IV131" s="204"/>
      <c r="IW131" s="204"/>
      <c r="IX131" s="204"/>
      <c r="IY131" s="204"/>
      <c r="IZ131" s="204"/>
      <c r="JA131" s="204"/>
      <c r="JB131" s="204"/>
      <c r="JC131" s="204"/>
      <c r="JD131" s="204"/>
      <c r="JE131" s="204"/>
      <c r="JF131" s="204"/>
      <c r="JG131" s="204"/>
      <c r="JH131" s="204"/>
      <c r="JI131" s="204"/>
      <c r="JJ131" s="204"/>
      <c r="JK131" s="204"/>
      <c r="JL131" s="204"/>
      <c r="JM131" s="204"/>
      <c r="JN131" s="204"/>
      <c r="JO131" s="204"/>
      <c r="JP131" s="204"/>
      <c r="JQ131" s="204"/>
      <c r="JR131" s="204"/>
      <c r="JS131" s="204"/>
      <c r="JT131" s="211"/>
      <c r="JU131" s="204"/>
      <c r="JV131" s="204"/>
      <c r="JW131" s="204"/>
      <c r="JX131" s="204"/>
      <c r="JY131" s="204"/>
      <c r="JZ131" s="204"/>
      <c r="KA131" s="204"/>
      <c r="KB131" s="204"/>
      <c r="KC131" s="204"/>
      <c r="KD131" s="204"/>
      <c r="KE131" s="204"/>
      <c r="KF131" s="204"/>
      <c r="KG131" s="204"/>
      <c r="KH131" s="204"/>
      <c r="KI131" s="204"/>
      <c r="KJ131" s="204"/>
      <c r="KK131" s="204"/>
      <c r="KL131" s="204"/>
      <c r="KM131" s="204"/>
      <c r="KN131" s="204"/>
      <c r="KO131" s="204"/>
      <c r="KP131" s="204"/>
      <c r="KQ131" s="204"/>
      <c r="KR131" s="204"/>
      <c r="KS131" s="204"/>
      <c r="KT131" s="204"/>
      <c r="KU131" s="204"/>
      <c r="KV131" s="204"/>
      <c r="KW131" s="204"/>
      <c r="KX131" s="204"/>
      <c r="KY131" s="204"/>
      <c r="KZ131" s="204"/>
      <c r="LA131" s="204"/>
      <c r="LB131" s="204"/>
      <c r="LC131" s="204"/>
      <c r="LD131" s="204"/>
      <c r="LE131" s="204"/>
      <c r="LF131" s="204"/>
      <c r="LG131" s="204"/>
      <c r="LH131" s="204"/>
      <c r="LI131" s="204"/>
      <c r="LJ131" s="204"/>
      <c r="LK131" s="204"/>
    </row>
    <row r="132">
      <c r="A132" s="204"/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4"/>
      <c r="V132" s="206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  <c r="AI132" s="204"/>
      <c r="AJ132" s="204"/>
      <c r="AK132" s="204"/>
      <c r="AL132" s="204"/>
      <c r="AM132" s="208"/>
      <c r="AN132" s="209"/>
      <c r="AO132" s="204"/>
      <c r="AP132" s="204"/>
      <c r="AQ132" s="204"/>
      <c r="AR132" s="204"/>
      <c r="AS132" s="204"/>
      <c r="AT132" s="204"/>
      <c r="AU132" s="204"/>
      <c r="AV132" s="204"/>
      <c r="AW132" s="204"/>
      <c r="AX132" s="204"/>
      <c r="AY132" s="204"/>
      <c r="AZ132" s="204"/>
      <c r="BA132" s="204"/>
      <c r="BB132" s="204"/>
      <c r="BC132" s="204"/>
      <c r="BD132" s="204"/>
      <c r="BE132" s="204"/>
      <c r="BF132" s="204"/>
      <c r="BG132" s="204"/>
      <c r="BH132" s="204"/>
      <c r="BI132" s="204"/>
      <c r="BJ132" s="204"/>
      <c r="BK132" s="204"/>
      <c r="BL132" s="204"/>
      <c r="BM132" s="204"/>
      <c r="BN132" s="204"/>
      <c r="BO132" s="204"/>
      <c r="BP132" s="204"/>
      <c r="BQ132" s="204"/>
      <c r="BR132" s="204"/>
      <c r="BS132" s="204"/>
      <c r="BT132" s="209"/>
      <c r="BU132" s="204"/>
      <c r="BV132" s="204"/>
      <c r="BW132" s="204"/>
      <c r="BX132" s="204"/>
      <c r="BY132" s="204"/>
      <c r="BZ132" s="204"/>
      <c r="CA132" s="204"/>
      <c r="CB132" s="204"/>
      <c r="CC132" s="210"/>
      <c r="CD132" s="210"/>
      <c r="CE132" s="204"/>
      <c r="CF132" s="204"/>
      <c r="CG132" s="204"/>
      <c r="CH132" s="204"/>
      <c r="CI132" s="204"/>
      <c r="CJ132" s="204"/>
      <c r="CK132" s="204"/>
      <c r="CL132" s="204"/>
      <c r="CM132" s="204"/>
      <c r="CN132" s="204"/>
      <c r="CO132" s="204"/>
      <c r="CP132" s="204"/>
      <c r="CQ132" s="204"/>
      <c r="CR132" s="204"/>
      <c r="CS132" s="204"/>
      <c r="CT132" s="204"/>
      <c r="CU132" s="204"/>
      <c r="CV132" s="204"/>
      <c r="CW132" s="204"/>
      <c r="CX132" s="204"/>
      <c r="CY132" s="204"/>
      <c r="CZ132" s="204"/>
      <c r="DA132" s="204"/>
      <c r="DB132" s="204"/>
      <c r="DC132" s="204"/>
      <c r="DD132" s="204"/>
      <c r="DE132" s="204"/>
      <c r="DF132" s="204"/>
      <c r="DG132" s="204"/>
      <c r="DH132" s="204"/>
      <c r="DI132" s="204"/>
      <c r="DJ132" s="204"/>
      <c r="DK132" s="204"/>
      <c r="DL132" s="204"/>
      <c r="DM132" s="204"/>
      <c r="DN132" s="204"/>
      <c r="DO132" s="204"/>
      <c r="DP132" s="204"/>
      <c r="DQ132" s="204"/>
      <c r="DR132" s="204"/>
      <c r="DS132" s="204"/>
      <c r="DT132" s="204"/>
      <c r="DU132" s="204"/>
      <c r="DV132" s="204"/>
      <c r="DW132" s="204"/>
      <c r="DX132" s="204"/>
      <c r="DY132" s="204"/>
      <c r="DZ132" s="204"/>
      <c r="EA132" s="204"/>
      <c r="EB132" s="204"/>
      <c r="EC132" s="204"/>
      <c r="ED132" s="204"/>
      <c r="EE132" s="204"/>
      <c r="EF132" s="204"/>
      <c r="EG132" s="204"/>
      <c r="EH132" s="204"/>
      <c r="EI132" s="204"/>
      <c r="EJ132" s="204"/>
      <c r="EK132" s="204"/>
      <c r="EL132" s="204"/>
      <c r="EM132" s="204"/>
      <c r="EN132" s="204"/>
      <c r="EO132" s="204"/>
      <c r="EP132" s="204"/>
      <c r="EQ132" s="204"/>
      <c r="ER132" s="204"/>
      <c r="ES132" s="204"/>
      <c r="ET132" s="204"/>
      <c r="EU132" s="204"/>
      <c r="EV132" s="204"/>
      <c r="EW132" s="204"/>
      <c r="EX132" s="204"/>
      <c r="EY132" s="204"/>
      <c r="EZ132" s="204"/>
      <c r="FA132" s="204"/>
      <c r="FB132" s="204"/>
      <c r="FC132" s="204"/>
      <c r="FD132" s="204"/>
      <c r="FE132" s="204"/>
      <c r="FF132" s="204"/>
      <c r="FG132" s="204"/>
      <c r="FH132" s="204"/>
      <c r="FI132" s="204"/>
      <c r="FJ132" s="204"/>
      <c r="FK132" s="204"/>
      <c r="FL132" s="204"/>
      <c r="FM132" s="204"/>
      <c r="FN132" s="204"/>
      <c r="FO132" s="204"/>
      <c r="FP132" s="204"/>
      <c r="FQ132" s="204"/>
      <c r="FR132" s="204"/>
      <c r="FS132" s="204"/>
      <c r="FT132" s="204"/>
      <c r="FU132" s="204"/>
      <c r="FV132" s="204"/>
      <c r="FW132" s="204"/>
      <c r="FX132" s="204"/>
      <c r="FY132" s="204"/>
      <c r="FZ132" s="204"/>
      <c r="GA132" s="204"/>
      <c r="GB132" s="204"/>
      <c r="GC132" s="204"/>
      <c r="GD132" s="204"/>
      <c r="GE132" s="204"/>
      <c r="GF132" s="204"/>
      <c r="GG132" s="204"/>
      <c r="GH132" s="204"/>
      <c r="GI132" s="204"/>
      <c r="GJ132" s="204"/>
      <c r="GK132" s="204"/>
      <c r="GL132" s="204"/>
      <c r="GM132" s="206"/>
      <c r="GN132" s="204"/>
      <c r="GO132" s="204"/>
      <c r="GP132" s="204"/>
      <c r="GQ132" s="204"/>
      <c r="GR132" s="204"/>
      <c r="GS132" s="204"/>
      <c r="GT132" s="204"/>
      <c r="GU132" s="204"/>
      <c r="GV132" s="204"/>
      <c r="GW132" s="204"/>
      <c r="GX132" s="204"/>
      <c r="GY132" s="204"/>
      <c r="GZ132" s="204"/>
      <c r="HA132" s="204"/>
      <c r="HB132" s="204"/>
      <c r="HC132" s="204"/>
      <c r="HD132" s="204"/>
      <c r="HE132" s="204"/>
      <c r="HF132" s="204"/>
      <c r="HG132" s="204"/>
      <c r="HH132" s="204"/>
      <c r="HI132" s="204"/>
      <c r="HJ132" s="204"/>
      <c r="HK132" s="204"/>
      <c r="HL132" s="204"/>
      <c r="HM132" s="204"/>
      <c r="HN132" s="204"/>
      <c r="HO132" s="204"/>
      <c r="HP132" s="204"/>
      <c r="HQ132" s="204"/>
      <c r="HR132" s="204"/>
      <c r="HS132" s="204"/>
      <c r="HT132" s="204"/>
      <c r="HU132" s="204"/>
      <c r="HV132" s="204"/>
      <c r="HW132" s="204"/>
      <c r="HX132" s="204"/>
      <c r="HY132" s="204"/>
      <c r="HZ132" s="204"/>
      <c r="IA132" s="204"/>
      <c r="IB132" s="204"/>
      <c r="IC132" s="204"/>
      <c r="ID132" s="204"/>
      <c r="IE132" s="204"/>
      <c r="IF132" s="204"/>
      <c r="IG132" s="204"/>
      <c r="IH132" s="204"/>
      <c r="II132" s="204"/>
      <c r="IJ132" s="204"/>
      <c r="IK132" s="204"/>
      <c r="IL132" s="204"/>
      <c r="IM132" s="204"/>
      <c r="IN132" s="204"/>
      <c r="IO132" s="204"/>
      <c r="IP132" s="204"/>
      <c r="IQ132" s="204"/>
      <c r="IR132" s="204"/>
      <c r="IS132" s="204"/>
      <c r="IT132" s="204"/>
      <c r="IU132" s="204"/>
      <c r="IV132" s="204"/>
      <c r="IW132" s="204"/>
      <c r="IX132" s="204"/>
      <c r="IY132" s="204"/>
      <c r="IZ132" s="204"/>
      <c r="JA132" s="204"/>
      <c r="JB132" s="204"/>
      <c r="JC132" s="204"/>
      <c r="JD132" s="204"/>
      <c r="JE132" s="204"/>
      <c r="JF132" s="204"/>
      <c r="JG132" s="204"/>
      <c r="JH132" s="204"/>
      <c r="JI132" s="204"/>
      <c r="JJ132" s="204"/>
      <c r="JK132" s="204"/>
      <c r="JL132" s="204"/>
      <c r="JM132" s="204"/>
      <c r="JN132" s="204"/>
      <c r="JO132" s="204"/>
      <c r="JP132" s="204"/>
      <c r="JQ132" s="204"/>
      <c r="JR132" s="204"/>
      <c r="JS132" s="204"/>
      <c r="JT132" s="211"/>
      <c r="JU132" s="204"/>
      <c r="JV132" s="204"/>
      <c r="JW132" s="204"/>
      <c r="JX132" s="204"/>
      <c r="JY132" s="204"/>
      <c r="JZ132" s="204"/>
      <c r="KA132" s="204"/>
      <c r="KB132" s="204"/>
      <c r="KC132" s="204"/>
      <c r="KD132" s="204"/>
      <c r="KE132" s="204"/>
      <c r="KF132" s="204"/>
      <c r="KG132" s="204"/>
      <c r="KH132" s="204"/>
      <c r="KI132" s="204"/>
      <c r="KJ132" s="204"/>
      <c r="KK132" s="204"/>
      <c r="KL132" s="204"/>
      <c r="KM132" s="204"/>
      <c r="KN132" s="204"/>
      <c r="KO132" s="204"/>
      <c r="KP132" s="204"/>
      <c r="KQ132" s="204"/>
      <c r="KR132" s="204"/>
      <c r="KS132" s="204"/>
      <c r="KT132" s="204"/>
      <c r="KU132" s="204"/>
      <c r="KV132" s="204"/>
      <c r="KW132" s="204"/>
      <c r="KX132" s="204"/>
      <c r="KY132" s="204"/>
      <c r="KZ132" s="204"/>
      <c r="LA132" s="204"/>
      <c r="LB132" s="204"/>
      <c r="LC132" s="204"/>
      <c r="LD132" s="204"/>
      <c r="LE132" s="204"/>
      <c r="LF132" s="204"/>
      <c r="LG132" s="204"/>
      <c r="LH132" s="204"/>
      <c r="LI132" s="204"/>
      <c r="LJ132" s="204"/>
      <c r="LK132" s="204"/>
    </row>
    <row r="133">
      <c r="A133" s="212"/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4"/>
      <c r="V133" s="215"/>
      <c r="W133" s="214"/>
      <c r="X133" s="214"/>
      <c r="Y133" s="214"/>
      <c r="Z133" s="204"/>
      <c r="AA133" s="204"/>
      <c r="AB133" s="209"/>
      <c r="AC133" s="204"/>
      <c r="AD133" s="204"/>
      <c r="AE133" s="204"/>
      <c r="AF133" s="204"/>
      <c r="AG133" s="204"/>
      <c r="AH133" s="204"/>
      <c r="AI133" s="204"/>
      <c r="AJ133" s="204"/>
      <c r="AK133" s="204"/>
      <c r="AL133" s="204"/>
      <c r="AM133" s="204"/>
      <c r="AN133" s="204"/>
      <c r="AO133" s="204"/>
      <c r="AP133" s="204"/>
      <c r="AQ133" s="204"/>
      <c r="AR133" s="204"/>
      <c r="AS133" s="204"/>
      <c r="AT133" s="204"/>
      <c r="AU133" s="204"/>
      <c r="AV133" s="204"/>
      <c r="AW133" s="204"/>
      <c r="AX133" s="204"/>
      <c r="AY133" s="204"/>
      <c r="AZ133" s="204"/>
      <c r="BA133" s="204"/>
      <c r="BB133" s="204"/>
      <c r="BC133" s="204"/>
      <c r="BD133" s="204"/>
      <c r="BE133" s="204"/>
      <c r="BF133" s="204"/>
      <c r="BG133" s="204"/>
      <c r="BH133" s="204"/>
      <c r="BI133" s="204"/>
      <c r="BJ133" s="204"/>
      <c r="BK133" s="204"/>
      <c r="BL133" s="204"/>
      <c r="BM133" s="204"/>
      <c r="BN133" s="204"/>
      <c r="BO133" s="204"/>
      <c r="BP133" s="204"/>
      <c r="BQ133" s="204"/>
      <c r="BR133" s="204"/>
      <c r="BS133" s="204"/>
      <c r="BT133" s="204"/>
      <c r="BU133" s="204"/>
      <c r="BV133" s="204"/>
      <c r="BW133" s="204"/>
      <c r="BX133" s="204"/>
      <c r="BY133" s="204"/>
      <c r="BZ133" s="204"/>
      <c r="CA133" s="204"/>
      <c r="CB133" s="204"/>
      <c r="CC133" s="204"/>
      <c r="CD133" s="204"/>
      <c r="CE133" s="204"/>
      <c r="CF133" s="204"/>
      <c r="CG133" s="204"/>
      <c r="CH133" s="204"/>
      <c r="CI133" s="204"/>
      <c r="CJ133" s="204"/>
      <c r="CK133" s="204"/>
      <c r="CL133" s="204"/>
      <c r="CM133" s="204"/>
      <c r="CN133" s="204"/>
      <c r="CO133" s="204"/>
      <c r="CP133" s="204"/>
      <c r="CQ133" s="204"/>
      <c r="CR133" s="204"/>
      <c r="CS133" s="204"/>
      <c r="CT133" s="204"/>
      <c r="CU133" s="204"/>
      <c r="CV133" s="204"/>
      <c r="CW133" s="204"/>
      <c r="CX133" s="204"/>
      <c r="CY133" s="204"/>
      <c r="CZ133" s="204"/>
      <c r="DA133" s="204"/>
      <c r="DB133" s="204"/>
      <c r="DC133" s="204"/>
      <c r="DD133" s="204"/>
      <c r="DE133" s="204"/>
      <c r="DF133" s="204"/>
      <c r="DG133" s="204"/>
      <c r="DH133" s="204"/>
      <c r="DI133" s="204"/>
      <c r="DJ133" s="204"/>
      <c r="DK133" s="204"/>
      <c r="DL133" s="204"/>
      <c r="DM133" s="204"/>
      <c r="DN133" s="204"/>
      <c r="DO133" s="204"/>
      <c r="DP133" s="204"/>
      <c r="DQ133" s="204"/>
      <c r="DR133" s="204"/>
      <c r="DS133" s="204"/>
      <c r="DT133" s="204"/>
      <c r="DU133" s="204"/>
      <c r="DV133" s="204"/>
      <c r="DW133" s="204"/>
      <c r="DX133" s="204"/>
      <c r="DY133" s="204"/>
      <c r="DZ133" s="204"/>
      <c r="EA133" s="204"/>
      <c r="EB133" s="204"/>
      <c r="EC133" s="204"/>
      <c r="ED133" s="204"/>
      <c r="EE133" s="204"/>
      <c r="EF133" s="204"/>
      <c r="EG133" s="204"/>
      <c r="EH133" s="204"/>
      <c r="EI133" s="204"/>
      <c r="EJ133" s="204"/>
      <c r="EK133" s="204"/>
      <c r="EL133" s="204"/>
      <c r="EM133" s="204"/>
      <c r="EN133" s="204"/>
      <c r="EO133" s="204"/>
      <c r="EP133" s="204"/>
      <c r="EQ133" s="204"/>
      <c r="ER133" s="204"/>
      <c r="ES133" s="204"/>
      <c r="ET133" s="204"/>
      <c r="EU133" s="204"/>
      <c r="EV133" s="204"/>
      <c r="EW133" s="204"/>
      <c r="EX133" s="204"/>
      <c r="EY133" s="204"/>
      <c r="EZ133" s="204"/>
      <c r="FA133" s="204"/>
      <c r="FB133" s="204"/>
      <c r="FC133" s="204"/>
      <c r="FD133" s="204"/>
      <c r="FE133" s="204"/>
      <c r="FF133" s="204"/>
      <c r="FG133" s="204"/>
      <c r="FH133" s="204"/>
      <c r="FI133" s="204"/>
      <c r="FJ133" s="204"/>
      <c r="FK133" s="204"/>
      <c r="FL133" s="204"/>
      <c r="FM133" s="204"/>
      <c r="FN133" s="204"/>
      <c r="FO133" s="204"/>
      <c r="FP133" s="204"/>
      <c r="FQ133" s="204"/>
      <c r="FR133" s="204"/>
      <c r="FS133" s="204"/>
      <c r="FT133" s="204"/>
      <c r="FU133" s="204"/>
      <c r="FV133" s="204"/>
      <c r="FW133" s="204"/>
      <c r="FX133" s="204"/>
      <c r="FY133" s="204"/>
      <c r="FZ133" s="204"/>
      <c r="GA133" s="204"/>
      <c r="GB133" s="204"/>
      <c r="GC133" s="204"/>
      <c r="GD133" s="204"/>
      <c r="GE133" s="204"/>
      <c r="GF133" s="204"/>
      <c r="GG133" s="204"/>
      <c r="GH133" s="204"/>
      <c r="GI133" s="204"/>
      <c r="GJ133" s="204"/>
      <c r="GK133" s="204"/>
      <c r="GL133" s="204"/>
      <c r="GM133" s="204"/>
      <c r="GN133" s="204"/>
      <c r="GO133" s="204"/>
      <c r="GP133" s="204"/>
      <c r="GQ133" s="204"/>
      <c r="GR133" s="204"/>
      <c r="GS133" s="204"/>
      <c r="GT133" s="204"/>
      <c r="GU133" s="204"/>
      <c r="GV133" s="204"/>
      <c r="GW133" s="204"/>
      <c r="GX133" s="204"/>
      <c r="GY133" s="204"/>
      <c r="GZ133" s="204"/>
      <c r="HA133" s="204"/>
      <c r="HB133" s="204"/>
      <c r="HC133" s="204"/>
      <c r="HD133" s="204"/>
      <c r="HE133" s="204"/>
      <c r="HF133" s="204"/>
      <c r="HG133" s="204"/>
      <c r="HH133" s="204"/>
      <c r="HI133" s="204"/>
      <c r="HJ133" s="204"/>
      <c r="HK133" s="204"/>
      <c r="HL133" s="204"/>
      <c r="HM133" s="204"/>
      <c r="HN133" s="204"/>
      <c r="HO133" s="204"/>
      <c r="HP133" s="204"/>
      <c r="HQ133" s="204"/>
      <c r="HR133" s="204"/>
      <c r="HS133" s="204"/>
      <c r="HT133" s="204"/>
      <c r="HU133" s="204"/>
      <c r="HV133" s="204"/>
      <c r="HW133" s="204"/>
      <c r="HX133" s="204"/>
      <c r="HY133" s="204"/>
      <c r="HZ133" s="204"/>
      <c r="IA133" s="204"/>
      <c r="IB133" s="204"/>
      <c r="IC133" s="204"/>
      <c r="ID133" s="204"/>
      <c r="IE133" s="204"/>
      <c r="IF133" s="204"/>
      <c r="IG133" s="204"/>
      <c r="IH133" s="204"/>
      <c r="II133" s="204"/>
      <c r="IJ133" s="204"/>
      <c r="IK133" s="204"/>
      <c r="IL133" s="204"/>
      <c r="IM133" s="204"/>
      <c r="IN133" s="204"/>
      <c r="IO133" s="204"/>
      <c r="IP133" s="204"/>
      <c r="IQ133" s="204"/>
      <c r="IR133" s="204"/>
      <c r="IS133" s="204"/>
      <c r="IT133" s="204"/>
      <c r="IU133" s="204"/>
      <c r="IV133" s="204"/>
      <c r="IW133" s="204"/>
      <c r="IX133" s="204"/>
      <c r="IY133" s="204"/>
      <c r="IZ133" s="204"/>
      <c r="JA133" s="204"/>
      <c r="JB133" s="204"/>
      <c r="JC133" s="204"/>
      <c r="JD133" s="204"/>
      <c r="JE133" s="204"/>
      <c r="JF133" s="204"/>
      <c r="JG133" s="204"/>
      <c r="JH133" s="204"/>
      <c r="JI133" s="204"/>
      <c r="JJ133" s="204"/>
      <c r="JK133" s="204"/>
      <c r="JL133" s="204"/>
      <c r="JM133" s="204"/>
      <c r="JN133" s="204"/>
      <c r="JO133" s="204"/>
      <c r="JP133" s="204"/>
      <c r="JQ133" s="204"/>
      <c r="JR133" s="204"/>
      <c r="JS133" s="204"/>
      <c r="JT133" s="204"/>
      <c r="JU133" s="204"/>
      <c r="JV133" s="204"/>
      <c r="JW133" s="204"/>
      <c r="JX133" s="204"/>
      <c r="JY133" s="204"/>
      <c r="JZ133" s="204"/>
      <c r="KA133" s="204"/>
      <c r="KB133" s="204"/>
      <c r="KC133" s="204"/>
      <c r="KD133" s="204"/>
      <c r="KE133" s="204"/>
      <c r="KF133" s="204"/>
      <c r="KG133" s="204"/>
      <c r="KH133" s="204"/>
      <c r="KI133" s="204"/>
      <c r="KJ133" s="204"/>
      <c r="KK133" s="204"/>
      <c r="KL133" s="204"/>
      <c r="KM133" s="204"/>
      <c r="KN133" s="204"/>
      <c r="KO133" s="204"/>
      <c r="KP133" s="204"/>
      <c r="KQ133" s="204"/>
      <c r="KR133" s="204"/>
      <c r="KS133" s="204"/>
      <c r="KT133" s="204"/>
      <c r="KU133" s="204"/>
      <c r="KV133" s="204"/>
      <c r="KW133" s="204"/>
      <c r="KX133" s="204"/>
      <c r="KY133" s="204"/>
      <c r="KZ133" s="204"/>
      <c r="LA133" s="204"/>
      <c r="LB133" s="204"/>
      <c r="LC133" s="204"/>
      <c r="LD133" s="204"/>
      <c r="LE133" s="204"/>
      <c r="LF133" s="204"/>
      <c r="LG133" s="204"/>
      <c r="LH133" s="204"/>
      <c r="LI133" s="204"/>
      <c r="LJ133" s="204"/>
      <c r="LK133" s="204"/>
    </row>
    <row r="134">
      <c r="A134" s="216" t="s">
        <v>404</v>
      </c>
      <c r="B134" s="217"/>
      <c r="C134" s="217"/>
      <c r="D134" s="217"/>
      <c r="E134" s="217"/>
      <c r="F134" s="217"/>
      <c r="G134" s="217"/>
      <c r="H134" s="217"/>
      <c r="I134" s="217"/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4"/>
      <c r="V134" s="5"/>
      <c r="W134" s="4"/>
      <c r="X134" s="4"/>
      <c r="Y134" s="4"/>
      <c r="AB134" s="3" t="s">
        <v>405</v>
      </c>
    </row>
    <row r="135">
      <c r="A135" s="218"/>
      <c r="B135" s="219" t="s">
        <v>19</v>
      </c>
      <c r="C135" s="219" t="s">
        <v>20</v>
      </c>
      <c r="D135" s="219" t="s">
        <v>21</v>
      </c>
      <c r="E135" s="219" t="s">
        <v>22</v>
      </c>
      <c r="F135" s="219" t="s">
        <v>23</v>
      </c>
      <c r="G135" s="219" t="s">
        <v>24</v>
      </c>
      <c r="H135" s="219" t="s">
        <v>25</v>
      </c>
      <c r="I135" s="219" t="s">
        <v>26</v>
      </c>
      <c r="J135" s="219" t="s">
        <v>27</v>
      </c>
      <c r="K135" s="219" t="s">
        <v>28</v>
      </c>
      <c r="L135" s="219" t="s">
        <v>29</v>
      </c>
      <c r="M135" s="219" t="s">
        <v>30</v>
      </c>
      <c r="N135" s="219" t="s">
        <v>31</v>
      </c>
      <c r="O135" s="219"/>
      <c r="P135" s="219" t="s">
        <v>32</v>
      </c>
      <c r="Q135" s="219" t="s">
        <v>33</v>
      </c>
      <c r="R135" s="219" t="s">
        <v>35</v>
      </c>
      <c r="S135" s="219" t="s">
        <v>406</v>
      </c>
      <c r="T135" s="219" t="s">
        <v>407</v>
      </c>
      <c r="U135" s="218" t="s">
        <v>408</v>
      </c>
      <c r="V135" s="220"/>
      <c r="W135" s="221" t="s">
        <v>356</v>
      </c>
      <c r="X135" s="218"/>
      <c r="Y135" s="221"/>
      <c r="AB135" s="222" t="s">
        <v>41</v>
      </c>
      <c r="AC135" s="222" t="s">
        <v>42</v>
      </c>
      <c r="AD135" s="222" t="s">
        <v>43</v>
      </c>
      <c r="AE135" s="222" t="s">
        <v>44</v>
      </c>
      <c r="AF135" s="222"/>
      <c r="AG135" s="222" t="s">
        <v>46</v>
      </c>
      <c r="AH135" s="222" t="s">
        <v>47</v>
      </c>
      <c r="AI135" s="222" t="s">
        <v>48</v>
      </c>
      <c r="AJ135" s="222" t="s">
        <v>49</v>
      </c>
      <c r="AK135" s="222" t="s">
        <v>50</v>
      </c>
      <c r="AL135" s="222" t="s">
        <v>51</v>
      </c>
      <c r="AM135" s="222" t="s">
        <v>52</v>
      </c>
      <c r="AN135" s="222" t="s">
        <v>53</v>
      </c>
      <c r="AO135" s="222" t="s">
        <v>54</v>
      </c>
      <c r="AP135" s="222" t="s">
        <v>55</v>
      </c>
      <c r="AQ135" s="222" t="s">
        <v>56</v>
      </c>
      <c r="AR135" s="222" t="s">
        <v>57</v>
      </c>
      <c r="AS135" s="222"/>
      <c r="AT135" s="222"/>
      <c r="AU135" s="222" t="s">
        <v>58</v>
      </c>
      <c r="AV135" s="222" t="s">
        <v>59</v>
      </c>
      <c r="AW135" s="222" t="s">
        <v>60</v>
      </c>
      <c r="AX135" s="222"/>
      <c r="AY135" s="222" t="s">
        <v>61</v>
      </c>
      <c r="AZ135" s="222" t="s">
        <v>62</v>
      </c>
      <c r="BA135" s="222" t="s">
        <v>63</v>
      </c>
      <c r="BB135" s="222"/>
      <c r="BC135" s="222" t="s">
        <v>64</v>
      </c>
      <c r="BD135" s="223" t="s">
        <v>65</v>
      </c>
      <c r="BE135" s="222" t="s">
        <v>66</v>
      </c>
      <c r="BF135" s="222" t="s">
        <v>67</v>
      </c>
      <c r="BG135" s="222"/>
      <c r="BH135" s="222"/>
      <c r="BI135" s="222" t="s">
        <v>68</v>
      </c>
      <c r="BJ135" s="222" t="s">
        <v>69</v>
      </c>
      <c r="BK135" s="222" t="s">
        <v>70</v>
      </c>
      <c r="BL135" s="222" t="s">
        <v>71</v>
      </c>
      <c r="BM135" s="222" t="s">
        <v>72</v>
      </c>
      <c r="BN135" s="222" t="s">
        <v>73</v>
      </c>
      <c r="BO135" s="222" t="s">
        <v>74</v>
      </c>
      <c r="BP135" s="222" t="s">
        <v>75</v>
      </c>
      <c r="BQ135" s="222" t="s">
        <v>76</v>
      </c>
      <c r="BR135" s="222" t="s">
        <v>77</v>
      </c>
      <c r="BS135" s="222" t="s">
        <v>78</v>
      </c>
      <c r="BT135" s="222" t="s">
        <v>79</v>
      </c>
      <c r="BU135" s="222" t="s">
        <v>80</v>
      </c>
      <c r="BV135" s="222" t="s">
        <v>81</v>
      </c>
      <c r="BW135" s="222" t="s">
        <v>82</v>
      </c>
      <c r="BX135" s="222" t="s">
        <v>83</v>
      </c>
      <c r="BY135" s="222" t="s">
        <v>84</v>
      </c>
      <c r="BZ135" s="222" t="s">
        <v>85</v>
      </c>
      <c r="CA135" s="222" t="s">
        <v>86</v>
      </c>
      <c r="CB135" s="222" t="s">
        <v>87</v>
      </c>
      <c r="CC135" s="222" t="s">
        <v>88</v>
      </c>
      <c r="CD135" s="222" t="s">
        <v>89</v>
      </c>
      <c r="CF135" s="218"/>
    </row>
    <row r="136">
      <c r="A136" s="49" t="s">
        <v>291</v>
      </c>
      <c r="B136" s="85">
        <v>3.6144837764E10</v>
      </c>
      <c r="C136" s="86">
        <v>3.0525840272E10</v>
      </c>
      <c r="D136" s="88">
        <v>5.618997493E9</v>
      </c>
      <c r="E136" s="85"/>
      <c r="F136" s="85">
        <v>1.859220502E9</v>
      </c>
      <c r="G136" s="85">
        <v>1.7159778E8</v>
      </c>
      <c r="H136" s="86">
        <v>7.94652E7</v>
      </c>
      <c r="I136" s="88">
        <v>2.110283482E9</v>
      </c>
      <c r="J136" s="88">
        <v>3.508714011E9</v>
      </c>
      <c r="K136" s="85"/>
      <c r="L136" s="224">
        <v>6333205.0</v>
      </c>
      <c r="M136" s="86">
        <v>1.989621115E9</v>
      </c>
      <c r="N136" s="50">
        <v>-1.98328791E9</v>
      </c>
      <c r="O136" s="85"/>
      <c r="P136" s="88">
        <v>1.525426101E9</v>
      </c>
      <c r="Q136" s="85" t="s">
        <v>295</v>
      </c>
      <c r="R136" s="85" t="s">
        <v>295</v>
      </c>
      <c r="S136" s="88">
        <v>1.525426101E9</v>
      </c>
      <c r="T136" s="85" t="s">
        <v>295</v>
      </c>
      <c r="U136" s="225">
        <v>1.525426101E9</v>
      </c>
      <c r="V136" s="105"/>
      <c r="W136" s="109"/>
      <c r="X136" s="58"/>
      <c r="Y136" s="195"/>
      <c r="AB136" s="27"/>
      <c r="AC136" s="27"/>
      <c r="AD136" s="28">
        <v>3.7441805525E10</v>
      </c>
      <c r="AE136" s="28">
        <v>5.6660824165E10</v>
      </c>
      <c r="AF136" s="28"/>
      <c r="AG136" s="28">
        <v>-2.76315621E8</v>
      </c>
      <c r="AH136" s="28">
        <v>8.891083379E9</v>
      </c>
      <c r="AI136" s="28">
        <v>7.3272111417E10</v>
      </c>
      <c r="AJ136" s="27"/>
      <c r="AK136" s="28"/>
      <c r="AL136" s="28">
        <v>2.5673426452E10</v>
      </c>
      <c r="AM136" s="61">
        <v>8.96499256E9</v>
      </c>
      <c r="AN136" s="62">
        <v>2.10627927879E11</v>
      </c>
      <c r="AO136" s="27"/>
      <c r="AP136" s="28">
        <v>1.28175E10</v>
      </c>
      <c r="AQ136" s="28">
        <v>1.22261837066E11</v>
      </c>
      <c r="AR136" s="28">
        <v>6.691080201E9</v>
      </c>
      <c r="AS136" s="61"/>
      <c r="AT136" s="61"/>
      <c r="AU136" s="61">
        <v>1.108964324E9</v>
      </c>
      <c r="AV136" s="63">
        <v>1.42879381591E11</v>
      </c>
      <c r="AW136" s="62">
        <v>3.53507309469E11</v>
      </c>
      <c r="AX136" s="27"/>
      <c r="AY136" s="27"/>
      <c r="AZ136" s="27"/>
      <c r="BA136" s="28">
        <v>1.1920210009E10</v>
      </c>
      <c r="BC136" s="27"/>
      <c r="BD136" s="27"/>
      <c r="BE136" s="28">
        <v>3.167318423E9</v>
      </c>
      <c r="BF136" s="27"/>
      <c r="BG136" s="28"/>
      <c r="BH136" s="28"/>
      <c r="BI136" s="28">
        <v>1.0274448653E10</v>
      </c>
      <c r="BJ136" s="27"/>
      <c r="BK136" s="61">
        <v>2.08622398228E11</v>
      </c>
      <c r="BL136" s="62">
        <v>2.33984375313E11</v>
      </c>
      <c r="BM136" s="27"/>
      <c r="BN136" s="27"/>
      <c r="BO136" s="27"/>
      <c r="BP136" s="27"/>
      <c r="BQ136" s="28">
        <v>3.748191578E9</v>
      </c>
      <c r="BR136" s="62">
        <v>3.748191578E9</v>
      </c>
      <c r="BS136" s="27"/>
      <c r="BT136" s="63">
        <v>2.37732566891E11</v>
      </c>
      <c r="BU136" s="27"/>
      <c r="BV136" s="28">
        <v>6.8245E10</v>
      </c>
      <c r="BW136" s="28">
        <v>1.538872462E9</v>
      </c>
      <c r="BX136" s="28">
        <v>4.6486217429E10</v>
      </c>
      <c r="BY136" s="28">
        <v>-4.95347313E8</v>
      </c>
      <c r="BZ136" s="27"/>
      <c r="CA136" s="27"/>
      <c r="CB136" s="27"/>
      <c r="CC136" s="62">
        <v>1.15774742578E11</v>
      </c>
      <c r="CD136" s="62">
        <v>3.53507309469E11</v>
      </c>
      <c r="CF136" s="49" t="s">
        <v>291</v>
      </c>
    </row>
    <row r="137">
      <c r="A137" s="49" t="s">
        <v>296</v>
      </c>
      <c r="B137" s="85">
        <v>3.776633567E10</v>
      </c>
      <c r="C137" s="86">
        <v>2.9542998342E10</v>
      </c>
      <c r="D137" s="88">
        <v>8.223337327E9</v>
      </c>
      <c r="E137" s="85"/>
      <c r="F137" s="85">
        <v>1.979737296E9</v>
      </c>
      <c r="G137" s="85">
        <v>6.6392297E7</v>
      </c>
      <c r="H137" s="86">
        <v>275000.0</v>
      </c>
      <c r="I137" s="88">
        <v>2.046404593E9</v>
      </c>
      <c r="J137" s="88">
        <v>6.176932735E9</v>
      </c>
      <c r="K137" s="85"/>
      <c r="L137" s="224">
        <v>3.36534132E8</v>
      </c>
      <c r="M137" s="86">
        <v>2.917719928E9</v>
      </c>
      <c r="N137" s="50">
        <v>-2.581185796E9</v>
      </c>
      <c r="O137" s="85"/>
      <c r="P137" s="88">
        <v>3.595746938E9</v>
      </c>
      <c r="Q137" s="85" t="s">
        <v>295</v>
      </c>
      <c r="R137" s="85" t="s">
        <v>295</v>
      </c>
      <c r="S137" s="88">
        <v>3.595746938E9</v>
      </c>
      <c r="T137" s="85" t="s">
        <v>295</v>
      </c>
      <c r="U137" s="225">
        <v>3.595746938E9</v>
      </c>
      <c r="V137" s="105"/>
      <c r="W137" s="109"/>
      <c r="X137" s="58"/>
      <c r="Y137" s="195"/>
      <c r="AB137" s="27"/>
      <c r="AC137" s="27"/>
      <c r="AD137" s="28">
        <v>1.6176630261E10</v>
      </c>
      <c r="AE137" s="28">
        <v>6.0862120999E10</v>
      </c>
      <c r="AF137" s="28"/>
      <c r="AG137" s="28">
        <v>-2.76315621E8</v>
      </c>
      <c r="AH137" s="28">
        <v>8.46578738E9</v>
      </c>
      <c r="AI137" s="28">
        <v>8.6337395111E10</v>
      </c>
      <c r="AJ137" s="27"/>
      <c r="AK137" s="27"/>
      <c r="AL137" s="28">
        <v>9.231193513E9</v>
      </c>
      <c r="AM137" s="61">
        <v>1.1203097682E10</v>
      </c>
      <c r="AN137" s="62">
        <v>1.91999909324E11</v>
      </c>
      <c r="AO137" s="27"/>
      <c r="AP137" s="28">
        <v>1.28175E10</v>
      </c>
      <c r="AQ137" s="28">
        <v>1.25313548057E11</v>
      </c>
      <c r="AR137" s="28">
        <v>6.662088367E9</v>
      </c>
      <c r="AS137" s="61"/>
      <c r="AT137" s="61"/>
      <c r="AU137" s="61">
        <v>1.108964324E9</v>
      </c>
      <c r="AV137" s="63">
        <v>1.45902100748E11</v>
      </c>
      <c r="AW137" s="62">
        <v>3.37902010072E11</v>
      </c>
      <c r="AX137" s="27"/>
      <c r="AY137" s="27"/>
      <c r="AZ137" s="27"/>
      <c r="BA137" s="28">
        <v>8.57203758E9</v>
      </c>
      <c r="BB137" s="27"/>
      <c r="BC137" s="27"/>
      <c r="BD137" s="27"/>
      <c r="BE137" s="28">
        <v>3.964930394E9</v>
      </c>
      <c r="BF137" s="27"/>
      <c r="BG137" s="28"/>
      <c r="BH137" s="28"/>
      <c r="BI137" s="28">
        <v>8.033748456E9</v>
      </c>
      <c r="BJ137" s="27"/>
      <c r="BK137" s="61">
        <v>1.78095094338E11</v>
      </c>
      <c r="BL137" s="62">
        <v>1.98665810768E11</v>
      </c>
      <c r="BM137" s="27"/>
      <c r="BN137" s="27"/>
      <c r="BO137" s="27"/>
      <c r="BP137" s="27"/>
      <c r="BQ137" s="28">
        <v>1.6131668617E10</v>
      </c>
      <c r="BR137" s="62">
        <v>3.747578025E9</v>
      </c>
      <c r="BS137" s="62">
        <v>1.9879246642E10</v>
      </c>
      <c r="BT137" s="63">
        <v>2.1854505741E11</v>
      </c>
      <c r="BU137" s="27"/>
      <c r="BV137" s="28">
        <v>6.8245E10</v>
      </c>
      <c r="BW137" s="27"/>
      <c r="BX137" s="28">
        <v>5.121082546E9</v>
      </c>
      <c r="BY137" s="28">
        <v>4.6486217429E10</v>
      </c>
      <c r="BZ137" s="28">
        <v>-4.95347313E8</v>
      </c>
      <c r="CA137" s="27"/>
      <c r="CB137" s="27"/>
      <c r="CC137" s="62">
        <v>1.19356952662E11</v>
      </c>
      <c r="CD137" s="62">
        <v>3.37902010072E11</v>
      </c>
      <c r="CF137" s="49" t="s">
        <v>296</v>
      </c>
    </row>
    <row r="138">
      <c r="A138" s="49" t="s">
        <v>299</v>
      </c>
      <c r="B138" s="85">
        <v>2.9342627785E10</v>
      </c>
      <c r="C138" s="86">
        <v>2.6658795028E10</v>
      </c>
      <c r="D138" s="88">
        <v>2.683832757E9</v>
      </c>
      <c r="E138" s="85"/>
      <c r="F138" s="85">
        <v>2.06292939E9</v>
      </c>
      <c r="G138" s="85">
        <v>2.09247245E8</v>
      </c>
      <c r="H138" s="86">
        <v>2.5E7</v>
      </c>
      <c r="I138" s="88">
        <v>2.297176635E9</v>
      </c>
      <c r="J138" s="88">
        <v>3.86656122E8</v>
      </c>
      <c r="K138" s="85"/>
      <c r="L138" s="224">
        <v>1.58215136E8</v>
      </c>
      <c r="M138" s="86">
        <v>2.17146089E9</v>
      </c>
      <c r="N138" s="50">
        <v>-2.013245754E9</v>
      </c>
      <c r="O138" s="85"/>
      <c r="P138" s="88">
        <v>-1.626589631E9</v>
      </c>
      <c r="Q138" s="85" t="s">
        <v>295</v>
      </c>
      <c r="R138" s="85" t="s">
        <v>295</v>
      </c>
      <c r="S138" s="88">
        <v>-1.626589631E9</v>
      </c>
      <c r="T138" s="85" t="s">
        <v>295</v>
      </c>
      <c r="U138" s="225">
        <v>-1.626589631E9</v>
      </c>
      <c r="V138" s="105"/>
      <c r="W138" s="109"/>
      <c r="X138" s="58"/>
      <c r="Y138" s="195"/>
      <c r="AB138" s="27"/>
      <c r="AC138" s="27"/>
      <c r="AD138" s="28">
        <v>1.1274559787E10</v>
      </c>
      <c r="AE138" s="28">
        <v>5.4557036648E10</v>
      </c>
      <c r="AF138" s="28"/>
      <c r="AG138" s="28">
        <v>-2.76315621E8</v>
      </c>
      <c r="AH138" s="28">
        <v>9.234613042E9</v>
      </c>
      <c r="AI138" s="28">
        <v>6.9941413187E10</v>
      </c>
      <c r="AJ138" s="27"/>
      <c r="AK138" s="27"/>
      <c r="AL138" s="28">
        <v>1.7241015149E10</v>
      </c>
      <c r="AM138" s="61">
        <v>8.274856411E9</v>
      </c>
      <c r="AN138" s="62">
        <v>1.70247178603E11</v>
      </c>
      <c r="AO138" s="27"/>
      <c r="AP138" s="28">
        <v>1.28175E10</v>
      </c>
      <c r="AQ138" s="28">
        <v>1.25860234759E11</v>
      </c>
      <c r="AR138" s="28">
        <v>6.633096532E9</v>
      </c>
      <c r="AS138" s="61"/>
      <c r="AT138" s="61"/>
      <c r="AU138" s="61">
        <v>1.108964324E9</v>
      </c>
      <c r="AV138" s="63">
        <v>1.46419795615E11</v>
      </c>
      <c r="AW138" s="62">
        <v>3.16666974218E11</v>
      </c>
      <c r="AX138" s="27"/>
      <c r="AY138" s="27"/>
      <c r="AZ138" s="27"/>
      <c r="BA138" s="28">
        <v>5.177282339E9</v>
      </c>
      <c r="BB138" s="27"/>
      <c r="BC138" s="27"/>
      <c r="BD138" s="27"/>
      <c r="BE138" s="28">
        <v>1.392130703E9</v>
      </c>
      <c r="BF138" s="27"/>
      <c r="BG138" s="28"/>
      <c r="BH138" s="28"/>
      <c r="BI138" s="28">
        <v>1.851969302E9</v>
      </c>
      <c r="BJ138" s="27"/>
      <c r="BK138" s="61">
        <v>1.87203843373E11</v>
      </c>
      <c r="BL138" s="62">
        <v>1.95625225718E11</v>
      </c>
      <c r="BM138" s="27"/>
      <c r="BN138" s="27"/>
      <c r="BO138" s="27"/>
      <c r="BP138" s="27"/>
      <c r="BQ138" s="28">
        <v>3.287998963E9</v>
      </c>
      <c r="BS138" s="62">
        <v>3.287998963E9</v>
      </c>
      <c r="BT138" s="63">
        <v>1.98913224681E11</v>
      </c>
      <c r="BU138" s="27"/>
      <c r="BV138" s="28">
        <v>6.8245E10</v>
      </c>
      <c r="BW138" s="28"/>
      <c r="BX138" s="28">
        <v>3.51787942E9</v>
      </c>
      <c r="BY138" s="28">
        <v>4.6486217429E10</v>
      </c>
      <c r="BZ138" s="28">
        <v>-4.95347313E8</v>
      </c>
      <c r="CA138" s="27"/>
      <c r="CB138" s="27"/>
      <c r="CC138" s="62">
        <v>1.17753749536E11</v>
      </c>
      <c r="CD138" s="62">
        <v>3.16666974217E11</v>
      </c>
      <c r="CF138" s="49" t="s">
        <v>299</v>
      </c>
    </row>
    <row r="139">
      <c r="A139" s="49" t="s">
        <v>302</v>
      </c>
      <c r="B139" s="85">
        <v>2.1149617773E10</v>
      </c>
      <c r="C139" s="86">
        <v>1.8886155561E10</v>
      </c>
      <c r="D139" s="88">
        <v>2.263462212E9</v>
      </c>
      <c r="E139" s="85"/>
      <c r="F139" s="85">
        <v>2.401928408E9</v>
      </c>
      <c r="G139" s="85">
        <v>6.9348572E7</v>
      </c>
      <c r="H139" s="86">
        <v>3.7584E7</v>
      </c>
      <c r="I139" s="88">
        <v>2.50886098E9</v>
      </c>
      <c r="J139" s="88">
        <v>-2.45398767E8</v>
      </c>
      <c r="K139" s="85"/>
      <c r="L139" s="224">
        <v>4.55073472E8</v>
      </c>
      <c r="M139" s="86">
        <v>2.33384148E9</v>
      </c>
      <c r="N139" s="50">
        <v>-1.878768008E9</v>
      </c>
      <c r="O139" s="85"/>
      <c r="P139" s="88">
        <v>-2.124166775E9</v>
      </c>
      <c r="Q139" s="85" t="s">
        <v>295</v>
      </c>
      <c r="R139" s="85" t="s">
        <v>295</v>
      </c>
      <c r="S139" s="88">
        <v>-2.124166775E9</v>
      </c>
      <c r="T139" s="85" t="s">
        <v>295</v>
      </c>
      <c r="U139" s="225">
        <v>-2.124166775E9</v>
      </c>
      <c r="V139" s="105"/>
      <c r="W139" s="104"/>
      <c r="X139" s="58"/>
      <c r="Y139" s="195"/>
      <c r="AB139" s="27"/>
      <c r="AC139" s="27"/>
      <c r="AD139" s="28">
        <v>1.5209082615E10</v>
      </c>
      <c r="AE139" s="28">
        <v>4.1582701137E10</v>
      </c>
      <c r="AF139" s="28"/>
      <c r="AG139" s="28">
        <v>-3.94447825E8</v>
      </c>
      <c r="AH139" s="28">
        <v>6.499963246E9</v>
      </c>
      <c r="AI139" s="28">
        <v>7.7003632868E10</v>
      </c>
      <c r="AJ139" s="27"/>
      <c r="AK139" s="27"/>
      <c r="AL139" s="28">
        <v>3.691251637E10</v>
      </c>
      <c r="AM139" s="61">
        <v>9.605168571E9</v>
      </c>
      <c r="AN139" s="62">
        <v>1.86418616982E11</v>
      </c>
      <c r="AO139" s="27"/>
      <c r="AP139" s="28">
        <v>1.28175E10</v>
      </c>
      <c r="AQ139" s="28">
        <v>1.25652380179E11</v>
      </c>
      <c r="AR139" s="28">
        <v>6.602253457E9</v>
      </c>
      <c r="AS139" s="61"/>
      <c r="AT139" s="61"/>
      <c r="AU139" s="61">
        <v>2.23382563E9</v>
      </c>
      <c r="AV139" s="63">
        <v>1.47305959266E11</v>
      </c>
      <c r="AW139" s="62">
        <v>3.33724576248E11</v>
      </c>
      <c r="AX139" s="27"/>
      <c r="AY139" s="27"/>
      <c r="AZ139" s="27"/>
      <c r="BA139" s="28">
        <v>7.308876196E9</v>
      </c>
      <c r="BB139" s="27"/>
      <c r="BC139" s="27"/>
      <c r="BD139" s="27"/>
      <c r="BE139" s="28">
        <v>2.211426706E9</v>
      </c>
      <c r="BF139" s="27"/>
      <c r="BG139" s="28"/>
      <c r="BH139" s="28"/>
      <c r="BI139" s="28">
        <v>2.070346114E9</v>
      </c>
      <c r="BJ139" s="27"/>
      <c r="BK139" s="61">
        <v>1.86931451312E11</v>
      </c>
      <c r="BL139" s="62">
        <v>1.98522100328E11</v>
      </c>
      <c r="BM139" s="27"/>
      <c r="BN139" s="28">
        <v>1.5378310047E10</v>
      </c>
      <c r="BO139" s="27"/>
      <c r="BP139" s="27"/>
      <c r="BQ139" s="28">
        <v>8.036209233E9</v>
      </c>
      <c r="BR139" s="27"/>
      <c r="BS139" s="62">
        <v>2.341451928E10</v>
      </c>
      <c r="BT139" s="63">
        <v>2.21936619608E11</v>
      </c>
      <c r="BU139" s="27"/>
      <c r="BV139" s="28">
        <v>6.8245E10</v>
      </c>
      <c r="BW139" s="27"/>
      <c r="BX139" s="28">
        <v>1.370432003E9</v>
      </c>
      <c r="BY139" s="28">
        <v>4.4918901718E10</v>
      </c>
      <c r="BZ139" s="28">
        <v>-2.746377081E9</v>
      </c>
      <c r="CA139" s="27"/>
      <c r="CB139" s="27"/>
      <c r="CC139" s="62">
        <v>1.1178795664E11</v>
      </c>
      <c r="CD139" s="62">
        <v>3.33724576248E11</v>
      </c>
      <c r="CF139" s="49" t="s">
        <v>302</v>
      </c>
    </row>
    <row r="140">
      <c r="A140" s="49" t="s">
        <v>304</v>
      </c>
      <c r="B140" s="85">
        <v>3.5874137623E10</v>
      </c>
      <c r="C140" s="86">
        <v>2.9055992715E10</v>
      </c>
      <c r="D140" s="88">
        <v>6.818144908E9</v>
      </c>
      <c r="E140" s="85"/>
      <c r="F140" s="85">
        <v>2.648128326E9</v>
      </c>
      <c r="G140" s="85">
        <v>5.9343177E7</v>
      </c>
      <c r="H140" s="86">
        <v>1.2162E7</v>
      </c>
      <c r="I140" s="88">
        <v>2.719633503E9</v>
      </c>
      <c r="J140" s="88">
        <v>4.098511405E9</v>
      </c>
      <c r="K140" s="85"/>
      <c r="L140" s="224">
        <v>8.78153604E8</v>
      </c>
      <c r="M140" s="86">
        <v>2.169650612E9</v>
      </c>
      <c r="N140" s="50">
        <v>-1.291497008E9</v>
      </c>
      <c r="O140" s="85"/>
      <c r="P140" s="88">
        <v>2.807014398E9</v>
      </c>
      <c r="Q140" s="85" t="s">
        <v>295</v>
      </c>
      <c r="R140" s="85" t="s">
        <v>295</v>
      </c>
      <c r="S140" s="88">
        <v>2.807014398E9</v>
      </c>
      <c r="T140" s="85" t="s">
        <v>295</v>
      </c>
      <c r="U140" s="225">
        <v>2.807014398E9</v>
      </c>
      <c r="V140" s="105"/>
      <c r="W140" s="104"/>
      <c r="X140" s="109"/>
      <c r="Y140" s="109"/>
      <c r="AB140" s="27"/>
      <c r="AC140" s="27"/>
      <c r="AD140" s="28">
        <v>2.4368356983E10</v>
      </c>
      <c r="AE140" s="28">
        <v>5.9413156396E10</v>
      </c>
      <c r="AF140" s="28"/>
      <c r="AG140" s="28">
        <v>-3.94447825E8</v>
      </c>
      <c r="AH140" s="28">
        <v>5.706336746E9</v>
      </c>
      <c r="AI140" s="28">
        <v>6.3493275944E10</v>
      </c>
      <c r="AJ140" s="27"/>
      <c r="AK140" s="27"/>
      <c r="AL140" s="28">
        <v>2.8795471351E10</v>
      </c>
      <c r="AM140" s="61">
        <v>9.201577018E9</v>
      </c>
      <c r="AN140" s="62">
        <v>1.90583726613E11</v>
      </c>
      <c r="AO140" s="27"/>
      <c r="AP140" s="28">
        <v>1.28175E10</v>
      </c>
      <c r="AQ140" s="28">
        <v>1.25693843098E11</v>
      </c>
      <c r="AR140" s="28">
        <v>6.573616822E9</v>
      </c>
      <c r="AS140" s="61"/>
      <c r="AT140" s="61"/>
      <c r="AU140" s="61">
        <v>2.23382563E9</v>
      </c>
      <c r="AV140" s="63">
        <v>1.4731878555E11</v>
      </c>
      <c r="AW140" s="62">
        <v>3.37902512163E11</v>
      </c>
      <c r="AX140" s="27"/>
      <c r="AY140" s="27"/>
      <c r="AZ140" s="27"/>
      <c r="BA140" s="28">
        <v>7.935622859E9</v>
      </c>
      <c r="BB140" s="27"/>
      <c r="BC140" s="27"/>
      <c r="BD140" s="27"/>
      <c r="BE140" s="28">
        <v>4.102173416E9</v>
      </c>
      <c r="BF140" s="27"/>
      <c r="BG140" s="28"/>
      <c r="BH140" s="28"/>
      <c r="BI140" s="28">
        <v>1.470070736E9</v>
      </c>
      <c r="BJ140" s="27"/>
      <c r="BK140" s="61">
        <v>1.86375698358E11</v>
      </c>
      <c r="BL140" s="62">
        <v>1.99883565369E11</v>
      </c>
      <c r="BM140" s="27"/>
      <c r="BN140" s="28">
        <v>1.5397612802E10</v>
      </c>
      <c r="BO140" s="27"/>
      <c r="BP140" s="27"/>
      <c r="BQ140" s="28">
        <v>8.02639239E9</v>
      </c>
      <c r="BR140" s="27"/>
      <c r="BS140" s="62">
        <v>2.3424005192E10</v>
      </c>
      <c r="BT140" s="63">
        <v>2.23307570561E11</v>
      </c>
      <c r="BU140" s="27"/>
      <c r="BV140" s="28">
        <v>6.8245E10</v>
      </c>
      <c r="BW140" s="27"/>
      <c r="BX140" s="28">
        <v>4.177416965E9</v>
      </c>
      <c r="BY140" s="28">
        <v>4.4918901718E10</v>
      </c>
      <c r="BZ140" s="28">
        <v>-2.746377081E9</v>
      </c>
      <c r="CA140" s="27"/>
      <c r="CB140" s="27"/>
      <c r="CC140" s="62">
        <v>1.14594941602E11</v>
      </c>
      <c r="CD140" s="62">
        <v>3.37902512163E11</v>
      </c>
      <c r="CF140" s="49" t="s">
        <v>304</v>
      </c>
    </row>
    <row r="141">
      <c r="A141" s="49" t="s">
        <v>313</v>
      </c>
      <c r="B141" s="50">
        <v>2.8478280858E10</v>
      </c>
      <c r="C141" s="52">
        <v>2.3937951678E10</v>
      </c>
      <c r="D141" s="53">
        <v>4.54032918E9</v>
      </c>
      <c r="E141" s="50"/>
      <c r="F141" s="50">
        <v>2.248331391E9</v>
      </c>
      <c r="G141" s="50">
        <v>1.21268357E8</v>
      </c>
      <c r="H141" s="52">
        <v>6.07807E7</v>
      </c>
      <c r="I141" s="53">
        <v>2.430380448E9</v>
      </c>
      <c r="J141" s="53">
        <v>2.109948733E9</v>
      </c>
      <c r="K141" s="50"/>
      <c r="L141" s="226">
        <v>2.4919666E7</v>
      </c>
      <c r="M141" s="52">
        <v>2.440048742E9</v>
      </c>
      <c r="N141" s="50">
        <v>-2.415129076E9</v>
      </c>
      <c r="O141" s="50"/>
      <c r="P141" s="53">
        <v>-3.05180343E8</v>
      </c>
      <c r="Q141" s="85" t="s">
        <v>295</v>
      </c>
      <c r="R141" s="85" t="s">
        <v>295</v>
      </c>
      <c r="S141" s="53">
        <v>-3.05180343E8</v>
      </c>
      <c r="T141" s="85" t="s">
        <v>295</v>
      </c>
      <c r="U141" s="225">
        <v>-3.05180343E8</v>
      </c>
      <c r="V141" s="105"/>
      <c r="W141" s="104"/>
      <c r="X141" s="109"/>
      <c r="Y141" s="109"/>
      <c r="AB141" s="27"/>
      <c r="AC141" s="27"/>
      <c r="AD141" s="28">
        <v>1.4795070764E10</v>
      </c>
      <c r="AE141" s="28">
        <v>6.7223408898E10</v>
      </c>
      <c r="AF141" s="28"/>
      <c r="AG141" s="28">
        <v>-3.94447825E8</v>
      </c>
      <c r="AH141" s="28">
        <v>5.633393789E9</v>
      </c>
      <c r="AI141" s="28">
        <v>6.8427588461E10</v>
      </c>
      <c r="AJ141" s="27"/>
      <c r="AK141" s="27"/>
      <c r="AL141" s="28">
        <v>3.274967475E10</v>
      </c>
      <c r="AM141" s="61">
        <v>8.218121098E9</v>
      </c>
      <c r="AN141" s="62">
        <v>1.96652809935E11</v>
      </c>
      <c r="AO141" s="27"/>
      <c r="AP141" s="28">
        <v>1.28175E10</v>
      </c>
      <c r="AQ141" s="28">
        <v>1.25401013915E11</v>
      </c>
      <c r="AR141" s="28">
        <v>6.544624988E9</v>
      </c>
      <c r="AS141" s="61"/>
      <c r="AT141" s="61"/>
      <c r="AU141" s="61">
        <v>2.23382563E9</v>
      </c>
      <c r="AV141" s="63">
        <v>1.46996964533E11</v>
      </c>
      <c r="AW141" s="62">
        <v>3.43649774468E11</v>
      </c>
      <c r="AX141" s="27"/>
      <c r="AY141" s="27"/>
      <c r="AZ141" s="27"/>
      <c r="BA141" s="28">
        <v>1.0972074544E10</v>
      </c>
      <c r="BB141" s="27"/>
      <c r="BC141" s="27"/>
      <c r="BD141" s="27"/>
      <c r="BE141" s="28">
        <v>3.200577982E9</v>
      </c>
      <c r="BF141" s="27"/>
      <c r="BG141" s="28"/>
      <c r="BH141" s="28"/>
      <c r="BI141" s="28">
        <v>8.87204806E8</v>
      </c>
      <c r="BJ141" s="27"/>
      <c r="BK141" s="61">
        <v>1.90885058208E11</v>
      </c>
      <c r="BL141" s="62">
        <v>2.0594491554E11</v>
      </c>
      <c r="BM141" s="27"/>
      <c r="BN141" s="28">
        <v>1.5399414819E10</v>
      </c>
      <c r="BO141" s="27"/>
      <c r="BP141" s="27"/>
      <c r="BQ141" s="28">
        <v>8.00939239E9</v>
      </c>
      <c r="BR141" s="27"/>
      <c r="BS141" s="62">
        <v>2.3408807209E10</v>
      </c>
      <c r="BT141" s="63">
        <v>2.29353722749E11</v>
      </c>
      <c r="BU141" s="27"/>
      <c r="BV141" s="28">
        <v>6.8245E10</v>
      </c>
      <c r="BW141" s="27"/>
      <c r="BX141" s="28">
        <v>3.878527081E9</v>
      </c>
      <c r="BY141" s="28">
        <v>4.4918901718E10</v>
      </c>
      <c r="BZ141" s="28">
        <v>-2.746377081E9</v>
      </c>
      <c r="CA141" s="27"/>
      <c r="CB141" s="27"/>
      <c r="CC141" s="62">
        <v>1.14296051718E11</v>
      </c>
      <c r="CD141" s="62">
        <v>3.43649774467E11</v>
      </c>
      <c r="CF141" s="49" t="s">
        <v>313</v>
      </c>
    </row>
    <row r="142">
      <c r="A142" s="49" t="s">
        <v>316</v>
      </c>
      <c r="B142" s="50">
        <v>5.6677492673E10</v>
      </c>
      <c r="C142" s="52">
        <v>4.6787810381E10</v>
      </c>
      <c r="D142" s="53">
        <v>9.889682292E9</v>
      </c>
      <c r="E142" s="50"/>
      <c r="F142" s="50">
        <v>2.75160396E9</v>
      </c>
      <c r="G142" s="50">
        <v>9.8013904E7</v>
      </c>
      <c r="H142" s="52">
        <v>5.5235375E7</v>
      </c>
      <c r="I142" s="53">
        <v>2.90485324E9</v>
      </c>
      <c r="J142" s="53">
        <v>6.984829053E9</v>
      </c>
      <c r="K142" s="50"/>
      <c r="L142" s="50">
        <v>1.81453082E8</v>
      </c>
      <c r="M142" s="52">
        <v>1.965264357E9</v>
      </c>
      <c r="N142" s="50">
        <v>-1.783811274E9</v>
      </c>
      <c r="O142" s="50"/>
      <c r="P142" s="53">
        <v>5.201017778E9</v>
      </c>
      <c r="Q142" s="50" t="s">
        <v>295</v>
      </c>
      <c r="R142" s="50" t="s">
        <v>295</v>
      </c>
      <c r="S142" s="53">
        <v>5.201017778E9</v>
      </c>
      <c r="T142" s="50" t="s">
        <v>295</v>
      </c>
      <c r="U142" s="225">
        <v>5.201017778E9</v>
      </c>
      <c r="V142" s="105"/>
      <c r="W142" s="104"/>
      <c r="X142" s="109"/>
      <c r="Y142" s="109"/>
      <c r="AB142" s="27"/>
      <c r="AC142" s="27"/>
      <c r="AD142" s="28">
        <v>1.4913410962E10</v>
      </c>
      <c r="AE142" s="28">
        <v>9.2547526309E10</v>
      </c>
      <c r="AF142" s="28"/>
      <c r="AG142" s="28">
        <v>-3.94447825E8</v>
      </c>
      <c r="AH142" s="28">
        <v>5.762393789E9</v>
      </c>
      <c r="AI142" s="28">
        <v>5.3513588691E10</v>
      </c>
      <c r="AJ142" s="27"/>
      <c r="AK142" s="27"/>
      <c r="AL142" s="28">
        <v>2.9119449518E10</v>
      </c>
      <c r="AM142" s="61">
        <v>8.489451747E9</v>
      </c>
      <c r="AN142" s="62">
        <v>2.03951373192E11</v>
      </c>
      <c r="AO142" s="27"/>
      <c r="AP142" s="28">
        <v>1.28175E10</v>
      </c>
      <c r="AQ142" s="28">
        <v>1.27515913882E11</v>
      </c>
      <c r="AR142" s="28">
        <v>6.515633154E9</v>
      </c>
      <c r="AS142" s="61"/>
      <c r="AT142" s="61"/>
      <c r="AU142" s="61">
        <v>2.23382563E9</v>
      </c>
      <c r="AV142" s="63">
        <v>1.49082872665E11</v>
      </c>
      <c r="AW142" s="62">
        <v>3.53034245857E11</v>
      </c>
      <c r="AX142" s="27"/>
      <c r="AY142" s="27"/>
      <c r="AZ142" s="27"/>
      <c r="BA142" s="28">
        <v>1.8212734681E10</v>
      </c>
      <c r="BB142" s="27"/>
      <c r="BC142" s="27"/>
      <c r="BD142" s="27" t="s">
        <v>295</v>
      </c>
      <c r="BE142" s="28">
        <v>5.683833275E9</v>
      </c>
      <c r="BF142" s="27"/>
      <c r="BG142" s="28"/>
      <c r="BH142" s="28"/>
      <c r="BI142" s="28">
        <v>1.495333278E9</v>
      </c>
      <c r="BJ142" s="27" t="s">
        <v>295</v>
      </c>
      <c r="BK142" s="61">
        <v>1.84742012601E11</v>
      </c>
      <c r="BL142" s="62">
        <v>2.10133913834E11</v>
      </c>
      <c r="BM142" s="27"/>
      <c r="BN142" s="28">
        <v>1.5401214441E10</v>
      </c>
      <c r="BO142" s="27"/>
      <c r="BP142" s="27"/>
      <c r="BQ142" s="28">
        <v>8.002118918E9</v>
      </c>
      <c r="BS142" s="62">
        <v>2.3403333359E10</v>
      </c>
      <c r="BT142" s="63">
        <v>2.33537247194E11</v>
      </c>
      <c r="BU142" s="27"/>
      <c r="BV142" s="28">
        <v>6.8245E10</v>
      </c>
      <c r="BW142" s="27"/>
      <c r="BX142" s="28">
        <v>9.079474026E9</v>
      </c>
      <c r="BY142" s="28">
        <v>4.4918901718E10</v>
      </c>
      <c r="BZ142" s="28">
        <v>-2.746377081E9</v>
      </c>
      <c r="CA142" s="27"/>
      <c r="CB142" s="27"/>
      <c r="CC142" s="62">
        <v>1.19496998663E11</v>
      </c>
      <c r="CD142" s="62">
        <v>3.53034245857E11</v>
      </c>
      <c r="CF142" s="49" t="s">
        <v>316</v>
      </c>
    </row>
    <row r="143">
      <c r="A143" s="49" t="s">
        <v>318</v>
      </c>
      <c r="B143" s="50">
        <v>5.2110251048E10</v>
      </c>
      <c r="C143" s="52">
        <v>4.2054161272E10</v>
      </c>
      <c r="D143" s="53">
        <v>1.0056089776E10</v>
      </c>
      <c r="E143" s="50"/>
      <c r="F143" s="50">
        <v>2.026967855E9</v>
      </c>
      <c r="G143" s="50">
        <v>1.00454338E8</v>
      </c>
      <c r="H143" s="52">
        <v>7320000.0</v>
      </c>
      <c r="I143" s="53">
        <v>2.134742193E9</v>
      </c>
      <c r="J143" s="53">
        <v>7.921347583E9</v>
      </c>
      <c r="K143" s="50"/>
      <c r="L143" s="50">
        <v>2.1326109E7</v>
      </c>
      <c r="M143" s="52">
        <v>2.36378813E9</v>
      </c>
      <c r="N143" s="50">
        <v>-2.342462021E9</v>
      </c>
      <c r="O143" s="50"/>
      <c r="P143" s="53">
        <v>5.578885562E9</v>
      </c>
      <c r="Q143" s="50"/>
      <c r="R143" s="50"/>
      <c r="S143" s="53">
        <v>5.578885562E9</v>
      </c>
      <c r="T143" s="50"/>
      <c r="U143" s="225">
        <v>5.578885562E9</v>
      </c>
      <c r="V143" s="105"/>
      <c r="W143" s="104"/>
      <c r="X143" s="109"/>
      <c r="Y143" s="109"/>
      <c r="AB143" s="27"/>
      <c r="AC143" s="27"/>
      <c r="AD143" s="28">
        <v>1.2701552949E10</v>
      </c>
      <c r="AE143" s="28">
        <v>1.13251973472E11</v>
      </c>
      <c r="AF143" s="27"/>
      <c r="AG143" s="28">
        <v>-2.7282025E7</v>
      </c>
      <c r="AH143" s="28">
        <v>6.808645689E9</v>
      </c>
      <c r="AI143" s="28">
        <v>5.101708251E10</v>
      </c>
      <c r="AJ143" s="27"/>
      <c r="AK143" s="27"/>
      <c r="AL143" s="28">
        <v>2.4436419382E10</v>
      </c>
      <c r="AM143" s="61">
        <v>7.7756019E9</v>
      </c>
      <c r="AN143" s="62">
        <v>2.15963993879E11</v>
      </c>
      <c r="AO143" s="27"/>
      <c r="AP143" s="28">
        <v>1.28175E10</v>
      </c>
      <c r="AQ143" s="28">
        <v>1.28154245635E11</v>
      </c>
      <c r="AR143" s="28">
        <v>6.486641319E9</v>
      </c>
      <c r="AS143" s="111"/>
      <c r="AT143" s="111"/>
      <c r="AU143" s="61">
        <v>2.23382563E9</v>
      </c>
      <c r="AV143" s="63">
        <v>1.49692212585E11</v>
      </c>
      <c r="AW143" s="62">
        <v>3.65656206463E11</v>
      </c>
      <c r="AX143" s="27"/>
      <c r="AY143" s="27"/>
      <c r="AZ143" s="27"/>
      <c r="BA143" s="28">
        <v>1.8660119791E10</v>
      </c>
      <c r="BB143" s="27"/>
      <c r="BC143" s="27"/>
      <c r="BD143" s="27"/>
      <c r="BE143" s="28">
        <v>5.838531675E9</v>
      </c>
      <c r="BF143" s="27"/>
      <c r="BG143" s="27"/>
      <c r="BH143" s="27"/>
      <c r="BI143" s="28">
        <v>1.53609729E9</v>
      </c>
      <c r="BJ143" s="27"/>
      <c r="BK143" s="61">
        <v>1.91571541624E11</v>
      </c>
      <c r="BL143" s="62">
        <v>2.17606290379E11</v>
      </c>
      <c r="BM143" s="27"/>
      <c r="BN143" s="28">
        <v>1.5403011497E10</v>
      </c>
      <c r="BO143" s="27"/>
      <c r="BP143" s="27"/>
      <c r="BQ143" s="28">
        <v>7.577792589E9</v>
      </c>
      <c r="BR143" s="27"/>
      <c r="BS143" s="62">
        <v>2.2980804086E10</v>
      </c>
      <c r="BT143" s="63">
        <v>2.40587094465E11</v>
      </c>
      <c r="BU143" s="27"/>
      <c r="BV143" s="28">
        <v>6.8245E10</v>
      </c>
      <c r="BW143" s="27"/>
      <c r="BX143" s="28">
        <v>1.4651587361E10</v>
      </c>
      <c r="BY143" s="28">
        <v>4.4918901718E10</v>
      </c>
      <c r="BZ143" s="28">
        <v>-2.746377081E9</v>
      </c>
      <c r="CA143" s="27"/>
      <c r="CB143" s="27"/>
      <c r="CC143" s="62">
        <v>1.25069111998E11</v>
      </c>
      <c r="CD143" s="62">
        <v>3.65656206463E11</v>
      </c>
      <c r="CF143" s="49" t="s">
        <v>318</v>
      </c>
    </row>
    <row r="144">
      <c r="A144" s="49" t="s">
        <v>3</v>
      </c>
      <c r="B144" s="50">
        <v>4.6016514641E10</v>
      </c>
      <c r="C144" s="52">
        <v>4.1322199305E10</v>
      </c>
      <c r="D144" s="53">
        <v>4.694315336E9</v>
      </c>
      <c r="E144" s="50"/>
      <c r="F144" s="50">
        <v>2.268656769E9</v>
      </c>
      <c r="G144" s="50">
        <v>2.54087826E8</v>
      </c>
      <c r="H144" s="52">
        <v>9.6282E7</v>
      </c>
      <c r="I144" s="53">
        <v>2.619026595E9</v>
      </c>
      <c r="J144" s="53">
        <v>2.075288741E9</v>
      </c>
      <c r="K144" s="50"/>
      <c r="L144" s="50">
        <v>2.13458977E8</v>
      </c>
      <c r="M144" s="52">
        <v>2.077451235E9</v>
      </c>
      <c r="N144" s="50">
        <v>-1.863992258E9</v>
      </c>
      <c r="O144" s="50"/>
      <c r="P144" s="53">
        <v>2.11296484E8</v>
      </c>
      <c r="Q144" s="50"/>
      <c r="R144" s="50"/>
      <c r="S144" s="53">
        <v>2.11296484E8</v>
      </c>
      <c r="T144" s="50"/>
      <c r="U144" s="225">
        <v>2.11296484E8</v>
      </c>
      <c r="V144" s="105"/>
      <c r="W144" s="104"/>
      <c r="X144" s="109"/>
      <c r="Y144" s="109"/>
      <c r="AB144" s="27"/>
      <c r="AC144" s="27"/>
      <c r="AD144" s="28">
        <v>2.3057856202E10</v>
      </c>
      <c r="AE144" s="28">
        <v>1.16994659343E11</v>
      </c>
      <c r="AF144" s="27"/>
      <c r="AG144" s="28">
        <v>-2.7282025E7</v>
      </c>
      <c r="AH144" s="28">
        <v>3.397229951E9</v>
      </c>
      <c r="AI144" s="28">
        <v>5.3822178665E10</v>
      </c>
      <c r="AJ144" s="27"/>
      <c r="AK144" s="27"/>
      <c r="AL144" s="28">
        <v>1.2242282082E10</v>
      </c>
      <c r="AM144" s="61">
        <v>8.537300471E9</v>
      </c>
      <c r="AN144" s="62">
        <v>2.18024224689E11</v>
      </c>
      <c r="AO144" s="27"/>
      <c r="AP144" s="28">
        <v>1.28175E10</v>
      </c>
      <c r="AQ144" s="28">
        <v>1.29526921808E11</v>
      </c>
      <c r="AR144" s="28">
        <v>6.576274485E9</v>
      </c>
      <c r="AS144" s="111"/>
      <c r="AT144" s="111"/>
      <c r="AU144" s="61">
        <v>2.23382563E9</v>
      </c>
      <c r="AV144" s="63">
        <v>1.51154521923E11</v>
      </c>
      <c r="AW144" s="62">
        <v>3.69178746612E11</v>
      </c>
      <c r="AX144" s="27"/>
      <c r="AY144" s="27"/>
      <c r="AZ144" s="27"/>
      <c r="BA144" s="28">
        <v>1.6604976161E10</v>
      </c>
      <c r="BB144" s="27"/>
      <c r="BC144" s="27"/>
      <c r="BD144" s="27"/>
      <c r="BE144" s="28">
        <v>4.624454899E9</v>
      </c>
      <c r="BF144" s="27"/>
      <c r="BG144" s="27"/>
      <c r="BH144" s="27"/>
      <c r="BI144" s="28">
        <v>7.65467953E8</v>
      </c>
      <c r="BJ144" s="27"/>
      <c r="BK144" s="61">
        <v>1.96058597022E11</v>
      </c>
      <c r="BL144" s="62">
        <v>2.18053496035E11</v>
      </c>
      <c r="BM144" s="27"/>
      <c r="BN144" s="28">
        <v>1.8272650705E10</v>
      </c>
      <c r="BO144" s="27"/>
      <c r="BP144" s="27"/>
      <c r="BQ144" s="28">
        <v>7.571624724E9</v>
      </c>
      <c r="BR144" s="27"/>
      <c r="BS144" s="62">
        <v>2.5844275429E10</v>
      </c>
      <c r="BT144" s="63">
        <v>2.43897771464E11</v>
      </c>
      <c r="BU144" s="27"/>
      <c r="BV144" s="28">
        <v>6.8245E10</v>
      </c>
      <c r="BW144" s="27"/>
      <c r="BX144" s="28">
        <v>1.4863450511E10</v>
      </c>
      <c r="BY144" s="28">
        <v>4.4918901718E10</v>
      </c>
      <c r="BZ144" s="28">
        <v>-2.746377081E9</v>
      </c>
      <c r="CA144" s="27"/>
      <c r="CB144" s="27"/>
      <c r="CC144" s="62">
        <v>1.25280975148E11</v>
      </c>
      <c r="CD144" s="62">
        <v>3.69178746612E11</v>
      </c>
      <c r="CF144" s="49" t="s">
        <v>3</v>
      </c>
    </row>
    <row r="145">
      <c r="A145" s="49" t="s">
        <v>322</v>
      </c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227"/>
      <c r="V145" s="105"/>
      <c r="W145" s="104"/>
      <c r="X145" s="109"/>
      <c r="Y145" s="109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111"/>
      <c r="AN145" s="15"/>
      <c r="AO145" s="27"/>
      <c r="AP145" s="27"/>
      <c r="AQ145" s="27"/>
      <c r="AR145" s="27"/>
      <c r="AS145" s="111"/>
      <c r="AT145" s="111"/>
      <c r="AU145" s="111"/>
      <c r="AV145" s="113"/>
      <c r="AW145" s="15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111"/>
      <c r="BL145" s="15"/>
      <c r="BM145" s="27"/>
      <c r="BN145" s="27"/>
      <c r="BO145" s="27"/>
      <c r="BP145" s="27"/>
      <c r="BQ145" s="27"/>
      <c r="BR145" s="27"/>
      <c r="BS145" s="15"/>
      <c r="BT145" s="113"/>
      <c r="BU145" s="27"/>
      <c r="BV145" s="27"/>
      <c r="BW145" s="27"/>
      <c r="BX145" s="27"/>
      <c r="BY145" s="27"/>
      <c r="BZ145" s="27"/>
      <c r="CA145" s="27"/>
      <c r="CB145" s="27"/>
      <c r="CC145" s="15"/>
      <c r="CD145" s="15"/>
      <c r="CF145" s="49" t="s">
        <v>322</v>
      </c>
    </row>
    <row r="146">
      <c r="A146" s="49" t="s">
        <v>323</v>
      </c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227"/>
      <c r="V146" s="105"/>
      <c r="W146" s="104"/>
      <c r="X146" s="109"/>
      <c r="Y146" s="109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111"/>
      <c r="AN146" s="15"/>
      <c r="AO146" s="27"/>
      <c r="AP146" s="27"/>
      <c r="AQ146" s="27"/>
      <c r="AR146" s="27"/>
      <c r="AS146" s="111"/>
      <c r="AT146" s="111"/>
      <c r="AU146" s="111"/>
      <c r="AV146" s="113"/>
      <c r="AW146" s="15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111"/>
      <c r="BL146" s="15"/>
      <c r="BM146" s="27"/>
      <c r="BN146" s="27"/>
      <c r="BO146" s="27"/>
      <c r="BP146" s="27"/>
      <c r="BQ146" s="27"/>
      <c r="BR146" s="27"/>
      <c r="BS146" s="15"/>
      <c r="BT146" s="113"/>
      <c r="BU146" s="27"/>
      <c r="BV146" s="27"/>
      <c r="BW146" s="27"/>
      <c r="BX146" s="27"/>
      <c r="BY146" s="27"/>
      <c r="BZ146" s="27"/>
      <c r="CA146" s="27"/>
      <c r="CB146" s="27"/>
      <c r="CC146" s="15"/>
      <c r="CD146" s="15"/>
      <c r="CF146" s="49" t="s">
        <v>323</v>
      </c>
    </row>
    <row r="147">
      <c r="A147" s="49" t="s">
        <v>324</v>
      </c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227"/>
      <c r="V147" s="105"/>
      <c r="W147" s="104"/>
      <c r="X147" s="109"/>
      <c r="Y147" s="109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111"/>
      <c r="AN147" s="15"/>
      <c r="AO147" s="27"/>
      <c r="AP147" s="27"/>
      <c r="AQ147" s="27"/>
      <c r="AR147" s="27"/>
      <c r="AS147" s="111"/>
      <c r="AT147" s="111"/>
      <c r="AU147" s="111"/>
      <c r="AV147" s="113"/>
      <c r="AW147" s="15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111"/>
      <c r="BL147" s="15"/>
      <c r="BM147" s="27"/>
      <c r="BN147" s="27"/>
      <c r="BO147" s="27"/>
      <c r="BP147" s="27"/>
      <c r="BQ147" s="27"/>
      <c r="BR147" s="27"/>
      <c r="BS147" s="15"/>
      <c r="BT147" s="113"/>
      <c r="BU147" s="27"/>
      <c r="BV147" s="27"/>
      <c r="BW147" s="27"/>
      <c r="BX147" s="27"/>
      <c r="BY147" s="27"/>
      <c r="BZ147" s="27"/>
      <c r="CA147" s="27"/>
      <c r="CB147" s="27"/>
      <c r="CC147" s="15"/>
      <c r="CD147" s="15"/>
      <c r="CF147" s="49" t="s">
        <v>324</v>
      </c>
    </row>
    <row r="148">
      <c r="A148" s="116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6"/>
      <c r="V148" s="118"/>
      <c r="W148" s="116"/>
      <c r="X148" s="116"/>
      <c r="Y148" s="116"/>
      <c r="Z148" s="116"/>
      <c r="AA148" s="116"/>
      <c r="AB148" s="116"/>
      <c r="AC148" s="116"/>
      <c r="AD148" s="116"/>
      <c r="AE148" s="119"/>
      <c r="AF148" s="116"/>
      <c r="AG148" s="116"/>
      <c r="AH148" s="116"/>
      <c r="AI148" s="116"/>
      <c r="AJ148" s="116"/>
      <c r="AK148" s="116"/>
      <c r="AL148" s="116"/>
      <c r="AM148" s="120"/>
      <c r="AN148" s="121"/>
      <c r="AO148" s="116"/>
      <c r="AP148" s="116"/>
      <c r="AQ148" s="116"/>
      <c r="AR148" s="116"/>
      <c r="AS148" s="116"/>
      <c r="AT148" s="116"/>
      <c r="AU148" s="116"/>
      <c r="AV148" s="116"/>
      <c r="AW148" s="116"/>
      <c r="AX148" s="116"/>
      <c r="AY148" s="116"/>
      <c r="AZ148" s="116"/>
      <c r="BA148" s="116"/>
      <c r="BB148" s="116"/>
      <c r="BC148" s="116"/>
      <c r="BD148" s="116"/>
      <c r="BE148" s="116"/>
      <c r="BF148" s="116"/>
      <c r="BG148" s="116"/>
      <c r="BH148" s="116"/>
      <c r="BI148" s="116"/>
      <c r="BJ148" s="116"/>
      <c r="BK148" s="116"/>
      <c r="BL148" s="116"/>
      <c r="BM148" s="116"/>
      <c r="BN148" s="116"/>
      <c r="BO148" s="116"/>
      <c r="BP148" s="116"/>
      <c r="BQ148" s="116"/>
      <c r="BR148" s="116"/>
      <c r="BS148" s="116"/>
      <c r="BT148" s="121"/>
      <c r="BU148" s="116"/>
      <c r="BV148" s="116"/>
      <c r="BW148" s="116"/>
      <c r="BX148" s="116"/>
      <c r="BY148" s="116"/>
      <c r="BZ148" s="116"/>
      <c r="CA148" s="116"/>
      <c r="CB148" s="116"/>
      <c r="CC148" s="122"/>
      <c r="CD148" s="122"/>
      <c r="CE148" s="116"/>
      <c r="CF148" s="116"/>
      <c r="CG148" s="116"/>
      <c r="CH148" s="116"/>
      <c r="CI148" s="116"/>
      <c r="CJ148" s="116"/>
      <c r="CK148" s="116"/>
      <c r="CL148" s="116"/>
      <c r="CM148" s="116"/>
      <c r="CN148" s="116"/>
      <c r="CO148" s="116"/>
      <c r="CP148" s="116"/>
      <c r="CQ148" s="116"/>
      <c r="CR148" s="116"/>
      <c r="CS148" s="116"/>
      <c r="CT148" s="116"/>
      <c r="CU148" s="116"/>
      <c r="CV148" s="116"/>
      <c r="CW148" s="116"/>
      <c r="CX148" s="116"/>
      <c r="CY148" s="116"/>
      <c r="CZ148" s="116"/>
      <c r="DA148" s="116"/>
      <c r="DB148" s="116"/>
      <c r="DC148" s="116"/>
      <c r="DD148" s="116"/>
      <c r="DE148" s="116"/>
      <c r="DF148" s="116"/>
      <c r="DG148" s="116"/>
      <c r="DH148" s="116"/>
      <c r="DI148" s="116"/>
      <c r="DJ148" s="116"/>
      <c r="DK148" s="116"/>
      <c r="DL148" s="116"/>
      <c r="DM148" s="116"/>
      <c r="DN148" s="116"/>
      <c r="DO148" s="116"/>
      <c r="DP148" s="116"/>
      <c r="DQ148" s="116"/>
      <c r="DR148" s="116"/>
      <c r="DS148" s="116"/>
      <c r="DT148" s="116"/>
      <c r="DU148" s="116"/>
      <c r="DV148" s="116"/>
      <c r="DW148" s="116"/>
      <c r="DX148" s="116"/>
      <c r="DY148" s="116"/>
      <c r="DZ148" s="116"/>
      <c r="EA148" s="116"/>
      <c r="EB148" s="116"/>
      <c r="EC148" s="116"/>
      <c r="ED148" s="116"/>
      <c r="EE148" s="116"/>
      <c r="EF148" s="116"/>
      <c r="EG148" s="116"/>
      <c r="EH148" s="116"/>
      <c r="EI148" s="116"/>
      <c r="EJ148" s="116"/>
      <c r="EK148" s="116"/>
      <c r="EL148" s="116"/>
      <c r="EM148" s="116"/>
      <c r="EN148" s="116"/>
      <c r="EO148" s="116"/>
      <c r="EP148" s="116"/>
      <c r="EQ148" s="116"/>
      <c r="ER148" s="116"/>
      <c r="ES148" s="116"/>
      <c r="ET148" s="116"/>
      <c r="EU148" s="116"/>
      <c r="EV148" s="116"/>
      <c r="EW148" s="116"/>
      <c r="EX148" s="116"/>
      <c r="EY148" s="116"/>
      <c r="EZ148" s="116"/>
      <c r="FA148" s="116"/>
      <c r="FB148" s="116"/>
      <c r="FC148" s="116"/>
      <c r="FD148" s="116"/>
      <c r="FE148" s="116"/>
      <c r="FF148" s="116"/>
      <c r="FG148" s="116"/>
      <c r="FH148" s="116"/>
      <c r="FI148" s="116"/>
      <c r="FJ148" s="116"/>
      <c r="FK148" s="116"/>
      <c r="FL148" s="116"/>
      <c r="FM148" s="116"/>
      <c r="FN148" s="116"/>
      <c r="FO148" s="116"/>
      <c r="FP148" s="116"/>
      <c r="FQ148" s="116"/>
      <c r="FR148" s="116"/>
      <c r="FS148" s="116"/>
      <c r="FT148" s="116"/>
      <c r="FU148" s="116"/>
      <c r="FV148" s="116"/>
      <c r="FW148" s="116"/>
      <c r="FX148" s="116"/>
      <c r="FY148" s="116"/>
      <c r="FZ148" s="116"/>
      <c r="GA148" s="116"/>
      <c r="GB148" s="116"/>
      <c r="GC148" s="116"/>
      <c r="GD148" s="116"/>
      <c r="GE148" s="116"/>
      <c r="GF148" s="116"/>
      <c r="GG148" s="116"/>
      <c r="GH148" s="116"/>
      <c r="GI148" s="116"/>
      <c r="GJ148" s="116"/>
      <c r="GK148" s="116"/>
      <c r="GL148" s="116"/>
      <c r="GM148" s="118"/>
      <c r="GN148" s="116"/>
      <c r="GO148" s="116"/>
      <c r="GP148" s="116"/>
      <c r="GQ148" s="116"/>
      <c r="GR148" s="116"/>
      <c r="GS148" s="116"/>
      <c r="GT148" s="116"/>
      <c r="GU148" s="116"/>
      <c r="GV148" s="116"/>
      <c r="GW148" s="116"/>
      <c r="GX148" s="116"/>
      <c r="GY148" s="116"/>
      <c r="GZ148" s="116"/>
      <c r="HA148" s="116"/>
      <c r="HB148" s="116"/>
      <c r="HC148" s="116"/>
      <c r="HD148" s="116"/>
      <c r="HE148" s="116"/>
      <c r="HF148" s="116"/>
      <c r="HG148" s="116"/>
      <c r="HH148" s="116"/>
      <c r="HI148" s="116"/>
      <c r="HJ148" s="116"/>
      <c r="HK148" s="116"/>
      <c r="HL148" s="116"/>
      <c r="HM148" s="116"/>
      <c r="HN148" s="116"/>
      <c r="HO148" s="116"/>
      <c r="HP148" s="116"/>
      <c r="HQ148" s="116"/>
      <c r="HR148" s="116"/>
      <c r="HS148" s="116"/>
      <c r="HT148" s="116"/>
      <c r="HU148" s="116"/>
      <c r="HV148" s="116"/>
      <c r="HW148" s="116"/>
      <c r="HX148" s="116"/>
      <c r="HY148" s="116"/>
      <c r="HZ148" s="116"/>
      <c r="IA148" s="116"/>
      <c r="IB148" s="116"/>
      <c r="IC148" s="116"/>
      <c r="ID148" s="116"/>
      <c r="IE148" s="116"/>
      <c r="IF148" s="116"/>
      <c r="IG148" s="116"/>
      <c r="IH148" s="116"/>
      <c r="II148" s="116"/>
      <c r="IJ148" s="116"/>
      <c r="IK148" s="116"/>
      <c r="IL148" s="116"/>
      <c r="IM148" s="116"/>
      <c r="IN148" s="116"/>
      <c r="IO148" s="116"/>
      <c r="IP148" s="116"/>
      <c r="IQ148" s="116"/>
      <c r="IR148" s="116"/>
      <c r="IS148" s="116"/>
      <c r="IT148" s="116"/>
      <c r="IU148" s="116"/>
      <c r="IV148" s="116"/>
      <c r="IW148" s="116"/>
      <c r="IX148" s="116"/>
      <c r="IY148" s="116"/>
      <c r="IZ148" s="116"/>
      <c r="JA148" s="116"/>
      <c r="JB148" s="116"/>
      <c r="JC148" s="116"/>
      <c r="JD148" s="116"/>
      <c r="JE148" s="116"/>
      <c r="JF148" s="116"/>
      <c r="JG148" s="116"/>
      <c r="JH148" s="116"/>
      <c r="JI148" s="116"/>
      <c r="JJ148" s="116"/>
      <c r="JK148" s="116"/>
      <c r="JL148" s="116"/>
      <c r="JM148" s="116"/>
      <c r="JN148" s="116"/>
      <c r="JO148" s="116"/>
      <c r="JP148" s="116"/>
      <c r="JQ148" s="116"/>
      <c r="JR148" s="116"/>
      <c r="JS148" s="116"/>
      <c r="JT148" s="123"/>
      <c r="JU148" s="116"/>
      <c r="JV148" s="116"/>
      <c r="JW148" s="116"/>
      <c r="JX148" s="116"/>
      <c r="JY148" s="116"/>
      <c r="JZ148" s="116"/>
      <c r="KA148" s="116"/>
      <c r="KB148" s="116"/>
      <c r="KC148" s="116"/>
      <c r="KD148" s="116"/>
      <c r="KE148" s="116"/>
      <c r="KF148" s="116"/>
      <c r="KG148" s="116"/>
      <c r="KH148" s="116"/>
      <c r="KI148" s="116"/>
      <c r="KJ148" s="116"/>
      <c r="KK148" s="116"/>
      <c r="KL148" s="116"/>
      <c r="KM148" s="116"/>
      <c r="KN148" s="116"/>
      <c r="KO148" s="116"/>
      <c r="KP148" s="116"/>
      <c r="KQ148" s="116"/>
      <c r="KR148" s="116"/>
      <c r="KS148" s="116"/>
      <c r="KT148" s="116"/>
      <c r="KU148" s="116"/>
      <c r="KV148" s="116"/>
      <c r="KW148" s="116"/>
      <c r="KX148" s="116"/>
      <c r="KY148" s="116"/>
      <c r="KZ148" s="116"/>
      <c r="LA148" s="116"/>
      <c r="LB148" s="116"/>
      <c r="LC148" s="116"/>
      <c r="LD148" s="116"/>
      <c r="LE148" s="116"/>
      <c r="LF148" s="116"/>
      <c r="LG148" s="116"/>
      <c r="LH148" s="116"/>
      <c r="LI148" s="116"/>
      <c r="LJ148" s="116"/>
      <c r="LK148" s="116"/>
    </row>
    <row r="149">
      <c r="A149" s="116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6"/>
      <c r="V149" s="118"/>
      <c r="W149" s="116"/>
      <c r="X149" s="116"/>
      <c r="Y149" s="116"/>
      <c r="Z149" s="116"/>
      <c r="AA149" s="116"/>
      <c r="AB149" s="116"/>
      <c r="AC149" s="116"/>
      <c r="AD149" s="116"/>
      <c r="AE149" s="116"/>
      <c r="AF149" s="116"/>
      <c r="AG149" s="116"/>
      <c r="AH149" s="116"/>
      <c r="AI149" s="116"/>
      <c r="AJ149" s="116"/>
      <c r="AK149" s="116"/>
      <c r="AL149" s="116"/>
      <c r="AM149" s="120"/>
      <c r="AN149" s="121"/>
      <c r="AO149" s="116"/>
      <c r="AP149" s="116"/>
      <c r="AQ149" s="116"/>
      <c r="AR149" s="116"/>
      <c r="AS149" s="116"/>
      <c r="AT149" s="116"/>
      <c r="AU149" s="116"/>
      <c r="AV149" s="116"/>
      <c r="AW149" s="116"/>
      <c r="AX149" s="116"/>
      <c r="AY149" s="116"/>
      <c r="AZ149" s="116"/>
      <c r="BA149" s="116"/>
      <c r="BB149" s="116"/>
      <c r="BC149" s="116"/>
      <c r="BD149" s="116"/>
      <c r="BE149" s="116"/>
      <c r="BF149" s="116"/>
      <c r="BG149" s="116"/>
      <c r="BH149" s="116"/>
      <c r="BI149" s="116"/>
      <c r="BJ149" s="116"/>
      <c r="BK149" s="116"/>
      <c r="BL149" s="116"/>
      <c r="BM149" s="116"/>
      <c r="BN149" s="116"/>
      <c r="BO149" s="116"/>
      <c r="BP149" s="116"/>
      <c r="BQ149" s="116"/>
      <c r="BR149" s="116"/>
      <c r="BS149" s="116"/>
      <c r="BT149" s="121"/>
      <c r="BU149" s="116"/>
      <c r="BV149" s="116"/>
      <c r="BW149" s="116"/>
      <c r="BX149" s="116"/>
      <c r="BY149" s="116"/>
      <c r="BZ149" s="116"/>
      <c r="CA149" s="116"/>
      <c r="CB149" s="116"/>
      <c r="CC149" s="122"/>
      <c r="CD149" s="122"/>
      <c r="CE149" s="116"/>
      <c r="CF149" s="116"/>
      <c r="CG149" s="116"/>
      <c r="CH149" s="116"/>
      <c r="CI149" s="116"/>
      <c r="CJ149" s="116"/>
      <c r="CK149" s="116"/>
      <c r="CL149" s="116"/>
      <c r="CM149" s="116"/>
      <c r="CN149" s="116"/>
      <c r="CO149" s="116"/>
      <c r="CP149" s="116"/>
      <c r="CQ149" s="116"/>
      <c r="CR149" s="116"/>
      <c r="CS149" s="116"/>
      <c r="CT149" s="116"/>
      <c r="CU149" s="116"/>
      <c r="CV149" s="116"/>
      <c r="CW149" s="116"/>
      <c r="CX149" s="116"/>
      <c r="CY149" s="116"/>
      <c r="CZ149" s="116"/>
      <c r="DA149" s="116"/>
      <c r="DB149" s="116"/>
      <c r="DC149" s="116"/>
      <c r="DD149" s="116"/>
      <c r="DE149" s="116"/>
      <c r="DF149" s="116"/>
      <c r="DG149" s="116"/>
      <c r="DH149" s="116"/>
      <c r="DI149" s="116"/>
      <c r="DJ149" s="116"/>
      <c r="DK149" s="116"/>
      <c r="DL149" s="116"/>
      <c r="DM149" s="116"/>
      <c r="DN149" s="116"/>
      <c r="DO149" s="116"/>
      <c r="DP149" s="116"/>
      <c r="DQ149" s="116"/>
      <c r="DR149" s="116"/>
      <c r="DS149" s="116"/>
      <c r="DT149" s="116"/>
      <c r="DU149" s="116"/>
      <c r="DV149" s="116"/>
      <c r="DW149" s="116"/>
      <c r="DX149" s="116"/>
      <c r="DY149" s="116"/>
      <c r="DZ149" s="116"/>
      <c r="EA149" s="116"/>
      <c r="EB149" s="116"/>
      <c r="EC149" s="116"/>
      <c r="ED149" s="116"/>
      <c r="EE149" s="116"/>
      <c r="EF149" s="116"/>
      <c r="EG149" s="116"/>
      <c r="EH149" s="116"/>
      <c r="EI149" s="116"/>
      <c r="EJ149" s="116"/>
      <c r="EK149" s="116"/>
      <c r="EL149" s="116"/>
      <c r="EM149" s="116"/>
      <c r="EN149" s="116"/>
      <c r="EO149" s="116"/>
      <c r="EP149" s="116"/>
      <c r="EQ149" s="116"/>
      <c r="ER149" s="116"/>
      <c r="ES149" s="116"/>
      <c r="ET149" s="116"/>
      <c r="EU149" s="116"/>
      <c r="EV149" s="116"/>
      <c r="EW149" s="116"/>
      <c r="EX149" s="116"/>
      <c r="EY149" s="116"/>
      <c r="EZ149" s="116"/>
      <c r="FA149" s="116"/>
      <c r="FB149" s="116"/>
      <c r="FC149" s="116"/>
      <c r="FD149" s="116"/>
      <c r="FE149" s="116"/>
      <c r="FF149" s="116"/>
      <c r="FG149" s="116"/>
      <c r="FH149" s="116"/>
      <c r="FI149" s="116"/>
      <c r="FJ149" s="116"/>
      <c r="FK149" s="116"/>
      <c r="FL149" s="116"/>
      <c r="FM149" s="116"/>
      <c r="FN149" s="116"/>
      <c r="FO149" s="116"/>
      <c r="FP149" s="116"/>
      <c r="FQ149" s="116"/>
      <c r="FR149" s="116"/>
      <c r="FS149" s="116"/>
      <c r="FT149" s="116"/>
      <c r="FU149" s="116"/>
      <c r="FV149" s="116"/>
      <c r="FW149" s="116"/>
      <c r="FX149" s="116"/>
      <c r="FY149" s="116"/>
      <c r="FZ149" s="116"/>
      <c r="GA149" s="116"/>
      <c r="GB149" s="116"/>
      <c r="GC149" s="116"/>
      <c r="GD149" s="116"/>
      <c r="GE149" s="116"/>
      <c r="GF149" s="116"/>
      <c r="GG149" s="116"/>
      <c r="GH149" s="116"/>
      <c r="GI149" s="116"/>
      <c r="GJ149" s="116"/>
      <c r="GK149" s="116"/>
      <c r="GL149" s="116"/>
      <c r="GM149" s="118"/>
      <c r="GN149" s="116"/>
      <c r="GO149" s="116"/>
      <c r="GP149" s="116"/>
      <c r="GQ149" s="116"/>
      <c r="GR149" s="116"/>
      <c r="GS149" s="116"/>
      <c r="GT149" s="116"/>
      <c r="GU149" s="116"/>
      <c r="GV149" s="116"/>
      <c r="GW149" s="116"/>
      <c r="GX149" s="116"/>
      <c r="GY149" s="116"/>
      <c r="GZ149" s="116"/>
      <c r="HA149" s="116"/>
      <c r="HB149" s="116"/>
      <c r="HC149" s="116"/>
      <c r="HD149" s="116"/>
      <c r="HE149" s="116"/>
      <c r="HF149" s="116"/>
      <c r="HG149" s="116"/>
      <c r="HH149" s="116"/>
      <c r="HI149" s="116"/>
      <c r="HJ149" s="116"/>
      <c r="HK149" s="116"/>
      <c r="HL149" s="116"/>
      <c r="HM149" s="116"/>
      <c r="HN149" s="116"/>
      <c r="HO149" s="116"/>
      <c r="HP149" s="116"/>
      <c r="HQ149" s="116"/>
      <c r="HR149" s="116"/>
      <c r="HS149" s="116"/>
      <c r="HT149" s="116"/>
      <c r="HU149" s="116"/>
      <c r="HV149" s="116"/>
      <c r="HW149" s="116"/>
      <c r="HX149" s="116"/>
      <c r="HY149" s="116"/>
      <c r="HZ149" s="116"/>
      <c r="IA149" s="116"/>
      <c r="IB149" s="116"/>
      <c r="IC149" s="116"/>
      <c r="ID149" s="116"/>
      <c r="IE149" s="116"/>
      <c r="IF149" s="116"/>
      <c r="IG149" s="116"/>
      <c r="IH149" s="116"/>
      <c r="II149" s="116"/>
      <c r="IJ149" s="116"/>
      <c r="IK149" s="116"/>
      <c r="IL149" s="116"/>
      <c r="IM149" s="116"/>
      <c r="IN149" s="116"/>
      <c r="IO149" s="116"/>
      <c r="IP149" s="116"/>
      <c r="IQ149" s="116"/>
      <c r="IR149" s="116"/>
      <c r="IS149" s="116"/>
      <c r="IT149" s="116"/>
      <c r="IU149" s="116"/>
      <c r="IV149" s="116"/>
      <c r="IW149" s="116"/>
      <c r="IX149" s="116"/>
      <c r="IY149" s="116"/>
      <c r="IZ149" s="116"/>
      <c r="JA149" s="116"/>
      <c r="JB149" s="116"/>
      <c r="JC149" s="116"/>
      <c r="JD149" s="116"/>
      <c r="JE149" s="116"/>
      <c r="JF149" s="116"/>
      <c r="JG149" s="116"/>
      <c r="JH149" s="116"/>
      <c r="JI149" s="116"/>
      <c r="JJ149" s="116"/>
      <c r="JK149" s="116"/>
      <c r="JL149" s="116"/>
      <c r="JM149" s="116"/>
      <c r="JN149" s="116"/>
      <c r="JO149" s="116"/>
      <c r="JP149" s="116"/>
      <c r="JQ149" s="116"/>
      <c r="JR149" s="116"/>
      <c r="JS149" s="116"/>
      <c r="JT149" s="123"/>
      <c r="JU149" s="116"/>
      <c r="JV149" s="116"/>
      <c r="JW149" s="116"/>
      <c r="JX149" s="116"/>
      <c r="JY149" s="116"/>
      <c r="JZ149" s="116"/>
      <c r="KA149" s="116"/>
      <c r="KB149" s="116"/>
      <c r="KC149" s="116"/>
      <c r="KD149" s="116"/>
      <c r="KE149" s="116"/>
      <c r="KF149" s="116"/>
      <c r="KG149" s="116"/>
      <c r="KH149" s="116"/>
      <c r="KI149" s="116"/>
      <c r="KJ149" s="116"/>
      <c r="KK149" s="116"/>
      <c r="KL149" s="116"/>
      <c r="KM149" s="116"/>
      <c r="KN149" s="116"/>
      <c r="KO149" s="116"/>
      <c r="KP149" s="116"/>
      <c r="KQ149" s="116"/>
      <c r="KR149" s="116"/>
      <c r="KS149" s="116"/>
      <c r="KT149" s="116"/>
      <c r="KU149" s="116"/>
      <c r="KV149" s="116"/>
      <c r="KW149" s="116"/>
      <c r="KX149" s="116"/>
      <c r="KY149" s="116"/>
      <c r="KZ149" s="116"/>
      <c r="LA149" s="116"/>
      <c r="LB149" s="116"/>
      <c r="LC149" s="116"/>
      <c r="LD149" s="116"/>
      <c r="LE149" s="116"/>
      <c r="LF149" s="116"/>
      <c r="LG149" s="116"/>
      <c r="LH149" s="116"/>
      <c r="LI149" s="116"/>
      <c r="LJ149" s="116"/>
      <c r="LK149" s="116"/>
    </row>
    <row r="150">
      <c r="A150" s="3" t="s">
        <v>409</v>
      </c>
      <c r="B150" s="177"/>
      <c r="C150" s="177"/>
      <c r="D150" s="177"/>
      <c r="E150" s="177"/>
      <c r="F150" s="177"/>
      <c r="G150" s="177"/>
      <c r="H150" s="177"/>
      <c r="I150" s="177"/>
      <c r="J150" s="177"/>
      <c r="K150" s="177"/>
      <c r="L150" s="177"/>
      <c r="M150" s="177"/>
      <c r="N150" s="177"/>
      <c r="O150" s="177"/>
      <c r="P150" s="177"/>
      <c r="Q150" s="177"/>
      <c r="R150" s="177"/>
      <c r="S150" s="177"/>
      <c r="T150" s="177"/>
      <c r="V150" s="110"/>
      <c r="AB150" s="3" t="s">
        <v>410</v>
      </c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  <c r="IY150" s="4"/>
      <c r="IZ150" s="4"/>
      <c r="JA150" s="4"/>
      <c r="JB150" s="4"/>
      <c r="JC150" s="4"/>
      <c r="JD150" s="4"/>
      <c r="JE150" s="4"/>
      <c r="JF150" s="4"/>
      <c r="JG150" s="4"/>
      <c r="JH150" s="4"/>
      <c r="JI150" s="4"/>
      <c r="JJ150" s="4"/>
      <c r="JK150" s="4"/>
      <c r="JL150" s="4"/>
      <c r="JM150" s="4"/>
      <c r="JN150" s="4"/>
      <c r="JO150" s="4"/>
      <c r="JP150" s="4"/>
      <c r="JQ150" s="4"/>
      <c r="JR150" s="4"/>
      <c r="JS150" s="4"/>
      <c r="JT150" s="4"/>
      <c r="JU150" s="4"/>
      <c r="JV150" s="4"/>
      <c r="JW150" s="4"/>
      <c r="JX150" s="4"/>
      <c r="JY150" s="4"/>
      <c r="JZ150" s="4"/>
      <c r="KA150" s="4"/>
      <c r="KB150" s="4"/>
      <c r="KC150" s="4"/>
      <c r="KD150" s="4"/>
      <c r="KE150" s="4"/>
      <c r="KF150" s="4"/>
      <c r="KG150" s="4"/>
      <c r="KH150" s="4"/>
      <c r="KI150" s="4"/>
      <c r="KJ150" s="4"/>
      <c r="KK150" s="4"/>
      <c r="KL150" s="4"/>
      <c r="KM150" s="4"/>
      <c r="KN150" s="4"/>
      <c r="KO150" s="4"/>
      <c r="KP150" s="4"/>
      <c r="KQ150" s="4"/>
      <c r="KR150" s="4"/>
      <c r="KS150" s="4"/>
      <c r="KT150" s="4"/>
      <c r="KU150" s="4"/>
      <c r="KV150" s="4"/>
      <c r="KW150" s="4"/>
      <c r="KX150" s="4"/>
      <c r="KY150" s="4"/>
      <c r="KZ150" s="4"/>
      <c r="LA150" s="4"/>
      <c r="LB150" s="4"/>
      <c r="LC150" s="4"/>
      <c r="LD150" s="4"/>
      <c r="LE150" s="4"/>
      <c r="LF150" s="4"/>
      <c r="LG150" s="4"/>
      <c r="LH150" s="4"/>
      <c r="LI150" s="4"/>
      <c r="LJ150" s="4"/>
      <c r="LK150" s="4"/>
    </row>
    <row r="151">
      <c r="A151" s="218"/>
      <c r="B151" s="219" t="s">
        <v>19</v>
      </c>
      <c r="C151" s="219" t="s">
        <v>20</v>
      </c>
      <c r="D151" s="219" t="s">
        <v>21</v>
      </c>
      <c r="E151" s="219" t="s">
        <v>22</v>
      </c>
      <c r="F151" s="219" t="s">
        <v>23</v>
      </c>
      <c r="G151" s="219" t="s">
        <v>24</v>
      </c>
      <c r="H151" s="219" t="s">
        <v>25</v>
      </c>
      <c r="I151" s="219" t="s">
        <v>26</v>
      </c>
      <c r="J151" s="219" t="s">
        <v>27</v>
      </c>
      <c r="K151" s="219" t="s">
        <v>28</v>
      </c>
      <c r="L151" s="219" t="s">
        <v>29</v>
      </c>
      <c r="M151" s="219" t="s">
        <v>30</v>
      </c>
      <c r="N151" s="219" t="s">
        <v>31</v>
      </c>
      <c r="O151" s="219"/>
      <c r="P151" s="219" t="s">
        <v>32</v>
      </c>
      <c r="Q151" s="219" t="s">
        <v>33</v>
      </c>
      <c r="R151" s="219" t="s">
        <v>35</v>
      </c>
      <c r="S151" s="219" t="s">
        <v>406</v>
      </c>
      <c r="T151" s="219" t="s">
        <v>407</v>
      </c>
      <c r="U151" s="218" t="s">
        <v>408</v>
      </c>
      <c r="V151" s="220"/>
      <c r="W151" s="221" t="s">
        <v>356</v>
      </c>
      <c r="X151" s="218"/>
      <c r="Y151" s="221"/>
      <c r="AB151" s="222" t="s">
        <v>41</v>
      </c>
      <c r="AC151" s="222" t="s">
        <v>42</v>
      </c>
      <c r="AD151" s="222" t="s">
        <v>43</v>
      </c>
      <c r="AE151" s="222" t="s">
        <v>44</v>
      </c>
      <c r="AF151" s="222"/>
      <c r="AG151" s="222" t="s">
        <v>46</v>
      </c>
      <c r="AH151" s="222" t="s">
        <v>47</v>
      </c>
      <c r="AI151" s="222" t="s">
        <v>48</v>
      </c>
      <c r="AJ151" s="222" t="s">
        <v>49</v>
      </c>
      <c r="AK151" s="222" t="s">
        <v>50</v>
      </c>
      <c r="AL151" s="222" t="s">
        <v>51</v>
      </c>
      <c r="AM151" s="222" t="s">
        <v>52</v>
      </c>
      <c r="AN151" s="222" t="s">
        <v>53</v>
      </c>
      <c r="AO151" s="222" t="s">
        <v>54</v>
      </c>
      <c r="AP151" s="222" t="s">
        <v>55</v>
      </c>
      <c r="AQ151" s="222" t="s">
        <v>56</v>
      </c>
      <c r="AR151" s="222" t="s">
        <v>57</v>
      </c>
      <c r="AS151" s="222"/>
      <c r="AT151" s="222"/>
      <c r="AU151" s="222" t="s">
        <v>58</v>
      </c>
      <c r="AV151" s="222" t="s">
        <v>59</v>
      </c>
      <c r="AW151" s="222" t="s">
        <v>60</v>
      </c>
      <c r="AX151" s="222"/>
      <c r="AY151" s="222" t="s">
        <v>61</v>
      </c>
      <c r="AZ151" s="222" t="s">
        <v>62</v>
      </c>
      <c r="BA151" s="222" t="s">
        <v>63</v>
      </c>
      <c r="BB151" s="222"/>
      <c r="BC151" s="222" t="s">
        <v>64</v>
      </c>
      <c r="BD151" s="223" t="s">
        <v>65</v>
      </c>
      <c r="BE151" s="222" t="s">
        <v>66</v>
      </c>
      <c r="BF151" s="222" t="s">
        <v>67</v>
      </c>
      <c r="BG151" s="222"/>
      <c r="BH151" s="222"/>
      <c r="BI151" s="222" t="s">
        <v>68</v>
      </c>
      <c r="BJ151" s="222" t="s">
        <v>69</v>
      </c>
      <c r="BK151" s="222" t="s">
        <v>70</v>
      </c>
      <c r="BL151" s="222" t="s">
        <v>71</v>
      </c>
      <c r="BM151" s="222" t="s">
        <v>72</v>
      </c>
      <c r="BN151" s="222" t="s">
        <v>73</v>
      </c>
      <c r="BO151" s="222" t="s">
        <v>74</v>
      </c>
      <c r="BP151" s="222" t="s">
        <v>75</v>
      </c>
      <c r="BQ151" s="222" t="s">
        <v>76</v>
      </c>
      <c r="BR151" s="222" t="s">
        <v>77</v>
      </c>
      <c r="BS151" s="222" t="s">
        <v>78</v>
      </c>
      <c r="BT151" s="222" t="s">
        <v>79</v>
      </c>
      <c r="BU151" s="222" t="s">
        <v>80</v>
      </c>
      <c r="BV151" s="222" t="s">
        <v>81</v>
      </c>
      <c r="BW151" s="222" t="s">
        <v>82</v>
      </c>
      <c r="BX151" s="222" t="s">
        <v>83</v>
      </c>
      <c r="BY151" s="222" t="s">
        <v>84</v>
      </c>
      <c r="BZ151" s="222" t="s">
        <v>85</v>
      </c>
      <c r="CA151" s="222" t="s">
        <v>86</v>
      </c>
      <c r="CB151" s="222" t="s">
        <v>87</v>
      </c>
      <c r="CC151" s="222" t="s">
        <v>88</v>
      </c>
      <c r="CD151" s="222" t="s">
        <v>89</v>
      </c>
      <c r="CE151" s="228"/>
      <c r="CF151" s="218"/>
      <c r="CG151" s="228"/>
      <c r="CH151" s="228"/>
      <c r="CI151" s="228"/>
      <c r="CJ151" s="228"/>
      <c r="CK151" s="228"/>
      <c r="CL151" s="228"/>
      <c r="CM151" s="228"/>
      <c r="CN151" s="228"/>
      <c r="CO151" s="228"/>
      <c r="CP151" s="228"/>
      <c r="CQ151" s="228"/>
      <c r="CR151" s="228"/>
      <c r="CS151" s="228"/>
      <c r="CT151" s="228"/>
      <c r="CU151" s="228"/>
      <c r="CV151" s="228"/>
      <c r="CW151" s="228"/>
      <c r="CX151" s="228"/>
      <c r="CY151" s="228"/>
      <c r="CZ151" s="228"/>
      <c r="DA151" s="228"/>
      <c r="DB151" s="228"/>
      <c r="DC151" s="228"/>
      <c r="DD151" s="228"/>
      <c r="DE151" s="228"/>
      <c r="DF151" s="228"/>
      <c r="DG151" s="228"/>
      <c r="DH151" s="228"/>
      <c r="DI151" s="228"/>
      <c r="DJ151" s="228"/>
      <c r="DK151" s="228"/>
      <c r="DL151" s="228"/>
      <c r="DM151" s="228"/>
      <c r="DN151" s="228"/>
      <c r="DO151" s="228"/>
      <c r="DP151" s="228"/>
      <c r="DQ151" s="228"/>
      <c r="DR151" s="228"/>
      <c r="DS151" s="228"/>
      <c r="DT151" s="228"/>
      <c r="DU151" s="228"/>
      <c r="DV151" s="228"/>
      <c r="DW151" s="228"/>
      <c r="DX151" s="228"/>
      <c r="DY151" s="228"/>
      <c r="DZ151" s="228"/>
      <c r="EA151" s="228"/>
      <c r="EB151" s="228"/>
      <c r="EC151" s="228"/>
      <c r="ED151" s="228"/>
      <c r="EE151" s="228"/>
      <c r="EF151" s="228"/>
      <c r="EG151" s="228"/>
      <c r="EH151" s="228"/>
      <c r="EI151" s="228"/>
      <c r="EJ151" s="228"/>
      <c r="EK151" s="228"/>
      <c r="EL151" s="228"/>
      <c r="EM151" s="228"/>
      <c r="EN151" s="228"/>
      <c r="EO151" s="228"/>
      <c r="EP151" s="228"/>
      <c r="EQ151" s="228"/>
      <c r="ER151" s="228"/>
      <c r="ES151" s="228"/>
      <c r="ET151" s="228"/>
      <c r="EU151" s="228"/>
      <c r="EV151" s="228"/>
      <c r="EW151" s="228"/>
      <c r="EX151" s="228"/>
      <c r="EY151" s="228"/>
      <c r="EZ151" s="228"/>
      <c r="FA151" s="228"/>
      <c r="FB151" s="228"/>
      <c r="FC151" s="228"/>
      <c r="FD151" s="228"/>
      <c r="FE151" s="228"/>
      <c r="FF151" s="228"/>
      <c r="FG151" s="228"/>
      <c r="FH151" s="228"/>
      <c r="FI151" s="228"/>
      <c r="FJ151" s="228"/>
      <c r="FK151" s="228"/>
      <c r="FL151" s="228"/>
      <c r="FM151" s="228"/>
      <c r="FN151" s="228"/>
      <c r="FO151" s="228"/>
      <c r="FP151" s="228"/>
      <c r="FQ151" s="228"/>
      <c r="FR151" s="228"/>
      <c r="FS151" s="228"/>
      <c r="FT151" s="228"/>
      <c r="FU151" s="228"/>
      <c r="FV151" s="228"/>
      <c r="FW151" s="228"/>
      <c r="FX151" s="228"/>
      <c r="FY151" s="228"/>
      <c r="FZ151" s="228"/>
      <c r="GA151" s="228"/>
      <c r="GB151" s="228"/>
      <c r="GC151" s="228"/>
      <c r="GD151" s="228"/>
      <c r="GE151" s="228"/>
      <c r="GF151" s="228"/>
      <c r="GG151" s="228"/>
      <c r="GH151" s="228"/>
      <c r="GI151" s="228"/>
      <c r="GJ151" s="228"/>
      <c r="GK151" s="228"/>
      <c r="GL151" s="228"/>
      <c r="GM151" s="228"/>
      <c r="GN151" s="228"/>
      <c r="GO151" s="228"/>
      <c r="GP151" s="228"/>
      <c r="GQ151" s="228"/>
      <c r="GR151" s="228"/>
      <c r="GS151" s="228"/>
      <c r="GT151" s="228"/>
      <c r="GU151" s="228"/>
      <c r="GV151" s="228"/>
      <c r="GW151" s="228"/>
      <c r="GX151" s="228"/>
      <c r="GY151" s="228"/>
      <c r="GZ151" s="228"/>
      <c r="HA151" s="228"/>
      <c r="HB151" s="228"/>
      <c r="HC151" s="228"/>
      <c r="HD151" s="228"/>
      <c r="HE151" s="228"/>
      <c r="HF151" s="228"/>
      <c r="HG151" s="228"/>
      <c r="HH151" s="228"/>
      <c r="HI151" s="228"/>
      <c r="HJ151" s="228"/>
      <c r="HK151" s="228"/>
      <c r="HL151" s="228"/>
      <c r="HM151" s="228"/>
      <c r="HN151" s="228"/>
      <c r="HO151" s="228"/>
      <c r="HP151" s="228"/>
      <c r="HQ151" s="228"/>
      <c r="HR151" s="228"/>
      <c r="HS151" s="228"/>
      <c r="HT151" s="228"/>
      <c r="HU151" s="228"/>
      <c r="HV151" s="228"/>
      <c r="HW151" s="228"/>
      <c r="HX151" s="228"/>
      <c r="HY151" s="228"/>
      <c r="HZ151" s="228"/>
      <c r="IA151" s="228"/>
      <c r="IB151" s="228"/>
      <c r="IC151" s="228"/>
      <c r="ID151" s="228"/>
      <c r="IE151" s="228"/>
      <c r="IF151" s="228"/>
      <c r="IG151" s="228"/>
      <c r="IH151" s="228"/>
      <c r="II151" s="228"/>
      <c r="IJ151" s="228"/>
      <c r="IK151" s="228"/>
      <c r="IL151" s="228"/>
      <c r="IM151" s="228"/>
      <c r="IN151" s="228"/>
      <c r="IO151" s="228"/>
      <c r="IP151" s="228"/>
      <c r="IQ151" s="228"/>
      <c r="IR151" s="228"/>
      <c r="IS151" s="228"/>
      <c r="IT151" s="228"/>
      <c r="IU151" s="228"/>
      <c r="IV151" s="228"/>
      <c r="IW151" s="228"/>
      <c r="IX151" s="228"/>
      <c r="IY151" s="228"/>
      <c r="IZ151" s="228"/>
      <c r="JA151" s="228"/>
      <c r="JB151" s="228"/>
      <c r="JC151" s="228"/>
      <c r="JD151" s="228"/>
      <c r="JE151" s="228"/>
      <c r="JF151" s="228"/>
      <c r="JG151" s="228"/>
      <c r="JH151" s="228"/>
      <c r="JI151" s="228"/>
      <c r="JJ151" s="228"/>
      <c r="JK151" s="228"/>
      <c r="JL151" s="228"/>
      <c r="JM151" s="228"/>
      <c r="JN151" s="228"/>
      <c r="JO151" s="228"/>
      <c r="JP151" s="228"/>
      <c r="JQ151" s="228"/>
      <c r="JR151" s="228"/>
      <c r="JS151" s="228"/>
      <c r="JT151" s="228"/>
      <c r="JU151" s="228"/>
      <c r="JV151" s="228"/>
      <c r="JW151" s="228"/>
      <c r="JX151" s="228"/>
      <c r="JY151" s="228"/>
      <c r="JZ151" s="228"/>
      <c r="KA151" s="228"/>
      <c r="KB151" s="228"/>
      <c r="KC151" s="228"/>
      <c r="KD151" s="228"/>
      <c r="KE151" s="228"/>
      <c r="KF151" s="228"/>
      <c r="KG151" s="228"/>
      <c r="KH151" s="228"/>
      <c r="KI151" s="228"/>
      <c r="KJ151" s="228"/>
      <c r="KK151" s="228"/>
      <c r="KL151" s="228"/>
      <c r="KM151" s="228"/>
      <c r="KN151" s="228"/>
      <c r="KO151" s="228"/>
      <c r="KP151" s="228"/>
      <c r="KQ151" s="228"/>
      <c r="KR151" s="228"/>
      <c r="KS151" s="228"/>
      <c r="KT151" s="228"/>
      <c r="KU151" s="228"/>
      <c r="KV151" s="228"/>
      <c r="KW151" s="228"/>
      <c r="KX151" s="228"/>
      <c r="KY151" s="228"/>
      <c r="KZ151" s="228"/>
      <c r="LA151" s="228"/>
      <c r="LB151" s="228"/>
      <c r="LC151" s="228"/>
      <c r="LD151" s="228"/>
      <c r="LE151" s="228"/>
      <c r="LF151" s="228"/>
      <c r="LG151" s="228"/>
      <c r="LH151" s="228"/>
      <c r="LI151" s="228"/>
      <c r="LJ151" s="228"/>
      <c r="LK151" s="228"/>
    </row>
    <row r="152">
      <c r="A152" s="49" t="s">
        <v>291</v>
      </c>
      <c r="B152" s="140">
        <v>3.61448377644144E10</v>
      </c>
      <c r="C152" s="141">
        <v>3.0525911105E10</v>
      </c>
      <c r="D152" s="88">
        <v>5.618926659E9</v>
      </c>
      <c r="E152" s="140"/>
      <c r="F152" s="140">
        <v>1.845020503E9</v>
      </c>
      <c r="G152" s="140">
        <v>1.7159778E8</v>
      </c>
      <c r="H152" s="141">
        <v>7.94652E7</v>
      </c>
      <c r="I152" s="142">
        <v>2.096083483E9</v>
      </c>
      <c r="J152" s="142">
        <v>3.522843176E9</v>
      </c>
      <c r="K152" s="140"/>
      <c r="L152" s="140">
        <v>6333205.00929</v>
      </c>
      <c r="M152" s="141">
        <v>1.990303919E9</v>
      </c>
      <c r="N152" s="141">
        <v>-1.983970714E9</v>
      </c>
      <c r="O152" s="140"/>
      <c r="P152" s="142">
        <v>1.538872462E9</v>
      </c>
      <c r="Q152" s="140"/>
      <c r="R152" s="140"/>
      <c r="S152" s="229">
        <v>1.538872462E9</v>
      </c>
      <c r="T152" s="142"/>
      <c r="U152" s="230">
        <v>1.538872462E9</v>
      </c>
      <c r="V152" s="28"/>
      <c r="W152" s="27"/>
      <c r="X152" s="27"/>
      <c r="Y152" s="27"/>
      <c r="AB152" s="27"/>
      <c r="AC152" s="27"/>
      <c r="AD152" s="28">
        <v>3.81792574E9</v>
      </c>
      <c r="AE152" s="28">
        <v>3.4103116627E10</v>
      </c>
      <c r="AF152" s="28"/>
      <c r="AG152" s="28">
        <v>-4.591686E8</v>
      </c>
      <c r="AH152" s="28">
        <v>1.5223322624E10</v>
      </c>
      <c r="AI152" s="28">
        <v>4.546504904E10</v>
      </c>
      <c r="AJ152" s="27"/>
      <c r="AK152" s="27"/>
      <c r="AL152" s="28">
        <v>1.3942439114E10</v>
      </c>
      <c r="AM152" s="61">
        <v>4.423963324E9</v>
      </c>
      <c r="AN152" s="62">
        <v>1.1651664787E11</v>
      </c>
      <c r="AP152" s="28">
        <v>7.5175E9</v>
      </c>
      <c r="AQ152" s="28">
        <v>1.13798238038E11</v>
      </c>
      <c r="AR152" s="28">
        <v>5.802752389E9</v>
      </c>
      <c r="AS152" s="61"/>
      <c r="AT152" s="61"/>
      <c r="AU152" s="61">
        <v>8.40731751E8</v>
      </c>
      <c r="AV152" s="63">
        <v>1.27959222178E11</v>
      </c>
      <c r="AW152" s="62">
        <v>2.44475870048E11</v>
      </c>
      <c r="AX152" s="27"/>
      <c r="AY152" s="27"/>
      <c r="AZ152" s="27"/>
      <c r="BA152" s="28">
        <v>4.322013108E9</v>
      </c>
      <c r="BB152" s="27"/>
      <c r="BC152" s="27"/>
      <c r="BD152" s="27"/>
      <c r="BE152" s="28">
        <v>2.002077128E9</v>
      </c>
      <c r="BF152" s="27"/>
      <c r="BG152" s="28"/>
      <c r="BH152" s="28"/>
      <c r="BI152" s="28">
        <v>4.2564848E7</v>
      </c>
      <c r="BJ152" s="27"/>
      <c r="BK152" s="61">
        <v>1.14935053191E11</v>
      </c>
      <c r="BL152" s="62">
        <v>1.21301708275E11</v>
      </c>
      <c r="BM152" s="27"/>
      <c r="BN152" s="28">
        <v>8.58378917E9</v>
      </c>
      <c r="BO152" s="27"/>
      <c r="BP152" s="27"/>
      <c r="BQ152" s="28">
        <v>5.388310085E9</v>
      </c>
      <c r="BR152" s="27"/>
      <c r="BS152" s="63">
        <v>1.3972099255E10</v>
      </c>
      <c r="BT152" s="62">
        <v>1.35273807531E11</v>
      </c>
      <c r="BU152" s="27"/>
      <c r="BV152" s="28">
        <v>6.8245E10</v>
      </c>
      <c r="BW152" s="27"/>
      <c r="BX152" s="28">
        <v>2.802022879E9</v>
      </c>
      <c r="BY152" s="28">
        <v>3.8654194756E10</v>
      </c>
      <c r="BZ152" s="61">
        <v>-4.99155118E8</v>
      </c>
      <c r="CA152" s="27"/>
      <c r="CB152" s="27"/>
      <c r="CC152" s="62">
        <v>1.09202062517E11</v>
      </c>
      <c r="CD152" s="62">
        <v>2.44475870048E11</v>
      </c>
      <c r="CF152" s="49" t="s">
        <v>291</v>
      </c>
    </row>
    <row r="153">
      <c r="A153" s="49" t="s">
        <v>296</v>
      </c>
      <c r="B153" s="146">
        <v>7.39062184791536E10</v>
      </c>
      <c r="C153" s="146">
        <v>6.00689291074153E10</v>
      </c>
      <c r="D153" s="88">
        <v>1.3837289372E10</v>
      </c>
      <c r="E153" s="146"/>
      <c r="F153" s="146">
        <v>3.83895779736107E9</v>
      </c>
      <c r="G153" s="146">
        <v>2.37990077E8</v>
      </c>
      <c r="H153" s="146">
        <v>7.97402E7</v>
      </c>
      <c r="I153" s="147">
        <v>4.156688074E9</v>
      </c>
      <c r="J153" s="147">
        <v>9.680601297E9</v>
      </c>
      <c r="K153" s="146"/>
      <c r="L153" s="146">
        <v>3.4782229171395E8</v>
      </c>
      <c r="M153" s="146">
        <v>4.90734104319579E9</v>
      </c>
      <c r="N153" s="146">
        <v>-4.559518751E9</v>
      </c>
      <c r="O153" s="146"/>
      <c r="P153" s="147">
        <v>5.121082546E9</v>
      </c>
      <c r="Q153" s="146"/>
      <c r="R153" s="146"/>
      <c r="S153" s="147">
        <v>5.121082546E9</v>
      </c>
      <c r="T153" s="146"/>
      <c r="U153" s="230">
        <v>5.121082546E9</v>
      </c>
      <c r="V153" s="28"/>
      <c r="W153" s="27"/>
      <c r="X153" s="27"/>
      <c r="Y153" s="27"/>
      <c r="AB153" s="27"/>
      <c r="AC153" s="27"/>
      <c r="AD153" s="28">
        <v>5.034232215E9</v>
      </c>
      <c r="AE153" s="28">
        <v>5.3116118177E10</v>
      </c>
      <c r="AF153" s="28"/>
      <c r="AG153" s="28">
        <v>-4.591686E8</v>
      </c>
      <c r="AH153" s="28">
        <v>1.5215327109E10</v>
      </c>
      <c r="AI153" s="28">
        <v>4.7698959853E10</v>
      </c>
      <c r="AJ153" s="27"/>
      <c r="AK153" s="27"/>
      <c r="AL153" s="28">
        <v>1.3651921039E10</v>
      </c>
      <c r="AM153" s="61">
        <v>5.109994128E9</v>
      </c>
      <c r="AN153" s="62">
        <v>1.39367383921E11</v>
      </c>
      <c r="AO153" s="27"/>
      <c r="AP153" s="28">
        <v>7.5175E9</v>
      </c>
      <c r="AQ153" s="28">
        <v>1.14180966789E11</v>
      </c>
      <c r="AR153" s="28">
        <v>5.782132947E9</v>
      </c>
      <c r="AS153" s="61"/>
      <c r="AT153" s="61"/>
      <c r="AU153" s="61">
        <v>8.40731751E8</v>
      </c>
      <c r="AV153" s="63">
        <v>1.28321331486E11</v>
      </c>
      <c r="AW153" s="62">
        <v>2.67688715408E11</v>
      </c>
      <c r="AX153" s="27"/>
      <c r="AY153" s="27"/>
      <c r="AZ153" s="27"/>
      <c r="BA153" s="28">
        <v>1.1514094197E10</v>
      </c>
      <c r="BB153" s="27"/>
      <c r="BC153" s="27"/>
      <c r="BD153" s="27"/>
      <c r="BE153" s="28">
        <v>2.177048404E9</v>
      </c>
      <c r="BF153" s="27"/>
      <c r="BG153" s="28"/>
      <c r="BH153" s="28"/>
      <c r="BI153" s="28">
        <v>5.48226714E8</v>
      </c>
      <c r="BJ153" s="27"/>
      <c r="BK153" s="61">
        <v>1.28407806782E11</v>
      </c>
      <c r="BL153" s="62">
        <v>1.42647176096E11</v>
      </c>
      <c r="BM153" s="27"/>
      <c r="BN153" s="28">
        <v>7.177197963E9</v>
      </c>
      <c r="BO153" s="27"/>
      <c r="BP153" s="27"/>
      <c r="BQ153" s="28">
        <v>5.388310085E9</v>
      </c>
      <c r="BR153" s="27"/>
      <c r="BS153" s="63">
        <v>1.2565508048E10</v>
      </c>
      <c r="BT153" s="62">
        <v>1.55212684145E11</v>
      </c>
      <c r="BU153" s="27"/>
      <c r="BV153" s="28">
        <v>6.8245E10</v>
      </c>
      <c r="BW153" s="27"/>
      <c r="BX153" s="28">
        <v>6.075991625E9</v>
      </c>
      <c r="BY153" s="28">
        <v>3.8654194756E10</v>
      </c>
      <c r="BZ153" s="61">
        <v>-4.99155118E8</v>
      </c>
      <c r="CA153" s="27"/>
      <c r="CB153" s="27"/>
      <c r="CC153" s="62">
        <v>1.12476031263E11</v>
      </c>
      <c r="CD153" s="62">
        <v>2.67688715408E11</v>
      </c>
      <c r="CF153" s="49" t="s">
        <v>296</v>
      </c>
    </row>
    <row r="154">
      <c r="A154" s="49" t="s">
        <v>299</v>
      </c>
      <c r="B154" s="85">
        <v>1.03247422868342E11</v>
      </c>
      <c r="C154" s="86">
        <v>8.6703977612E10</v>
      </c>
      <c r="D154" s="88">
        <v>1.6543445257E10</v>
      </c>
      <c r="E154" s="85"/>
      <c r="F154" s="85">
        <v>5.901710104E9</v>
      </c>
      <c r="G154" s="85">
        <v>4.47237322E8</v>
      </c>
      <c r="H154" s="86">
        <v>1.047402E8</v>
      </c>
      <c r="I154" s="88">
        <v>6.453687626E9</v>
      </c>
      <c r="J154" s="88">
        <v>1.0089757631E10</v>
      </c>
      <c r="K154" s="85"/>
      <c r="L154" s="85">
        <v>5.07460824E8</v>
      </c>
      <c r="M154" s="86">
        <v>7.079339034E9</v>
      </c>
      <c r="N154" s="87">
        <v>-6.57187821E9</v>
      </c>
      <c r="O154" s="85"/>
      <c r="P154" s="88">
        <v>3.51787942E9</v>
      </c>
      <c r="Q154" s="85" t="s">
        <v>295</v>
      </c>
      <c r="R154" s="85" t="s">
        <v>295</v>
      </c>
      <c r="S154" s="88">
        <v>3.51787942E9</v>
      </c>
      <c r="T154" s="85" t="s">
        <v>295</v>
      </c>
      <c r="U154" s="231">
        <v>3.51787942E9</v>
      </c>
      <c r="V154" s="28"/>
      <c r="W154" s="27"/>
      <c r="X154" s="27"/>
      <c r="Y154" s="27"/>
      <c r="AB154" s="27"/>
      <c r="AC154" s="27"/>
      <c r="AD154" s="28">
        <v>7.193429876E9</v>
      </c>
      <c r="AE154" s="28">
        <v>6.7875645423E10</v>
      </c>
      <c r="AF154" s="28"/>
      <c r="AG154" s="28">
        <v>-4.591686E8</v>
      </c>
      <c r="AH154" s="28">
        <v>1.7808079709E10</v>
      </c>
      <c r="AI154" s="28">
        <v>4.9079727178E10</v>
      </c>
      <c r="AJ154" s="27"/>
      <c r="AK154" s="27"/>
      <c r="AL154" s="28">
        <v>9.236701993E9</v>
      </c>
      <c r="AM154" s="61">
        <v>6.11916735E9</v>
      </c>
      <c r="AN154" s="62">
        <v>1.56853582931E11</v>
      </c>
      <c r="AO154" s="27"/>
      <c r="AP154" s="28">
        <v>7.5175E9</v>
      </c>
      <c r="AQ154" s="28">
        <v>1.14177700754E11</v>
      </c>
      <c r="AR154" s="28">
        <v>5.761513504E9</v>
      </c>
      <c r="AS154" s="61"/>
      <c r="AT154" s="61"/>
      <c r="AU154" s="61">
        <v>8.40731751E8</v>
      </c>
      <c r="AV154" s="63">
        <v>1.28297446009E11</v>
      </c>
      <c r="AW154" s="62">
        <v>2.8515102894E11</v>
      </c>
      <c r="AX154" s="27"/>
      <c r="AY154" s="27"/>
      <c r="AZ154" s="27"/>
      <c r="BA154" s="28">
        <v>1.3693841647E10</v>
      </c>
      <c r="BB154" s="27"/>
      <c r="BC154" s="27"/>
      <c r="BD154" s="27"/>
      <c r="BE154" s="28">
        <v>2.424624817E9</v>
      </c>
      <c r="BF154" s="27"/>
      <c r="BG154" s="28"/>
      <c r="BH154" s="28"/>
      <c r="BI154" s="28">
        <v>1.901964411E9</v>
      </c>
      <c r="BJ154" s="27"/>
      <c r="BK154" s="61">
        <v>1.49637238676E11</v>
      </c>
      <c r="BL154" s="62">
        <v>1.67657669551E11</v>
      </c>
      <c r="BM154" s="27"/>
      <c r="BN154" s="28">
        <v>5.388310085E9</v>
      </c>
      <c r="BO154" s="27"/>
      <c r="BP154" s="27"/>
      <c r="BQ154" s="28">
        <v>5.388310085E9</v>
      </c>
      <c r="BR154" s="27"/>
      <c r="BS154" s="63">
        <v>5.388310085E9</v>
      </c>
      <c r="BT154" s="62">
        <v>1.73045979636E11</v>
      </c>
      <c r="BU154" s="27"/>
      <c r="BV154" s="28">
        <v>6.8245E10</v>
      </c>
      <c r="BW154" s="27"/>
      <c r="BX154" s="28">
        <v>5.705009666E9</v>
      </c>
      <c r="BY154" s="28">
        <v>3.8654194756E10</v>
      </c>
      <c r="BZ154" s="61">
        <v>-4.99155118E8</v>
      </c>
      <c r="CA154" s="27"/>
      <c r="CB154" s="27"/>
      <c r="CC154" s="62">
        <v>1.12105049304E11</v>
      </c>
      <c r="CD154" s="62">
        <v>2.8515102894E11</v>
      </c>
      <c r="CF154" s="49" t="s">
        <v>299</v>
      </c>
    </row>
    <row r="155">
      <c r="A155" s="49" t="s">
        <v>302</v>
      </c>
      <c r="B155" s="83">
        <v>1.24403418992E11</v>
      </c>
      <c r="C155" s="84">
        <v>1.05613846334E11</v>
      </c>
      <c r="D155" s="232">
        <v>1.8789572658E10</v>
      </c>
      <c r="E155" s="233"/>
      <c r="F155" s="83">
        <v>8.303815595E9</v>
      </c>
      <c r="G155" s="83">
        <v>5.16585894E8</v>
      </c>
      <c r="H155" s="84">
        <v>1.423242E8</v>
      </c>
      <c r="I155" s="232">
        <v>8.962725689E9</v>
      </c>
      <c r="J155" s="232">
        <v>9.826846969E9</v>
      </c>
      <c r="K155" s="233"/>
      <c r="L155" s="83">
        <v>9.56155945E8</v>
      </c>
      <c r="M155" s="84">
        <v>9.412570911E9</v>
      </c>
      <c r="N155" s="196">
        <v>-8.456414966E9</v>
      </c>
      <c r="O155" s="85"/>
      <c r="P155" s="88">
        <v>1.370432003E9</v>
      </c>
      <c r="Q155" s="85" t="s">
        <v>295</v>
      </c>
      <c r="R155" s="85" t="s">
        <v>295</v>
      </c>
      <c r="S155" s="88">
        <v>1.370432003E9</v>
      </c>
      <c r="T155" s="85" t="s">
        <v>295</v>
      </c>
      <c r="U155" s="234">
        <v>1.370432003E9</v>
      </c>
      <c r="V155" s="28"/>
      <c r="W155" s="27"/>
      <c r="X155" s="27"/>
      <c r="Y155" s="27"/>
      <c r="AB155" s="27"/>
      <c r="AC155" s="27"/>
      <c r="AD155" s="28">
        <v>1.2193105553E10</v>
      </c>
      <c r="AE155" s="28">
        <v>7.4836449809E10</v>
      </c>
      <c r="AF155" s="28"/>
      <c r="AG155" s="28">
        <v>-4.591686E8</v>
      </c>
      <c r="AH155" s="28">
        <v>1.4703273313E10</v>
      </c>
      <c r="AI155" s="28">
        <v>4.0115117612E10</v>
      </c>
      <c r="AJ155" s="27"/>
      <c r="AK155" s="27"/>
      <c r="AL155" s="28">
        <v>1.0603291464E10</v>
      </c>
      <c r="AM155" s="61">
        <v>6.292196841E9</v>
      </c>
      <c r="AN155" s="62">
        <v>1.58284265992E11</v>
      </c>
      <c r="AO155" s="27"/>
      <c r="AP155" s="28">
        <v>7.5175E9</v>
      </c>
      <c r="AQ155" s="28">
        <v>1.14579980264E11</v>
      </c>
      <c r="AR155" s="28">
        <v>6.083078561E9</v>
      </c>
      <c r="AS155" s="61"/>
      <c r="AT155" s="61"/>
      <c r="AU155" s="61">
        <v>8.40731751E8</v>
      </c>
      <c r="AV155" s="63">
        <v>1.29021290577E11</v>
      </c>
      <c r="AW155" s="62">
        <v>2.87305556569E11</v>
      </c>
      <c r="AX155" s="27"/>
      <c r="AY155" s="27"/>
      <c r="AZ155" s="27"/>
      <c r="BA155" s="28">
        <v>1.3263617026E10</v>
      </c>
      <c r="BB155" s="27"/>
      <c r="BC155" s="27"/>
      <c r="BD155" s="27"/>
      <c r="BE155" s="28">
        <v>2.513256526E9</v>
      </c>
      <c r="BF155" s="27"/>
      <c r="BG155" s="28"/>
      <c r="BH155" s="28"/>
      <c r="BI155" s="28">
        <v>1.474230929E9</v>
      </c>
      <c r="BJ155" s="27"/>
      <c r="BK155" s="61">
        <v>1.45214391115E11</v>
      </c>
      <c r="BL155" s="62">
        <v>1.62465495596E11</v>
      </c>
      <c r="BM155" s="27"/>
      <c r="BN155" s="28">
        <v>8.264345722E9</v>
      </c>
      <c r="BO155" s="27"/>
      <c r="BP155" s="27"/>
      <c r="BQ155" s="28">
        <v>5.388310085E9</v>
      </c>
      <c r="BR155" s="27"/>
      <c r="BS155" s="63">
        <v>1.3652655807E10</v>
      </c>
      <c r="BT155" s="62">
        <v>1.76118151403E11</v>
      </c>
      <c r="BU155" s="27"/>
      <c r="BV155" s="28">
        <v>6.8245E10</v>
      </c>
      <c r="BW155" s="27"/>
      <c r="BX155" s="28">
        <v>4.787365528E9</v>
      </c>
      <c r="BY155" s="28">
        <v>3.8654194756E10</v>
      </c>
      <c r="BZ155" s="61">
        <v>-4.99155118E8</v>
      </c>
      <c r="CA155" s="27"/>
      <c r="CB155" s="27"/>
      <c r="CC155" s="62">
        <v>1.11187405166E11</v>
      </c>
      <c r="CD155" s="62">
        <v>2.87305556569E11</v>
      </c>
      <c r="CF155" s="49" t="s">
        <v>302</v>
      </c>
    </row>
    <row r="156">
      <c r="A156" s="49" t="s">
        <v>304</v>
      </c>
      <c r="B156" s="83">
        <v>1.60277556615E11</v>
      </c>
      <c r="C156" s="84">
        <v>1.34669795983E11</v>
      </c>
      <c r="D156" s="232">
        <v>2.5607760632E10</v>
      </c>
      <c r="E156" s="233"/>
      <c r="F156" s="83">
        <v>1.0951943921E10</v>
      </c>
      <c r="G156" s="83">
        <v>5.75929071E8</v>
      </c>
      <c r="H156" s="84">
        <v>1.544862E8</v>
      </c>
      <c r="I156" s="232">
        <v>1.1682359192E10</v>
      </c>
      <c r="J156" s="232">
        <v>1.392540144E10</v>
      </c>
      <c r="K156" s="233"/>
      <c r="L156" s="83">
        <v>1.834309549E9</v>
      </c>
      <c r="M156" s="84">
        <v>1.1582294025E10</v>
      </c>
      <c r="N156" s="196">
        <v>-9.747984475E9</v>
      </c>
      <c r="O156" s="85"/>
      <c r="P156" s="88">
        <v>4.177416965E9</v>
      </c>
      <c r="Q156" s="85" t="s">
        <v>295</v>
      </c>
      <c r="R156" s="85" t="s">
        <v>295</v>
      </c>
      <c r="S156" s="88">
        <v>4.177416965E9</v>
      </c>
      <c r="T156" s="85" t="s">
        <v>295</v>
      </c>
      <c r="U156" s="231">
        <v>4.177416965E9</v>
      </c>
      <c r="V156" s="28"/>
      <c r="W156" s="235">
        <v>4.907594547326E16</v>
      </c>
      <c r="X156" s="27"/>
      <c r="Y156" s="27"/>
      <c r="AB156" s="27"/>
      <c r="AC156" s="27"/>
      <c r="AD156" s="236">
        <v>1.2588846675E10</v>
      </c>
      <c r="AE156" s="236">
        <v>7.7621892523E10</v>
      </c>
      <c r="AF156" s="236"/>
      <c r="AG156" s="236">
        <v>-2.76315621E8</v>
      </c>
      <c r="AH156" s="236">
        <v>1.6124447004E10</v>
      </c>
      <c r="AI156" s="236">
        <v>3.801892255E10</v>
      </c>
      <c r="AJ156" s="236"/>
      <c r="AK156" s="236"/>
      <c r="AL156" s="236">
        <v>1.0742885928E10</v>
      </c>
      <c r="AM156" s="237">
        <v>5.835495283E9</v>
      </c>
      <c r="AN156" s="238">
        <v>1.60656174341E11</v>
      </c>
      <c r="AO156" s="239"/>
      <c r="AP156" s="236">
        <v>7.5175E9</v>
      </c>
      <c r="AQ156" s="236">
        <v>1.1540082017E11</v>
      </c>
      <c r="AR156" s="236">
        <v>6.789374552E9</v>
      </c>
      <c r="AS156" s="237"/>
      <c r="AT156" s="237"/>
      <c r="AU156" s="237">
        <v>1.108964324E9</v>
      </c>
      <c r="AV156" s="240">
        <v>1.30816659046E11</v>
      </c>
      <c r="AW156" s="238">
        <v>2.91472833387E11</v>
      </c>
      <c r="AX156" s="239"/>
      <c r="AY156" s="239"/>
      <c r="AZ156" s="239"/>
      <c r="BA156" s="236">
        <v>9.859257096E9</v>
      </c>
      <c r="BB156" s="236"/>
      <c r="BC156" s="236"/>
      <c r="BD156" s="236"/>
      <c r="BE156" s="236">
        <v>2.186246574E9</v>
      </c>
      <c r="BF156" s="236"/>
      <c r="BG156" s="237"/>
      <c r="BH156" s="237"/>
      <c r="BI156" s="237">
        <v>2.03295391E9</v>
      </c>
      <c r="BJ156" s="238"/>
      <c r="BK156" s="237">
        <v>1.54810373664E11</v>
      </c>
      <c r="BL156" s="238">
        <v>1.68888831244E11</v>
      </c>
      <c r="BM156" s="236"/>
      <c r="BN156" s="236">
        <v>8.263858083E9</v>
      </c>
      <c r="BO156" s="238"/>
      <c r="BP156" s="238"/>
      <c r="BQ156" s="236">
        <v>4.883288413E9</v>
      </c>
      <c r="BR156" s="239"/>
      <c r="BS156" s="240">
        <v>1.3147146496E10</v>
      </c>
      <c r="BT156" s="238">
        <v>1.8203597774E11</v>
      </c>
      <c r="BU156" s="236"/>
      <c r="BV156" s="28">
        <v>6.8245E10</v>
      </c>
      <c r="BW156" s="238"/>
      <c r="BX156" s="238">
        <v>2.609125828E9</v>
      </c>
      <c r="BY156" s="238">
        <v>3.9078077133E10</v>
      </c>
      <c r="BZ156" s="61">
        <v>-4.95347313E8</v>
      </c>
      <c r="CA156" s="27"/>
      <c r="CB156" s="27"/>
      <c r="CC156" s="62">
        <v>1.09436855648E11</v>
      </c>
      <c r="CD156" s="62">
        <v>2.91472833388E11</v>
      </c>
      <c r="CF156" s="49" t="s">
        <v>304</v>
      </c>
    </row>
    <row r="157">
      <c r="A157" s="49" t="s">
        <v>313</v>
      </c>
      <c r="B157" s="146">
        <v>1.88755837473171E11</v>
      </c>
      <c r="C157" s="84">
        <v>1.5812143654427E11</v>
      </c>
      <c r="D157" s="147">
        <v>3.0634400929E10</v>
      </c>
      <c r="E157" s="146"/>
      <c r="F157" s="146">
        <v>1.36682959684654E10</v>
      </c>
      <c r="G157" s="146">
        <v>6.97197428E8</v>
      </c>
      <c r="H157" s="174">
        <v>2.272669E8</v>
      </c>
      <c r="I157" s="147">
        <v>1.4592760296E10</v>
      </c>
      <c r="J157" s="147">
        <v>1.6041640632E10</v>
      </c>
      <c r="K157" s="146"/>
      <c r="L157" s="146">
        <v>1.85922921512584E9</v>
      </c>
      <c r="M157" s="174">
        <v>1.40223427662922E10</v>
      </c>
      <c r="N157" s="174">
        <v>-1.2163113551E10</v>
      </c>
      <c r="O157" s="146"/>
      <c r="P157" s="88">
        <v>3.878527081E9</v>
      </c>
      <c r="Q157" s="85" t="s">
        <v>295</v>
      </c>
      <c r="R157" s="85" t="s">
        <v>295</v>
      </c>
      <c r="S157" s="232">
        <v>3.878527081E9</v>
      </c>
      <c r="T157" s="85" t="s">
        <v>295</v>
      </c>
      <c r="U157" s="241">
        <v>3.878527081E9</v>
      </c>
      <c r="V157" s="28"/>
      <c r="W157" s="27"/>
      <c r="X157" s="27"/>
      <c r="Y157" s="27"/>
      <c r="AB157" s="27"/>
      <c r="AC157" s="27"/>
      <c r="AD157" s="28">
        <v>1.5578186748E10</v>
      </c>
      <c r="AE157" s="28">
        <v>7.0455803123E10</v>
      </c>
      <c r="AF157" s="28"/>
      <c r="AG157" s="28">
        <v>-2.76315621E8</v>
      </c>
      <c r="AH157" s="28">
        <v>1.1415440204E10</v>
      </c>
      <c r="AI157" s="28">
        <v>4.3370273802E10</v>
      </c>
      <c r="AJ157" s="27"/>
      <c r="AK157" s="27"/>
      <c r="AL157" s="28">
        <v>1.3354031856E10</v>
      </c>
      <c r="AM157" s="61">
        <v>5.156796216E9</v>
      </c>
      <c r="AN157" s="62">
        <v>1.59054216328E11</v>
      </c>
      <c r="AO157" s="27"/>
      <c r="AP157" s="28">
        <v>1.28175E10</v>
      </c>
      <c r="AQ157" s="28">
        <v>1.16053453742E11</v>
      </c>
      <c r="AR157" s="28">
        <v>6.903398042E9</v>
      </c>
      <c r="AS157" s="61"/>
      <c r="AT157" s="61"/>
      <c r="AU157" s="61">
        <v>1.108964324E9</v>
      </c>
      <c r="AV157" s="63">
        <v>1.36883316108E11</v>
      </c>
      <c r="AW157" s="62">
        <v>2.95937532436E11</v>
      </c>
      <c r="AX157" s="27"/>
      <c r="AY157" s="27"/>
      <c r="AZ157" s="27"/>
      <c r="BA157" s="28">
        <v>9.827286727E9</v>
      </c>
      <c r="BB157" s="27"/>
      <c r="BC157" s="27"/>
      <c r="BD157" s="27"/>
      <c r="BE157" s="28">
        <v>9.87405706E8</v>
      </c>
      <c r="BF157" s="27"/>
      <c r="BG157" s="28"/>
      <c r="BH157" s="28"/>
      <c r="BI157" s="28">
        <v>1.794789832E9</v>
      </c>
      <c r="BJ157" s="27"/>
      <c r="BK157" s="61">
        <v>1.64155174587E11</v>
      </c>
      <c r="BL157" s="62">
        <v>1.76764656852E11</v>
      </c>
      <c r="BM157" s="27"/>
      <c r="BN157" s="28">
        <v>8.263390093E9</v>
      </c>
      <c r="BO157" s="27"/>
      <c r="BP157" s="27"/>
      <c r="BQ157" s="28">
        <v>4.765807382E9</v>
      </c>
      <c r="BR157" s="27"/>
      <c r="BS157" s="63">
        <v>1.3029197475E10</v>
      </c>
      <c r="BT157" s="62">
        <v>1.89793854327E11</v>
      </c>
      <c r="BU157" s="27"/>
      <c r="BV157" s="28">
        <v>6.8245E10</v>
      </c>
      <c r="BW157" s="27"/>
      <c r="BX157" s="28">
        <v>-6.83616294E8</v>
      </c>
      <c r="BY157" s="28">
        <v>3.9078077133E10</v>
      </c>
      <c r="BZ157" s="61">
        <v>-4.95347313E8</v>
      </c>
      <c r="CA157" s="27"/>
      <c r="CB157" s="27"/>
      <c r="CC157" s="62">
        <v>1.06144113526E11</v>
      </c>
      <c r="CD157" s="62">
        <v>2.95937967853E11</v>
      </c>
      <c r="CF157" s="49" t="s">
        <v>313</v>
      </c>
    </row>
    <row r="158">
      <c r="A158" s="49" t="s">
        <v>316</v>
      </c>
      <c r="B158" s="146">
        <v>2.45433330146E11</v>
      </c>
      <c r="C158" s="174">
        <v>2.04599883612E11</v>
      </c>
      <c r="D158" s="147">
        <v>4.0833446534E10</v>
      </c>
      <c r="E158" s="146"/>
      <c r="F158" s="146">
        <v>1.6729334075E10</v>
      </c>
      <c r="G158" s="146">
        <v>7.95211332E8</v>
      </c>
      <c r="H158" s="174">
        <v>2.82502275E8</v>
      </c>
      <c r="I158" s="147">
        <v>1.7807047682E10</v>
      </c>
      <c r="J158" s="147">
        <v>2.3026398852E10</v>
      </c>
      <c r="K158" s="146"/>
      <c r="L158" s="146">
        <v>2.040682298E9</v>
      </c>
      <c r="M158" s="174">
        <v>1.5987607123E10</v>
      </c>
      <c r="N158" s="174">
        <v>-1.3946924826E10</v>
      </c>
      <c r="O158" s="146"/>
      <c r="P158" s="147">
        <v>9.079474026E9</v>
      </c>
      <c r="Q158" s="146" t="s">
        <v>295</v>
      </c>
      <c r="R158" s="146" t="s">
        <v>295</v>
      </c>
      <c r="S158" s="147">
        <v>9.079474026E9</v>
      </c>
      <c r="T158" s="146" t="s">
        <v>295</v>
      </c>
      <c r="U158" s="109">
        <v>9.079474026E9</v>
      </c>
      <c r="V158" s="28"/>
      <c r="W158" s="27"/>
      <c r="X158" s="27"/>
      <c r="Y158" s="27"/>
      <c r="AB158" s="27"/>
      <c r="AC158" s="27"/>
      <c r="AD158" s="28">
        <v>2.1939565059E10</v>
      </c>
      <c r="AE158" s="28">
        <v>6.0003636984E10</v>
      </c>
      <c r="AF158" s="28"/>
      <c r="AG158" s="28">
        <v>-2.76315621E8</v>
      </c>
      <c r="AH158" s="28">
        <v>1.1653781435E10</v>
      </c>
      <c r="AI158" s="28">
        <v>5.0121212753E10</v>
      </c>
      <c r="AJ158" s="27"/>
      <c r="AK158" s="27"/>
      <c r="AL158" s="28">
        <v>1.5962471117E10</v>
      </c>
      <c r="AM158" s="61">
        <v>7.090914829E9</v>
      </c>
      <c r="AN158" s="62">
        <v>1.66474666556E11</v>
      </c>
      <c r="AO158" s="27"/>
      <c r="AP158" s="28">
        <v>1.28175E10</v>
      </c>
      <c r="AQ158" s="28">
        <v>1.18417127119E11</v>
      </c>
      <c r="AR158" s="28">
        <v>6.872843708E9</v>
      </c>
      <c r="AS158" s="61"/>
      <c r="AT158" s="61"/>
      <c r="AU158" s="61">
        <v>1.108964324E9</v>
      </c>
      <c r="AV158" s="63">
        <v>1.39216435151E11</v>
      </c>
      <c r="AW158" s="62">
        <v>3.05691101707E11</v>
      </c>
      <c r="AX158" s="27"/>
      <c r="AY158" s="27"/>
      <c r="AZ158" s="27"/>
      <c r="BA158" s="28">
        <v>1.0964155244E10</v>
      </c>
      <c r="BB158" s="27"/>
      <c r="BC158" s="27"/>
      <c r="BD158" s="27"/>
      <c r="BE158" s="28">
        <v>2.066638065E9</v>
      </c>
      <c r="BF158" s="27"/>
      <c r="BG158" s="28"/>
      <c r="BH158" s="28"/>
      <c r="BI158" s="28">
        <v>-1.6639686968E10</v>
      </c>
      <c r="BJ158" s="27"/>
      <c r="BK158" s="61">
        <v>1.96973948368E11</v>
      </c>
      <c r="BL158" s="62">
        <v>1.9336505471E11</v>
      </c>
      <c r="BM158" s="27"/>
      <c r="BN158" s="28" t="s">
        <v>386</v>
      </c>
      <c r="BO158" s="27"/>
      <c r="BP158" s="27"/>
      <c r="BQ158" s="28">
        <v>4.686375254E9</v>
      </c>
      <c r="BR158" s="27"/>
      <c r="BS158" s="63">
        <v>4.686375254E9</v>
      </c>
      <c r="BT158" s="62">
        <v>1.98051429964E11</v>
      </c>
      <c r="BU158" s="27"/>
      <c r="BV158" s="28">
        <v>6.8245E10</v>
      </c>
      <c r="BW158" s="27"/>
      <c r="BX158" s="28">
        <v>8.14486748E8</v>
      </c>
      <c r="BY158" s="28">
        <v>3.9078077133E10</v>
      </c>
      <c r="BZ158" s="61">
        <v>-4.95347313E8</v>
      </c>
      <c r="CA158" s="27"/>
      <c r="CB158" s="27"/>
      <c r="CC158" s="62">
        <v>1.07639671744E11</v>
      </c>
      <c r="CD158" s="62">
        <v>3.05691101707E11</v>
      </c>
      <c r="CF158" s="49" t="s">
        <v>316</v>
      </c>
    </row>
    <row r="159">
      <c r="A159" s="49" t="s">
        <v>318</v>
      </c>
      <c r="B159" s="146">
        <v>2.97543581194E11</v>
      </c>
      <c r="C159" s="174">
        <v>2.4696287169E11</v>
      </c>
      <c r="D159" s="147">
        <v>5.0580709504E10</v>
      </c>
      <c r="E159" s="146"/>
      <c r="F159" s="146">
        <v>1.8454247351E10</v>
      </c>
      <c r="G159" s="146">
        <v>8.9566567E8</v>
      </c>
      <c r="H159" s="174">
        <v>2.89822275E8</v>
      </c>
      <c r="I159" s="147">
        <v>1.9639735296E10</v>
      </c>
      <c r="J159" s="147">
        <v>3.0940974208E10</v>
      </c>
      <c r="K159" s="146"/>
      <c r="L159" s="146">
        <v>2.062008406E9</v>
      </c>
      <c r="M159" s="174">
        <v>1.8351395253E10</v>
      </c>
      <c r="N159" s="174">
        <v>-1.6289386847E10</v>
      </c>
      <c r="O159" s="146"/>
      <c r="P159" s="147">
        <v>1.4651587361E10</v>
      </c>
      <c r="Q159" s="146"/>
      <c r="R159" s="146"/>
      <c r="S159" s="147">
        <v>1.4651587361E10</v>
      </c>
      <c r="T159" s="146"/>
      <c r="U159" s="227">
        <v>1.4651587361E10</v>
      </c>
      <c r="V159" s="28"/>
      <c r="W159" s="27"/>
      <c r="X159" s="27"/>
      <c r="Y159" s="27"/>
      <c r="AB159" s="27"/>
      <c r="AC159" s="27"/>
      <c r="AD159" s="28">
        <v>2.5511880034E10</v>
      </c>
      <c r="AE159" s="28">
        <v>8.5256523843E10</v>
      </c>
      <c r="AF159" s="28"/>
      <c r="AG159" s="28">
        <v>-2.76315621E8</v>
      </c>
      <c r="AH159" s="28">
        <v>1.2056441438E10</v>
      </c>
      <c r="AI159" s="28">
        <v>4.5363758389E10</v>
      </c>
      <c r="AJ159" s="27"/>
      <c r="AK159" s="27"/>
      <c r="AL159" s="28">
        <v>4.222404298E9</v>
      </c>
      <c r="AM159" s="61">
        <v>8.25482897E9</v>
      </c>
      <c r="AN159" s="62">
        <v>1.8038952135E11</v>
      </c>
      <c r="AO159" s="27"/>
      <c r="AP159" s="28">
        <v>1.28175E10</v>
      </c>
      <c r="AQ159" s="28">
        <v>1.19090337976E11</v>
      </c>
      <c r="AR159" s="28">
        <v>6.842289373E9</v>
      </c>
      <c r="AS159" s="61"/>
      <c r="AT159" s="61"/>
      <c r="AU159" s="61">
        <v>1.108964324E9</v>
      </c>
      <c r="AV159" s="63">
        <v>1.39859091673E11</v>
      </c>
      <c r="AW159" s="62">
        <v>3.20248613023E11</v>
      </c>
      <c r="AX159" s="27"/>
      <c r="AY159" s="27"/>
      <c r="AZ159" s="27"/>
      <c r="BA159" s="28">
        <v>1.2395701519E10</v>
      </c>
      <c r="BB159" s="27"/>
      <c r="BC159" s="27"/>
      <c r="BD159" s="27"/>
      <c r="BE159" s="28">
        <v>3.154162534E9</v>
      </c>
      <c r="BF159" s="27"/>
      <c r="BG159" s="28"/>
      <c r="BH159" s="28"/>
      <c r="BI159" s="28">
        <v>-2.5986036933E10</v>
      </c>
      <c r="BJ159" s="27"/>
      <c r="BK159" s="61">
        <v>2.1310419157E11</v>
      </c>
      <c r="BL159" s="62">
        <v>2.0266801869E11</v>
      </c>
      <c r="BM159" s="27"/>
      <c r="BN159" s="28">
        <v>1.0102796366E10</v>
      </c>
      <c r="BO159" s="27"/>
      <c r="BP159" s="27"/>
      <c r="BQ159" s="28">
        <v>4.668033944E9</v>
      </c>
      <c r="BR159" s="27"/>
      <c r="BS159" s="63">
        <v>4.668033944E9</v>
      </c>
      <c r="BT159" s="62">
        <v>2.07336052634E11</v>
      </c>
      <c r="BU159" s="27"/>
      <c r="BV159" s="28">
        <v>6.8245E10</v>
      </c>
      <c r="BW159" s="27"/>
      <c r="BX159" s="28">
        <v>6.08483057E9</v>
      </c>
      <c r="BY159" s="28">
        <v>3.9078077133E10</v>
      </c>
      <c r="BZ159" s="61">
        <v>-4.95347313E8</v>
      </c>
      <c r="CA159" s="27"/>
      <c r="CB159" s="27"/>
      <c r="CC159" s="62">
        <v>1.1291256039E11</v>
      </c>
      <c r="CD159" s="62">
        <v>3.20248613023E11</v>
      </c>
      <c r="CF159" s="49" t="s">
        <v>318</v>
      </c>
    </row>
    <row r="160">
      <c r="A160" s="49" t="s">
        <v>3</v>
      </c>
      <c r="B160" s="146">
        <v>3.43560095836E11</v>
      </c>
      <c r="C160" s="174">
        <v>2.88771904553E11</v>
      </c>
      <c r="D160" s="147">
        <v>5.4788191282E10</v>
      </c>
      <c r="E160" s="146"/>
      <c r="F160" s="146">
        <v>2.0247503895E10</v>
      </c>
      <c r="G160" s="146">
        <v>1.149753496E9</v>
      </c>
      <c r="H160" s="174">
        <v>3.74104275E8</v>
      </c>
      <c r="I160" s="147">
        <v>2.1771361667E10</v>
      </c>
      <c r="J160" s="147">
        <v>3.3016829616E10</v>
      </c>
      <c r="K160" s="146"/>
      <c r="L160" s="146">
        <v>2.275467383E9</v>
      </c>
      <c r="M160" s="174">
        <v>2.0428846488E10</v>
      </c>
      <c r="N160" s="174">
        <v>-1.8153379105E10</v>
      </c>
      <c r="O160" s="146"/>
      <c r="P160" s="147">
        <v>1.4863450511E10</v>
      </c>
      <c r="Q160" s="146"/>
      <c r="R160" s="146"/>
      <c r="S160" s="147">
        <v>1.4863450511E10</v>
      </c>
      <c r="T160" s="146"/>
      <c r="U160" s="147">
        <v>1.4863450511E10</v>
      </c>
      <c r="V160" s="28"/>
      <c r="W160" s="27"/>
      <c r="X160" s="27"/>
      <c r="Y160" s="27"/>
      <c r="AB160" s="27"/>
      <c r="AC160" s="27"/>
      <c r="AD160" s="28">
        <v>6.677850298E9</v>
      </c>
      <c r="AE160" s="28">
        <v>7.6398831077E10</v>
      </c>
      <c r="AF160" s="28"/>
      <c r="AG160" s="28">
        <v>-2.76315621E8</v>
      </c>
      <c r="AH160" s="28">
        <v>1.2205061438E10</v>
      </c>
      <c r="AI160" s="28">
        <v>4.6858028474E10</v>
      </c>
      <c r="AJ160" s="27"/>
      <c r="AK160" s="27"/>
      <c r="AL160" s="28">
        <v>3.671818263E9</v>
      </c>
      <c r="AM160" s="61">
        <v>6.71359129E9</v>
      </c>
      <c r="AN160" s="62">
        <v>1.52248856219E11</v>
      </c>
      <c r="AO160" s="27"/>
      <c r="AP160" s="28">
        <v>1.28175E10</v>
      </c>
      <c r="AQ160" s="242">
        <v>1.20033120044E11</v>
      </c>
      <c r="AR160" s="28">
        <v>6.811735039E9</v>
      </c>
      <c r="AS160" s="61"/>
      <c r="AT160" s="61"/>
      <c r="AU160" s="61">
        <v>1.108964324E9</v>
      </c>
      <c r="AV160" s="63">
        <v>1.40771319406E11</v>
      </c>
      <c r="AW160" s="62">
        <v>2.93020175625E11</v>
      </c>
      <c r="AX160" s="27"/>
      <c r="AY160" s="27"/>
      <c r="AZ160" s="27"/>
      <c r="BA160" s="28">
        <v>8.960021256E9</v>
      </c>
      <c r="BB160" s="27"/>
      <c r="BC160" s="27"/>
      <c r="BD160" s="27"/>
      <c r="BE160" s="28">
        <v>1.710479615E9</v>
      </c>
      <c r="BF160" s="27"/>
      <c r="BG160" s="28"/>
      <c r="BH160" s="28"/>
      <c r="BI160" s="28">
        <v>-3.6995731878E10</v>
      </c>
      <c r="BJ160" s="27"/>
      <c r="BK160" s="61">
        <v>2.01678557772E11</v>
      </c>
      <c r="BL160" s="62">
        <v>1.75353326764E11</v>
      </c>
      <c r="BM160" s="27"/>
      <c r="BN160" s="28" t="s">
        <v>386</v>
      </c>
      <c r="BO160" s="27"/>
      <c r="BP160" s="27"/>
      <c r="BQ160" s="28">
        <v>4.237615577E9</v>
      </c>
      <c r="BR160" s="27"/>
      <c r="BS160" s="63">
        <v>4.237615577E9</v>
      </c>
      <c r="BT160" s="62">
        <v>1.79590942341E11</v>
      </c>
      <c r="BU160" s="27"/>
      <c r="BV160" s="28">
        <v>6.8245E10</v>
      </c>
      <c r="BW160" s="27"/>
      <c r="BX160" s="28">
        <v>6.601503465E9</v>
      </c>
      <c r="BY160" s="28">
        <v>3.9078077133E10</v>
      </c>
      <c r="BZ160" s="61">
        <v>-4.95347313E8</v>
      </c>
      <c r="CA160" s="27"/>
      <c r="CB160" s="27"/>
      <c r="CC160" s="62">
        <v>1.13429233285E11</v>
      </c>
      <c r="CD160" s="62">
        <v>2.93020175625E11</v>
      </c>
      <c r="CF160" s="49" t="s">
        <v>3</v>
      </c>
    </row>
    <row r="161">
      <c r="A161" s="49" t="s">
        <v>322</v>
      </c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09"/>
      <c r="V161" s="28"/>
      <c r="W161" s="27"/>
      <c r="X161" s="27"/>
      <c r="Y161" s="27"/>
      <c r="AB161" s="27"/>
      <c r="AC161" s="27"/>
      <c r="AD161" s="28">
        <v>1.7721705412E10</v>
      </c>
      <c r="AE161" s="28">
        <v>6.5410646876E10</v>
      </c>
      <c r="AF161" s="28"/>
      <c r="AG161" s="28">
        <v>-2.76315621E8</v>
      </c>
      <c r="AH161" s="28">
        <v>2.013283591E10</v>
      </c>
      <c r="AI161" s="28">
        <v>4.9875512902E10</v>
      </c>
      <c r="AJ161" s="27"/>
      <c r="AK161" s="27"/>
      <c r="AL161" s="28">
        <v>1.5922510995E10</v>
      </c>
      <c r="AM161" s="61">
        <v>7.900100219E9</v>
      </c>
      <c r="AN161" s="62">
        <v>1.76686996692E11</v>
      </c>
      <c r="AO161" s="27"/>
      <c r="AP161" s="28">
        <v>1.28175E10</v>
      </c>
      <c r="AQ161" s="28">
        <v>1.21144119369E11</v>
      </c>
      <c r="AR161" s="28">
        <v>6.781180704E9</v>
      </c>
      <c r="AS161" s="61"/>
      <c r="AT161" s="61"/>
      <c r="AU161" s="61">
        <v>1.108964324E9</v>
      </c>
      <c r="AV161" s="63">
        <v>1.41851764398E11</v>
      </c>
      <c r="AW161" s="62">
        <v>3.1853876109E11</v>
      </c>
      <c r="AX161" s="27"/>
      <c r="AY161" s="27"/>
      <c r="AZ161" s="27"/>
      <c r="BA161" s="28">
        <v>1.3667800875E10</v>
      </c>
      <c r="BB161" s="27"/>
      <c r="BC161" s="27"/>
      <c r="BD161" s="27"/>
      <c r="BE161" s="28">
        <v>2.268934472E9</v>
      </c>
      <c r="BF161" s="27"/>
      <c r="BG161" s="28"/>
      <c r="BH161" s="28"/>
      <c r="BI161" s="28">
        <v>2.01860838E8</v>
      </c>
      <c r="BJ161" s="27"/>
      <c r="BK161" s="61">
        <v>1.71007427101E11</v>
      </c>
      <c r="BL161" s="62">
        <v>1.87146023287E11</v>
      </c>
      <c r="BM161" s="27"/>
      <c r="BN161" s="28">
        <v>1.302217219E10</v>
      </c>
      <c r="BO161" s="27"/>
      <c r="BP161" s="27"/>
      <c r="BQ161" s="28">
        <v>4.195185385E9</v>
      </c>
      <c r="BR161" s="27"/>
      <c r="BS161" s="63">
        <v>1.7217357575E10</v>
      </c>
      <c r="BT161" s="62">
        <v>2.04363380861E11</v>
      </c>
      <c r="BU161" s="27"/>
      <c r="BV161" s="28">
        <v>6.8245E10</v>
      </c>
      <c r="BW161" s="27"/>
      <c r="BX161" s="28">
        <v>7.347650409E9</v>
      </c>
      <c r="BY161" s="28">
        <v>3.9078077133E10</v>
      </c>
      <c r="BZ161" s="61">
        <v>-4.95347313E8</v>
      </c>
      <c r="CA161" s="27"/>
      <c r="CB161" s="27"/>
      <c r="CC161" s="62">
        <v>1.14175380229E11</v>
      </c>
      <c r="CD161" s="62">
        <v>3.1853876109E11</v>
      </c>
      <c r="CF161" s="49" t="s">
        <v>322</v>
      </c>
    </row>
    <row r="162">
      <c r="A162" s="49" t="s">
        <v>323</v>
      </c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09"/>
      <c r="V162" s="28"/>
      <c r="W162" s="27"/>
      <c r="X162" s="27"/>
      <c r="Y162" s="27"/>
      <c r="AB162" s="27"/>
      <c r="AC162" s="27"/>
      <c r="AD162" s="28">
        <v>1.9304870317E10</v>
      </c>
      <c r="AE162" s="28">
        <v>6.2454248048E10</v>
      </c>
      <c r="AF162" s="28"/>
      <c r="AG162" s="28">
        <v>-2.76315621E8</v>
      </c>
      <c r="AH162" s="28">
        <v>1.0184332595E10</v>
      </c>
      <c r="AI162" s="28">
        <v>5.3454590912E10</v>
      </c>
      <c r="AJ162" s="27"/>
      <c r="AK162" s="27"/>
      <c r="AL162" s="28">
        <v>1.4186257784E10</v>
      </c>
      <c r="AM162" s="61">
        <v>8.72550557E9</v>
      </c>
      <c r="AN162" s="62">
        <v>1.68033489606E11</v>
      </c>
      <c r="AO162" s="27"/>
      <c r="AP162" s="28">
        <v>1.28175E10</v>
      </c>
      <c r="AQ162" s="28">
        <v>1.21684138423E11</v>
      </c>
      <c r="AR162" s="28">
        <v>6.75062637E9</v>
      </c>
      <c r="AS162" s="61"/>
      <c r="AT162" s="61"/>
      <c r="AU162" s="61">
        <v>1.108964324E9</v>
      </c>
      <c r="AV162" s="63">
        <v>1.42361229117E11</v>
      </c>
      <c r="AW162" s="62">
        <v>3.10394718723E11</v>
      </c>
      <c r="AX162" s="27"/>
      <c r="AY162" s="27"/>
      <c r="AZ162" s="27"/>
      <c r="BA162" s="28">
        <v>9.26270471E9</v>
      </c>
      <c r="BB162" s="27"/>
      <c r="BC162" s="27"/>
      <c r="BD162" s="27"/>
      <c r="BE162" s="28">
        <v>2.825846853E9</v>
      </c>
      <c r="BF162" s="27"/>
      <c r="BG162" s="28"/>
      <c r="BH162" s="28"/>
      <c r="BI162" s="28">
        <v>1.37905048E8</v>
      </c>
      <c r="BJ162" s="27"/>
      <c r="BK162" s="61">
        <v>1.65594394313E11</v>
      </c>
      <c r="BL162" s="62">
        <v>1.77820850924E11</v>
      </c>
      <c r="BM162" s="27"/>
      <c r="BN162" s="28">
        <v>1.2984467799E10</v>
      </c>
      <c r="BO162" s="27"/>
      <c r="BP162" s="27"/>
      <c r="BQ162" s="28">
        <v>4.173970289E9</v>
      </c>
      <c r="BR162" s="27"/>
      <c r="BS162" s="63">
        <v>1.7158438088E10</v>
      </c>
      <c r="BT162" s="62">
        <v>1.94979289012E11</v>
      </c>
      <c r="BU162" s="27"/>
      <c r="BV162" s="28">
        <v>6.8245E10</v>
      </c>
      <c r="BW162" s="27"/>
      <c r="BX162" s="28">
        <v>8.587699891E9</v>
      </c>
      <c r="BY162" s="28">
        <v>3.9078077133E10</v>
      </c>
      <c r="BZ162" s="61">
        <v>-4.95347313E8</v>
      </c>
      <c r="CA162" s="27"/>
      <c r="CB162" s="27"/>
      <c r="CC162" s="62">
        <v>1.15415429711E11</v>
      </c>
      <c r="CD162" s="62">
        <v>3.10394718723E11</v>
      </c>
      <c r="CF162" s="49" t="s">
        <v>323</v>
      </c>
    </row>
    <row r="163">
      <c r="A163" s="49" t="s">
        <v>324</v>
      </c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09"/>
      <c r="V163" s="28"/>
      <c r="W163" s="27"/>
      <c r="X163" s="27"/>
      <c r="Y163" s="27"/>
      <c r="AB163" s="27"/>
      <c r="AC163" s="27"/>
      <c r="AD163" s="28">
        <v>3.6614589007E10</v>
      </c>
      <c r="AE163" s="28">
        <v>4.2797442121E10</v>
      </c>
      <c r="AF163" s="28"/>
      <c r="AG163" s="28">
        <v>-2.76315621E8</v>
      </c>
      <c r="AH163" s="28">
        <v>8.633034355E9</v>
      </c>
      <c r="AI163" s="28">
        <v>5.7946651769E10</v>
      </c>
      <c r="AJ163" s="27"/>
      <c r="AK163" s="27"/>
      <c r="AL163" s="28">
        <v>2.8512288907E10</v>
      </c>
      <c r="AM163" s="61">
        <v>4.056501626E9</v>
      </c>
      <c r="AN163" s="62">
        <v>1.78284192164E11</v>
      </c>
      <c r="AO163" s="27"/>
      <c r="AP163" s="28">
        <v>1.28175E10</v>
      </c>
      <c r="AQ163" s="28">
        <v>1.21650922123E11</v>
      </c>
      <c r="AR163" s="28">
        <v>6.720072036E9</v>
      </c>
      <c r="AS163" s="61"/>
      <c r="AT163" s="61"/>
      <c r="AU163" s="61">
        <v>1.108964324E9</v>
      </c>
      <c r="AV163" s="63">
        <v>1.42297458482E11</v>
      </c>
      <c r="AW163" s="62">
        <v>3.20581650647E11</v>
      </c>
      <c r="AX163" s="27"/>
      <c r="AY163" s="27"/>
      <c r="AZ163" s="27"/>
      <c r="BA163" s="28">
        <v>1.320742624E10</v>
      </c>
      <c r="BB163" s="27"/>
      <c r="BC163" s="27"/>
      <c r="BD163" s="27"/>
      <c r="BE163" s="28">
        <v>1.06221732E8</v>
      </c>
      <c r="BF163" s="27"/>
      <c r="BG163" s="28"/>
      <c r="BH163" s="28"/>
      <c r="BI163" s="28">
        <v>1.02911039E8</v>
      </c>
      <c r="BJ163" s="27"/>
      <c r="BK163" s="61">
        <v>1.78372941416E11</v>
      </c>
      <c r="BL163" s="62">
        <v>1.91789500427E11</v>
      </c>
      <c r="BM163" s="27"/>
      <c r="BN163" s="28">
        <v>1.0803524911E10</v>
      </c>
      <c r="BO163" s="27"/>
      <c r="BP163" s="27"/>
      <c r="BQ163" s="28">
        <v>3.752755193E9</v>
      </c>
      <c r="BR163" s="27"/>
      <c r="BS163" s="63">
        <v>1.4556280104E10</v>
      </c>
      <c r="BT163" s="62">
        <v>2.06345780531E11</v>
      </c>
      <c r="BU163" s="27"/>
      <c r="BV163" s="28">
        <v>6.8245E10</v>
      </c>
      <c r="BW163" s="27"/>
      <c r="BX163" s="28">
        <v>7.408140296E9</v>
      </c>
      <c r="BY163" s="28">
        <v>3.9078077133E10</v>
      </c>
      <c r="BZ163" s="61">
        <v>-4.95347313E8</v>
      </c>
      <c r="CA163" s="27"/>
      <c r="CB163" s="27"/>
      <c r="CC163" s="62">
        <v>1.14235870116E11</v>
      </c>
      <c r="CD163" s="62">
        <v>3.20581650647E11</v>
      </c>
      <c r="CF163" s="49" t="s">
        <v>324</v>
      </c>
    </row>
    <row r="164">
      <c r="A164" s="116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6"/>
      <c r="V164" s="118"/>
      <c r="W164" s="116"/>
      <c r="X164" s="116"/>
      <c r="Y164" s="116"/>
      <c r="Z164" s="116"/>
      <c r="AA164" s="116"/>
      <c r="AB164" s="116"/>
      <c r="AC164" s="116"/>
      <c r="AD164" s="116"/>
      <c r="AE164" s="119"/>
      <c r="AF164" s="116"/>
      <c r="AG164" s="116"/>
      <c r="AH164" s="116"/>
      <c r="AI164" s="116"/>
      <c r="AJ164" s="116"/>
      <c r="AK164" s="116"/>
      <c r="AL164" s="116"/>
      <c r="AM164" s="120"/>
      <c r="AN164" s="121"/>
      <c r="AO164" s="116"/>
      <c r="AP164" s="116"/>
      <c r="AQ164" s="116"/>
      <c r="AR164" s="116"/>
      <c r="AS164" s="116"/>
      <c r="AT164" s="116"/>
      <c r="AU164" s="116"/>
      <c r="AV164" s="116"/>
      <c r="AW164" s="116"/>
      <c r="AX164" s="116"/>
      <c r="AY164" s="116"/>
      <c r="AZ164" s="116"/>
      <c r="BA164" s="116"/>
      <c r="BB164" s="116"/>
      <c r="BC164" s="116"/>
      <c r="BD164" s="116"/>
      <c r="BE164" s="116"/>
      <c r="BF164" s="116"/>
      <c r="BG164" s="116"/>
      <c r="BH164" s="116"/>
      <c r="BI164" s="116"/>
      <c r="BJ164" s="116"/>
      <c r="BK164" s="116"/>
      <c r="BL164" s="116"/>
      <c r="BM164" s="116"/>
      <c r="BN164" s="116"/>
      <c r="BO164" s="116"/>
      <c r="BP164" s="116"/>
      <c r="BQ164" s="116"/>
      <c r="BR164" s="116"/>
      <c r="BS164" s="116"/>
      <c r="BT164" s="121"/>
      <c r="BU164" s="116"/>
      <c r="BV164" s="116"/>
      <c r="BW164" s="116"/>
      <c r="BX164" s="116"/>
      <c r="BY164" s="116"/>
      <c r="BZ164" s="116"/>
      <c r="CA164" s="116"/>
      <c r="CB164" s="116"/>
      <c r="CC164" s="122"/>
      <c r="CD164" s="122"/>
      <c r="CE164" s="116"/>
      <c r="CF164" s="116"/>
      <c r="CG164" s="116"/>
      <c r="CH164" s="116"/>
      <c r="CI164" s="116"/>
      <c r="CJ164" s="116"/>
      <c r="CK164" s="116"/>
      <c r="CL164" s="116"/>
      <c r="CM164" s="116"/>
      <c r="CN164" s="116"/>
      <c r="CO164" s="116"/>
      <c r="CP164" s="116"/>
      <c r="CQ164" s="116"/>
      <c r="CR164" s="116"/>
      <c r="CS164" s="116"/>
      <c r="CT164" s="116"/>
      <c r="CU164" s="116"/>
      <c r="CV164" s="116"/>
      <c r="CW164" s="116"/>
      <c r="CX164" s="116"/>
      <c r="CY164" s="116"/>
      <c r="CZ164" s="116"/>
      <c r="DA164" s="116"/>
      <c r="DB164" s="116"/>
      <c r="DC164" s="116"/>
      <c r="DD164" s="116"/>
      <c r="DE164" s="116"/>
      <c r="DF164" s="116"/>
      <c r="DG164" s="116"/>
      <c r="DH164" s="116"/>
      <c r="DI164" s="116"/>
      <c r="DJ164" s="116"/>
      <c r="DK164" s="116"/>
      <c r="DL164" s="116"/>
      <c r="DM164" s="116"/>
      <c r="DN164" s="116"/>
      <c r="DO164" s="116"/>
      <c r="DP164" s="116"/>
      <c r="DQ164" s="116"/>
      <c r="DR164" s="116"/>
      <c r="DS164" s="116"/>
      <c r="DT164" s="116"/>
      <c r="DU164" s="116"/>
      <c r="DV164" s="116"/>
      <c r="DW164" s="116"/>
      <c r="DX164" s="116"/>
      <c r="DY164" s="116"/>
      <c r="DZ164" s="116"/>
      <c r="EA164" s="116"/>
      <c r="EB164" s="116"/>
      <c r="EC164" s="116"/>
      <c r="ED164" s="116"/>
      <c r="EE164" s="116"/>
      <c r="EF164" s="116"/>
      <c r="EG164" s="116"/>
      <c r="EH164" s="116"/>
      <c r="EI164" s="116"/>
      <c r="EJ164" s="116"/>
      <c r="EK164" s="116"/>
      <c r="EL164" s="116"/>
      <c r="EM164" s="116"/>
      <c r="EN164" s="116"/>
      <c r="EO164" s="116"/>
      <c r="EP164" s="116"/>
      <c r="EQ164" s="116"/>
      <c r="ER164" s="116"/>
      <c r="ES164" s="116"/>
      <c r="ET164" s="116"/>
      <c r="EU164" s="116"/>
      <c r="EV164" s="116"/>
      <c r="EW164" s="116"/>
      <c r="EX164" s="116"/>
      <c r="EY164" s="116"/>
      <c r="EZ164" s="116"/>
      <c r="FA164" s="116"/>
      <c r="FB164" s="116"/>
      <c r="FC164" s="116"/>
      <c r="FD164" s="116"/>
      <c r="FE164" s="116"/>
      <c r="FF164" s="116"/>
      <c r="FG164" s="116"/>
      <c r="FH164" s="116"/>
      <c r="FI164" s="116"/>
      <c r="FJ164" s="116"/>
      <c r="FK164" s="116"/>
      <c r="FL164" s="116"/>
      <c r="FM164" s="116"/>
      <c r="FN164" s="116"/>
      <c r="FO164" s="116"/>
      <c r="FP164" s="116"/>
      <c r="FQ164" s="116"/>
      <c r="FR164" s="116"/>
      <c r="FS164" s="116"/>
      <c r="FT164" s="116"/>
      <c r="FU164" s="116"/>
      <c r="FV164" s="116"/>
      <c r="FW164" s="116"/>
      <c r="FX164" s="116"/>
      <c r="FY164" s="116"/>
      <c r="FZ164" s="116"/>
      <c r="GA164" s="116"/>
      <c r="GB164" s="116"/>
      <c r="GC164" s="116"/>
      <c r="GD164" s="116"/>
      <c r="GE164" s="116"/>
      <c r="GF164" s="116"/>
      <c r="GG164" s="116"/>
      <c r="GH164" s="116"/>
      <c r="GI164" s="116"/>
      <c r="GJ164" s="116"/>
      <c r="GK164" s="116"/>
      <c r="GL164" s="116"/>
      <c r="GM164" s="118"/>
      <c r="GN164" s="116"/>
      <c r="GO164" s="116"/>
      <c r="GP164" s="116"/>
      <c r="GQ164" s="116"/>
      <c r="GR164" s="116"/>
      <c r="GS164" s="116"/>
      <c r="GT164" s="116"/>
      <c r="GU164" s="116"/>
      <c r="GV164" s="116"/>
      <c r="GW164" s="116"/>
      <c r="GX164" s="116"/>
      <c r="GY164" s="116"/>
      <c r="GZ164" s="116"/>
      <c r="HA164" s="116"/>
      <c r="HB164" s="116"/>
      <c r="HC164" s="116"/>
      <c r="HD164" s="116"/>
      <c r="HE164" s="116"/>
      <c r="HF164" s="116"/>
      <c r="HG164" s="116"/>
      <c r="HH164" s="116"/>
      <c r="HI164" s="116"/>
      <c r="HJ164" s="116"/>
      <c r="HK164" s="116"/>
      <c r="HL164" s="116"/>
      <c r="HM164" s="116"/>
      <c r="HN164" s="116"/>
      <c r="HO164" s="116"/>
      <c r="HP164" s="116"/>
      <c r="HQ164" s="116"/>
      <c r="HR164" s="116"/>
      <c r="HS164" s="116"/>
      <c r="HT164" s="116"/>
      <c r="HU164" s="116"/>
      <c r="HV164" s="116"/>
      <c r="HW164" s="116"/>
      <c r="HX164" s="116"/>
      <c r="HY164" s="116"/>
      <c r="HZ164" s="116"/>
      <c r="IA164" s="116"/>
      <c r="IB164" s="116"/>
      <c r="IC164" s="116"/>
      <c r="ID164" s="116"/>
      <c r="IE164" s="116"/>
      <c r="IF164" s="116"/>
      <c r="IG164" s="116"/>
      <c r="IH164" s="116"/>
      <c r="II164" s="116"/>
      <c r="IJ164" s="116"/>
      <c r="IK164" s="116"/>
      <c r="IL164" s="116"/>
      <c r="IM164" s="116"/>
      <c r="IN164" s="116"/>
      <c r="IO164" s="116"/>
      <c r="IP164" s="116"/>
      <c r="IQ164" s="116"/>
      <c r="IR164" s="116"/>
      <c r="IS164" s="116"/>
      <c r="IT164" s="116"/>
      <c r="IU164" s="116"/>
      <c r="IV164" s="116"/>
      <c r="IW164" s="116"/>
      <c r="IX164" s="116"/>
      <c r="IY164" s="116"/>
      <c r="IZ164" s="116"/>
      <c r="JA164" s="116"/>
      <c r="JB164" s="116"/>
      <c r="JC164" s="116"/>
      <c r="JD164" s="116"/>
      <c r="JE164" s="116"/>
      <c r="JF164" s="116"/>
      <c r="JG164" s="116"/>
      <c r="JH164" s="116"/>
      <c r="JI164" s="116"/>
      <c r="JJ164" s="116"/>
      <c r="JK164" s="116"/>
      <c r="JL164" s="116"/>
      <c r="JM164" s="116"/>
      <c r="JN164" s="116"/>
      <c r="JO164" s="116"/>
      <c r="JP164" s="116"/>
      <c r="JQ164" s="116"/>
      <c r="JR164" s="116"/>
      <c r="JS164" s="116"/>
      <c r="JT164" s="123"/>
      <c r="JU164" s="116"/>
      <c r="JV164" s="116"/>
      <c r="JW164" s="116"/>
      <c r="JX164" s="116"/>
      <c r="JY164" s="116"/>
      <c r="JZ164" s="116"/>
      <c r="KA164" s="116"/>
      <c r="KB164" s="116"/>
      <c r="KC164" s="116"/>
      <c r="KD164" s="116"/>
      <c r="KE164" s="116"/>
      <c r="KF164" s="116"/>
      <c r="KG164" s="116"/>
      <c r="KH164" s="116"/>
      <c r="KI164" s="116"/>
      <c r="KJ164" s="116"/>
      <c r="KK164" s="116"/>
      <c r="KL164" s="116"/>
      <c r="KM164" s="116"/>
      <c r="KN164" s="116"/>
      <c r="KO164" s="116"/>
      <c r="KP164" s="116"/>
      <c r="KQ164" s="116"/>
      <c r="KR164" s="116"/>
      <c r="KS164" s="116"/>
      <c r="KT164" s="116"/>
      <c r="KU164" s="116"/>
      <c r="KV164" s="116"/>
      <c r="KW164" s="116"/>
      <c r="KX164" s="116"/>
      <c r="KY164" s="116"/>
      <c r="KZ164" s="116"/>
      <c r="LA164" s="116"/>
      <c r="LB164" s="116"/>
      <c r="LC164" s="116"/>
      <c r="LD164" s="116"/>
      <c r="LE164" s="116"/>
      <c r="LF164" s="116"/>
      <c r="LG164" s="116"/>
      <c r="LH164" s="116"/>
      <c r="LI164" s="116"/>
      <c r="LJ164" s="116"/>
      <c r="LK164" s="116"/>
    </row>
    <row r="165">
      <c r="A165" s="116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6"/>
      <c r="V165" s="118"/>
      <c r="W165" s="116"/>
      <c r="X165" s="116"/>
      <c r="Y165" s="116"/>
      <c r="Z165" s="116"/>
      <c r="AA165" s="116"/>
      <c r="AB165" s="116"/>
      <c r="AC165" s="116"/>
      <c r="AD165" s="116"/>
      <c r="AE165" s="116"/>
      <c r="AF165" s="116"/>
      <c r="AG165" s="116"/>
      <c r="AH165" s="116"/>
      <c r="AI165" s="116"/>
      <c r="AJ165" s="116"/>
      <c r="AK165" s="116"/>
      <c r="AL165" s="116"/>
      <c r="AM165" s="120"/>
      <c r="AN165" s="121"/>
      <c r="AO165" s="116"/>
      <c r="AP165" s="116"/>
      <c r="AQ165" s="116"/>
      <c r="AR165" s="116"/>
      <c r="AS165" s="116"/>
      <c r="AT165" s="116"/>
      <c r="AU165" s="116"/>
      <c r="AV165" s="116"/>
      <c r="AW165" s="116"/>
      <c r="AX165" s="116"/>
      <c r="AY165" s="116"/>
      <c r="AZ165" s="116"/>
      <c r="BA165" s="116"/>
      <c r="BB165" s="116"/>
      <c r="BC165" s="116"/>
      <c r="BD165" s="116"/>
      <c r="BE165" s="116"/>
      <c r="BF165" s="116"/>
      <c r="BG165" s="116"/>
      <c r="BH165" s="116"/>
      <c r="BI165" s="116"/>
      <c r="BJ165" s="116"/>
      <c r="BK165" s="116"/>
      <c r="BL165" s="116"/>
      <c r="BM165" s="116"/>
      <c r="BN165" s="116"/>
      <c r="BO165" s="116"/>
      <c r="BP165" s="116"/>
      <c r="BQ165" s="116"/>
      <c r="BR165" s="116"/>
      <c r="BS165" s="116"/>
      <c r="BT165" s="121"/>
      <c r="BU165" s="116"/>
      <c r="BV165" s="116"/>
      <c r="BW165" s="116"/>
      <c r="BX165" s="116"/>
      <c r="BY165" s="116"/>
      <c r="BZ165" s="116"/>
      <c r="CA165" s="116"/>
      <c r="CB165" s="116"/>
      <c r="CC165" s="122"/>
      <c r="CD165" s="122"/>
      <c r="CE165" s="116"/>
      <c r="CF165" s="116"/>
      <c r="CG165" s="116"/>
      <c r="CH165" s="116"/>
      <c r="CI165" s="116"/>
      <c r="CJ165" s="116"/>
      <c r="CK165" s="116"/>
      <c r="CL165" s="116"/>
      <c r="CM165" s="116"/>
      <c r="CN165" s="116"/>
      <c r="CO165" s="116"/>
      <c r="CP165" s="116"/>
      <c r="CQ165" s="116"/>
      <c r="CR165" s="116"/>
      <c r="CS165" s="116"/>
      <c r="CT165" s="116"/>
      <c r="CU165" s="116"/>
      <c r="CV165" s="116"/>
      <c r="CW165" s="116"/>
      <c r="CX165" s="116"/>
      <c r="CY165" s="116"/>
      <c r="CZ165" s="116"/>
      <c r="DA165" s="116"/>
      <c r="DB165" s="116"/>
      <c r="DC165" s="116"/>
      <c r="DD165" s="116"/>
      <c r="DE165" s="116"/>
      <c r="DF165" s="116"/>
      <c r="DG165" s="116"/>
      <c r="DH165" s="116"/>
      <c r="DI165" s="116"/>
      <c r="DJ165" s="116"/>
      <c r="DK165" s="116"/>
      <c r="DL165" s="116"/>
      <c r="DM165" s="116"/>
      <c r="DN165" s="116"/>
      <c r="DO165" s="116"/>
      <c r="DP165" s="116"/>
      <c r="DQ165" s="116"/>
      <c r="DR165" s="116"/>
      <c r="DS165" s="116"/>
      <c r="DT165" s="116"/>
      <c r="DU165" s="116"/>
      <c r="DV165" s="116"/>
      <c r="DW165" s="116"/>
      <c r="DX165" s="116"/>
      <c r="DY165" s="116"/>
      <c r="DZ165" s="116"/>
      <c r="EA165" s="116"/>
      <c r="EB165" s="116"/>
      <c r="EC165" s="116"/>
      <c r="ED165" s="116"/>
      <c r="EE165" s="116"/>
      <c r="EF165" s="116"/>
      <c r="EG165" s="116"/>
      <c r="EH165" s="116"/>
      <c r="EI165" s="116"/>
      <c r="EJ165" s="116"/>
      <c r="EK165" s="116"/>
      <c r="EL165" s="116"/>
      <c r="EM165" s="116"/>
      <c r="EN165" s="116"/>
      <c r="EO165" s="116"/>
      <c r="EP165" s="116"/>
      <c r="EQ165" s="116"/>
      <c r="ER165" s="116"/>
      <c r="ES165" s="116"/>
      <c r="ET165" s="116"/>
      <c r="EU165" s="116"/>
      <c r="EV165" s="116"/>
      <c r="EW165" s="116"/>
      <c r="EX165" s="116"/>
      <c r="EY165" s="116"/>
      <c r="EZ165" s="116"/>
      <c r="FA165" s="116"/>
      <c r="FB165" s="116"/>
      <c r="FC165" s="116"/>
      <c r="FD165" s="116"/>
      <c r="FE165" s="116"/>
      <c r="FF165" s="116"/>
      <c r="FG165" s="116"/>
      <c r="FH165" s="116"/>
      <c r="FI165" s="116"/>
      <c r="FJ165" s="116"/>
      <c r="FK165" s="116"/>
      <c r="FL165" s="116"/>
      <c r="FM165" s="116"/>
      <c r="FN165" s="116"/>
      <c r="FO165" s="116"/>
      <c r="FP165" s="116"/>
      <c r="FQ165" s="116"/>
      <c r="FR165" s="116"/>
      <c r="FS165" s="116"/>
      <c r="FT165" s="116"/>
      <c r="FU165" s="116"/>
      <c r="FV165" s="116"/>
      <c r="FW165" s="116"/>
      <c r="FX165" s="116"/>
      <c r="FY165" s="116"/>
      <c r="FZ165" s="116"/>
      <c r="GA165" s="116"/>
      <c r="GB165" s="116"/>
      <c r="GC165" s="116"/>
      <c r="GD165" s="116"/>
      <c r="GE165" s="116"/>
      <c r="GF165" s="116"/>
      <c r="GG165" s="116"/>
      <c r="GH165" s="116"/>
      <c r="GI165" s="116"/>
      <c r="GJ165" s="116"/>
      <c r="GK165" s="116"/>
      <c r="GL165" s="116"/>
      <c r="GM165" s="118"/>
      <c r="GN165" s="116"/>
      <c r="GO165" s="116"/>
      <c r="GP165" s="116"/>
      <c r="GQ165" s="116"/>
      <c r="GR165" s="116"/>
      <c r="GS165" s="116"/>
      <c r="GT165" s="116"/>
      <c r="GU165" s="116"/>
      <c r="GV165" s="116"/>
      <c r="GW165" s="116"/>
      <c r="GX165" s="116"/>
      <c r="GY165" s="116"/>
      <c r="GZ165" s="116"/>
      <c r="HA165" s="116"/>
      <c r="HB165" s="116"/>
      <c r="HC165" s="116"/>
      <c r="HD165" s="116"/>
      <c r="HE165" s="116"/>
      <c r="HF165" s="116"/>
      <c r="HG165" s="116"/>
      <c r="HH165" s="116"/>
      <c r="HI165" s="116"/>
      <c r="HJ165" s="116"/>
      <c r="HK165" s="116"/>
      <c r="HL165" s="116"/>
      <c r="HM165" s="116"/>
      <c r="HN165" s="116"/>
      <c r="HO165" s="116"/>
      <c r="HP165" s="116"/>
      <c r="HQ165" s="116"/>
      <c r="HR165" s="116"/>
      <c r="HS165" s="116"/>
      <c r="HT165" s="116"/>
      <c r="HU165" s="116"/>
      <c r="HV165" s="116"/>
      <c r="HW165" s="116"/>
      <c r="HX165" s="116"/>
      <c r="HY165" s="116"/>
      <c r="HZ165" s="116"/>
      <c r="IA165" s="116"/>
      <c r="IB165" s="116"/>
      <c r="IC165" s="116"/>
      <c r="ID165" s="116"/>
      <c r="IE165" s="116"/>
      <c r="IF165" s="116"/>
      <c r="IG165" s="116"/>
      <c r="IH165" s="116"/>
      <c r="II165" s="116"/>
      <c r="IJ165" s="116"/>
      <c r="IK165" s="116"/>
      <c r="IL165" s="116"/>
      <c r="IM165" s="116"/>
      <c r="IN165" s="116"/>
      <c r="IO165" s="116"/>
      <c r="IP165" s="116"/>
      <c r="IQ165" s="116"/>
      <c r="IR165" s="116"/>
      <c r="IS165" s="116"/>
      <c r="IT165" s="116"/>
      <c r="IU165" s="116"/>
      <c r="IV165" s="116"/>
      <c r="IW165" s="116"/>
      <c r="IX165" s="116"/>
      <c r="IY165" s="116"/>
      <c r="IZ165" s="116"/>
      <c r="JA165" s="116"/>
      <c r="JB165" s="116"/>
      <c r="JC165" s="116"/>
      <c r="JD165" s="116"/>
      <c r="JE165" s="116"/>
      <c r="JF165" s="116"/>
      <c r="JG165" s="116"/>
      <c r="JH165" s="116"/>
      <c r="JI165" s="116"/>
      <c r="JJ165" s="116"/>
      <c r="JK165" s="116"/>
      <c r="JL165" s="116"/>
      <c r="JM165" s="116"/>
      <c r="JN165" s="116"/>
      <c r="JO165" s="116"/>
      <c r="JP165" s="116"/>
      <c r="JQ165" s="116"/>
      <c r="JR165" s="116"/>
      <c r="JS165" s="116"/>
      <c r="JT165" s="123"/>
      <c r="JU165" s="116"/>
      <c r="JV165" s="116"/>
      <c r="JW165" s="116"/>
      <c r="JX165" s="116"/>
      <c r="JY165" s="116"/>
      <c r="JZ165" s="116"/>
      <c r="KA165" s="116"/>
      <c r="KB165" s="116"/>
      <c r="KC165" s="116"/>
      <c r="KD165" s="116"/>
      <c r="KE165" s="116"/>
      <c r="KF165" s="116"/>
      <c r="KG165" s="116"/>
      <c r="KH165" s="116"/>
      <c r="KI165" s="116"/>
      <c r="KJ165" s="116"/>
      <c r="KK165" s="116"/>
      <c r="KL165" s="116"/>
      <c r="KM165" s="116"/>
      <c r="KN165" s="116"/>
      <c r="KO165" s="116"/>
      <c r="KP165" s="116"/>
      <c r="KQ165" s="116"/>
      <c r="KR165" s="116"/>
      <c r="KS165" s="116"/>
      <c r="KT165" s="116"/>
      <c r="KU165" s="116"/>
      <c r="KV165" s="116"/>
      <c r="KW165" s="116"/>
      <c r="KX165" s="116"/>
      <c r="KY165" s="116"/>
      <c r="KZ165" s="116"/>
      <c r="LA165" s="116"/>
      <c r="LB165" s="116"/>
      <c r="LC165" s="116"/>
      <c r="LD165" s="116"/>
      <c r="LE165" s="116"/>
      <c r="LF165" s="116"/>
      <c r="LG165" s="116"/>
      <c r="LH165" s="116"/>
      <c r="LI165" s="116"/>
      <c r="LJ165" s="116"/>
      <c r="LK165" s="116"/>
    </row>
    <row r="166">
      <c r="A166" s="216" t="s">
        <v>411</v>
      </c>
      <c r="B166" s="217"/>
      <c r="C166" s="217"/>
      <c r="D166" s="217"/>
      <c r="E166" s="217"/>
      <c r="F166" s="217"/>
      <c r="G166" s="217"/>
      <c r="H166" s="217"/>
      <c r="I166" s="217"/>
      <c r="J166" s="217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4"/>
      <c r="V166" s="5"/>
      <c r="W166" s="4"/>
      <c r="X166" s="4"/>
      <c r="Y166" s="4"/>
      <c r="AB166" s="3" t="s">
        <v>412</v>
      </c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4"/>
      <c r="IX166" s="4"/>
      <c r="IY166" s="4"/>
      <c r="IZ166" s="4"/>
      <c r="JA166" s="4"/>
      <c r="JB166" s="4"/>
      <c r="JC166" s="4"/>
      <c r="JD166" s="4"/>
      <c r="JE166" s="4"/>
      <c r="JF166" s="4"/>
      <c r="JG166" s="4"/>
      <c r="JH166" s="4"/>
      <c r="JI166" s="4"/>
      <c r="JJ166" s="4"/>
      <c r="JK166" s="4"/>
      <c r="JL166" s="4"/>
      <c r="JM166" s="4"/>
      <c r="JN166" s="4"/>
      <c r="JO166" s="4"/>
      <c r="JP166" s="4"/>
      <c r="JQ166" s="4"/>
      <c r="JR166" s="4"/>
      <c r="JS166" s="4"/>
      <c r="JT166" s="4"/>
      <c r="JU166" s="4"/>
      <c r="JV166" s="4"/>
      <c r="JW166" s="4"/>
      <c r="JX166" s="4"/>
      <c r="JY166" s="4"/>
      <c r="JZ166" s="4"/>
      <c r="KA166" s="4"/>
      <c r="KB166" s="4"/>
      <c r="KC166" s="4"/>
      <c r="KD166" s="4"/>
      <c r="KE166" s="4"/>
      <c r="KF166" s="4"/>
      <c r="KG166" s="4"/>
      <c r="KH166" s="4"/>
      <c r="KI166" s="4"/>
      <c r="KJ166" s="4"/>
      <c r="KK166" s="4"/>
      <c r="KL166" s="4"/>
      <c r="KM166" s="4"/>
      <c r="KN166" s="4"/>
      <c r="KO166" s="4"/>
      <c r="KP166" s="4"/>
      <c r="KQ166" s="4"/>
      <c r="KR166" s="4"/>
      <c r="KS166" s="4"/>
      <c r="KT166" s="4"/>
      <c r="KU166" s="4"/>
      <c r="KV166" s="4"/>
      <c r="KW166" s="4"/>
      <c r="KX166" s="4"/>
      <c r="KY166" s="4"/>
      <c r="KZ166" s="4"/>
      <c r="LA166" s="4"/>
      <c r="LB166" s="4"/>
      <c r="LC166" s="4"/>
      <c r="LD166" s="4"/>
      <c r="LE166" s="4"/>
      <c r="LF166" s="4"/>
      <c r="LG166" s="4"/>
      <c r="LH166" s="4"/>
      <c r="LI166" s="4"/>
      <c r="LJ166" s="4"/>
      <c r="LK166" s="4"/>
    </row>
    <row r="167">
      <c r="A167" s="243"/>
      <c r="B167" s="244" t="s">
        <v>19</v>
      </c>
      <c r="C167" s="244" t="s">
        <v>413</v>
      </c>
      <c r="D167" s="245" t="s">
        <v>21</v>
      </c>
      <c r="E167" s="244" t="s">
        <v>22</v>
      </c>
      <c r="F167" s="244" t="s">
        <v>23</v>
      </c>
      <c r="G167" s="244" t="s">
        <v>24</v>
      </c>
      <c r="H167" s="244" t="s">
        <v>414</v>
      </c>
      <c r="I167" s="245" t="s">
        <v>27</v>
      </c>
      <c r="J167" s="244" t="s">
        <v>415</v>
      </c>
      <c r="K167" s="244" t="s">
        <v>268</v>
      </c>
      <c r="L167" s="244" t="s">
        <v>282</v>
      </c>
      <c r="M167" s="244" t="s">
        <v>416</v>
      </c>
      <c r="N167" s="245" t="s">
        <v>417</v>
      </c>
      <c r="O167" s="244" t="s">
        <v>418</v>
      </c>
      <c r="P167" s="244" t="s">
        <v>33</v>
      </c>
      <c r="Q167" s="244" t="s">
        <v>35</v>
      </c>
      <c r="R167" s="245" t="s">
        <v>406</v>
      </c>
      <c r="S167" s="244" t="s">
        <v>407</v>
      </c>
      <c r="T167" s="245" t="s">
        <v>408</v>
      </c>
      <c r="U167" s="243"/>
      <c r="V167" s="246"/>
      <c r="W167" s="243"/>
      <c r="X167" s="243"/>
      <c r="Y167" s="247"/>
      <c r="AB167" s="248" t="s">
        <v>41</v>
      </c>
      <c r="AC167" s="248" t="s">
        <v>42</v>
      </c>
      <c r="AD167" s="248" t="s">
        <v>43</v>
      </c>
      <c r="AE167" s="248" t="s">
        <v>44</v>
      </c>
      <c r="AF167" s="248"/>
      <c r="AG167" s="248" t="s">
        <v>46</v>
      </c>
      <c r="AH167" s="248" t="s">
        <v>47</v>
      </c>
      <c r="AI167" s="248" t="s">
        <v>48</v>
      </c>
      <c r="AJ167" s="248" t="s">
        <v>49</v>
      </c>
      <c r="AK167" s="248" t="s">
        <v>50</v>
      </c>
      <c r="AL167" s="248" t="s">
        <v>51</v>
      </c>
      <c r="AM167" s="248" t="s">
        <v>52</v>
      </c>
      <c r="AN167" s="248" t="s">
        <v>53</v>
      </c>
      <c r="AO167" s="248" t="s">
        <v>54</v>
      </c>
      <c r="AP167" s="248" t="s">
        <v>55</v>
      </c>
      <c r="AQ167" s="248" t="s">
        <v>56</v>
      </c>
      <c r="AR167" s="248" t="s">
        <v>57</v>
      </c>
      <c r="AS167" s="248"/>
      <c r="AT167" s="248"/>
      <c r="AU167" s="248" t="s">
        <v>58</v>
      </c>
      <c r="AV167" s="248" t="s">
        <v>59</v>
      </c>
      <c r="AW167" s="248" t="s">
        <v>60</v>
      </c>
      <c r="AX167" s="248"/>
      <c r="AY167" s="248" t="s">
        <v>61</v>
      </c>
      <c r="AZ167" s="248" t="s">
        <v>62</v>
      </c>
      <c r="BA167" s="248" t="s">
        <v>63</v>
      </c>
      <c r="BB167" s="248"/>
      <c r="BC167" s="248" t="s">
        <v>64</v>
      </c>
      <c r="BD167" s="244" t="s">
        <v>65</v>
      </c>
      <c r="BE167" s="248" t="s">
        <v>66</v>
      </c>
      <c r="BF167" s="248" t="s">
        <v>67</v>
      </c>
      <c r="BG167" s="248"/>
      <c r="BH167" s="248"/>
      <c r="BI167" s="248" t="s">
        <v>68</v>
      </c>
      <c r="BJ167" s="248" t="s">
        <v>69</v>
      </c>
      <c r="BK167" s="248" t="s">
        <v>70</v>
      </c>
      <c r="BL167" s="248" t="s">
        <v>71</v>
      </c>
      <c r="BM167" s="248" t="s">
        <v>72</v>
      </c>
      <c r="BN167" s="248" t="s">
        <v>73</v>
      </c>
      <c r="BO167" s="248" t="s">
        <v>74</v>
      </c>
      <c r="BP167" s="248" t="s">
        <v>75</v>
      </c>
      <c r="BQ167" s="248" t="s">
        <v>76</v>
      </c>
      <c r="BR167" s="248" t="s">
        <v>77</v>
      </c>
      <c r="BS167" s="248" t="s">
        <v>78</v>
      </c>
      <c r="BT167" s="248" t="s">
        <v>79</v>
      </c>
      <c r="BU167" s="248" t="s">
        <v>80</v>
      </c>
      <c r="BV167" s="248" t="s">
        <v>81</v>
      </c>
      <c r="BW167" s="248" t="s">
        <v>82</v>
      </c>
      <c r="BX167" s="248" t="s">
        <v>83</v>
      </c>
      <c r="BY167" s="248" t="s">
        <v>84</v>
      </c>
      <c r="BZ167" s="248" t="s">
        <v>85</v>
      </c>
      <c r="CA167" s="248" t="s">
        <v>86</v>
      </c>
      <c r="CB167" s="248" t="s">
        <v>87</v>
      </c>
      <c r="CC167" s="248" t="s">
        <v>88</v>
      </c>
      <c r="CD167" s="248" t="s">
        <v>419</v>
      </c>
      <c r="CE167" s="228"/>
      <c r="CF167" s="243"/>
      <c r="CG167" s="228"/>
      <c r="CH167" s="228"/>
      <c r="CI167" s="228"/>
      <c r="CJ167" s="228"/>
      <c r="CK167" s="228"/>
      <c r="CL167" s="228"/>
      <c r="CM167" s="228"/>
      <c r="CN167" s="228"/>
      <c r="CO167" s="228"/>
      <c r="CP167" s="228"/>
      <c r="CQ167" s="228"/>
      <c r="CR167" s="228"/>
      <c r="CS167" s="228"/>
      <c r="CT167" s="228"/>
      <c r="CU167" s="228"/>
      <c r="CV167" s="228"/>
      <c r="CW167" s="228"/>
      <c r="CX167" s="228"/>
      <c r="CY167" s="228"/>
      <c r="CZ167" s="228"/>
      <c r="DA167" s="228"/>
      <c r="DB167" s="228"/>
      <c r="DC167" s="228"/>
      <c r="DD167" s="228"/>
      <c r="DE167" s="228"/>
      <c r="DF167" s="228"/>
      <c r="DG167" s="228"/>
      <c r="DH167" s="228"/>
      <c r="DI167" s="228"/>
      <c r="DJ167" s="228"/>
      <c r="DK167" s="228"/>
      <c r="DL167" s="228"/>
      <c r="DM167" s="228"/>
      <c r="DN167" s="228"/>
      <c r="DO167" s="228"/>
      <c r="DP167" s="228"/>
      <c r="DQ167" s="228"/>
      <c r="DR167" s="228"/>
      <c r="DS167" s="228"/>
      <c r="DT167" s="228"/>
      <c r="DU167" s="228"/>
      <c r="DV167" s="228"/>
      <c r="DW167" s="228"/>
      <c r="DX167" s="228"/>
      <c r="DY167" s="228"/>
      <c r="DZ167" s="228"/>
      <c r="EA167" s="228"/>
      <c r="EB167" s="228"/>
      <c r="EC167" s="228"/>
      <c r="ED167" s="228"/>
      <c r="EE167" s="228"/>
      <c r="EF167" s="228"/>
      <c r="EG167" s="228"/>
      <c r="EH167" s="228"/>
      <c r="EI167" s="228"/>
      <c r="EJ167" s="228"/>
      <c r="EK167" s="228"/>
      <c r="EL167" s="228"/>
      <c r="EM167" s="228"/>
      <c r="EN167" s="228"/>
      <c r="EO167" s="228"/>
      <c r="EP167" s="228"/>
      <c r="EQ167" s="228"/>
      <c r="ER167" s="228"/>
      <c r="ES167" s="228"/>
      <c r="ET167" s="228"/>
      <c r="EU167" s="228"/>
      <c r="EV167" s="228"/>
      <c r="EW167" s="228"/>
      <c r="EX167" s="228"/>
      <c r="EY167" s="228"/>
      <c r="EZ167" s="228"/>
      <c r="FA167" s="228"/>
      <c r="FB167" s="228"/>
      <c r="FC167" s="228"/>
      <c r="FD167" s="228"/>
      <c r="FE167" s="228"/>
      <c r="FF167" s="228"/>
      <c r="FG167" s="228"/>
      <c r="FH167" s="228"/>
      <c r="FI167" s="228"/>
      <c r="FJ167" s="228"/>
      <c r="FK167" s="228"/>
      <c r="FL167" s="228"/>
      <c r="FM167" s="228"/>
      <c r="FN167" s="228"/>
      <c r="FO167" s="228"/>
      <c r="FP167" s="228"/>
      <c r="FQ167" s="228"/>
      <c r="FR167" s="228"/>
      <c r="FS167" s="228"/>
      <c r="FT167" s="228"/>
      <c r="FU167" s="228"/>
      <c r="FV167" s="228"/>
      <c r="FW167" s="228"/>
      <c r="FX167" s="228"/>
      <c r="FY167" s="228"/>
      <c r="FZ167" s="228"/>
      <c r="GA167" s="228"/>
      <c r="GB167" s="228"/>
      <c r="GC167" s="228"/>
      <c r="GD167" s="228"/>
      <c r="GE167" s="228"/>
      <c r="GF167" s="228"/>
      <c r="GG167" s="228"/>
      <c r="GH167" s="228"/>
      <c r="GI167" s="228"/>
      <c r="GJ167" s="228"/>
      <c r="GK167" s="228"/>
      <c r="GL167" s="228"/>
      <c r="GM167" s="228"/>
      <c r="GN167" s="228"/>
      <c r="GO167" s="228"/>
      <c r="GP167" s="228"/>
      <c r="GQ167" s="228"/>
      <c r="GR167" s="228"/>
      <c r="GS167" s="228"/>
      <c r="GT167" s="228"/>
      <c r="GU167" s="228"/>
      <c r="GV167" s="228"/>
      <c r="GW167" s="228"/>
      <c r="GX167" s="228"/>
      <c r="GY167" s="228"/>
      <c r="GZ167" s="228"/>
      <c r="HA167" s="228"/>
      <c r="HB167" s="228"/>
      <c r="HC167" s="228"/>
      <c r="HD167" s="228"/>
      <c r="HE167" s="228"/>
      <c r="HF167" s="228"/>
      <c r="HG167" s="228"/>
      <c r="HH167" s="228"/>
      <c r="HI167" s="228"/>
      <c r="HJ167" s="228"/>
      <c r="HK167" s="228"/>
      <c r="HL167" s="228"/>
      <c r="HM167" s="228"/>
      <c r="HN167" s="228"/>
      <c r="HO167" s="228"/>
      <c r="HP167" s="228"/>
      <c r="HQ167" s="228"/>
      <c r="HR167" s="228"/>
      <c r="HS167" s="228"/>
      <c r="HT167" s="228"/>
      <c r="HU167" s="228"/>
      <c r="HV167" s="228"/>
      <c r="HW167" s="228"/>
      <c r="HX167" s="228"/>
      <c r="HY167" s="228"/>
      <c r="HZ167" s="228"/>
      <c r="IA167" s="228"/>
      <c r="IB167" s="228"/>
      <c r="IC167" s="228"/>
      <c r="ID167" s="228"/>
      <c r="IE167" s="228"/>
      <c r="IF167" s="228"/>
      <c r="IG167" s="228"/>
      <c r="IH167" s="228"/>
      <c r="II167" s="228"/>
      <c r="IJ167" s="228"/>
      <c r="IK167" s="228"/>
      <c r="IL167" s="228"/>
      <c r="IM167" s="228"/>
      <c r="IN167" s="228"/>
      <c r="IO167" s="228"/>
      <c r="IP167" s="228"/>
      <c r="IQ167" s="228"/>
      <c r="IR167" s="228"/>
      <c r="IS167" s="228"/>
      <c r="IT167" s="228"/>
      <c r="IU167" s="228"/>
      <c r="IV167" s="228"/>
      <c r="IW167" s="228"/>
      <c r="IX167" s="228"/>
      <c r="IY167" s="228"/>
      <c r="IZ167" s="228"/>
      <c r="JA167" s="228"/>
      <c r="JB167" s="228"/>
      <c r="JC167" s="228"/>
      <c r="JD167" s="228"/>
      <c r="JE167" s="228"/>
      <c r="JF167" s="228"/>
      <c r="JG167" s="228"/>
      <c r="JH167" s="228"/>
      <c r="JI167" s="228"/>
      <c r="JJ167" s="228"/>
      <c r="JK167" s="228"/>
      <c r="JL167" s="228"/>
      <c r="JM167" s="228"/>
      <c r="JN167" s="228"/>
      <c r="JO167" s="228"/>
      <c r="JP167" s="228"/>
      <c r="JQ167" s="228"/>
      <c r="JR167" s="228"/>
      <c r="JS167" s="228"/>
      <c r="JT167" s="228"/>
      <c r="JU167" s="228"/>
      <c r="JV167" s="228"/>
      <c r="JW167" s="228"/>
      <c r="JX167" s="228"/>
      <c r="JY167" s="228"/>
      <c r="JZ167" s="228"/>
      <c r="KA167" s="228"/>
      <c r="KB167" s="228"/>
      <c r="KC167" s="228"/>
      <c r="KD167" s="228"/>
      <c r="KE167" s="228"/>
      <c r="KF167" s="228"/>
      <c r="KG167" s="228"/>
      <c r="KH167" s="228"/>
      <c r="KI167" s="228"/>
      <c r="KJ167" s="228"/>
      <c r="KK167" s="228"/>
      <c r="KL167" s="228"/>
      <c r="KM167" s="228"/>
      <c r="KN167" s="228"/>
      <c r="KO167" s="228"/>
      <c r="KP167" s="228"/>
      <c r="KQ167" s="228"/>
      <c r="KR167" s="228"/>
      <c r="KS167" s="228"/>
      <c r="KT167" s="228"/>
      <c r="KU167" s="228"/>
      <c r="KV167" s="228"/>
      <c r="KW167" s="228"/>
      <c r="KX167" s="228"/>
      <c r="KY167" s="228"/>
      <c r="KZ167" s="228"/>
      <c r="LA167" s="228"/>
      <c r="LB167" s="228"/>
      <c r="LC167" s="228"/>
      <c r="LD167" s="228"/>
      <c r="LE167" s="228"/>
      <c r="LF167" s="228"/>
      <c r="LG167" s="228"/>
      <c r="LH167" s="228"/>
      <c r="LI167" s="228"/>
      <c r="LJ167" s="228"/>
      <c r="LK167" s="228"/>
    </row>
    <row r="168">
      <c r="A168" s="49" t="s">
        <v>291</v>
      </c>
      <c r="B168" s="85">
        <v>1.01810865E10</v>
      </c>
      <c r="C168" s="86">
        <v>9.256745414E9</v>
      </c>
      <c r="D168" s="249">
        <v>9.24341086E8</v>
      </c>
      <c r="E168" s="85"/>
      <c r="F168" s="85">
        <v>4.14872087E8</v>
      </c>
      <c r="G168" s="86">
        <v>3.71557775E8</v>
      </c>
      <c r="H168" s="250">
        <v>7.86429862E8</v>
      </c>
      <c r="I168" s="249">
        <v>1.37911224E8</v>
      </c>
      <c r="J168" s="85"/>
      <c r="K168" s="85">
        <v>2850399.0</v>
      </c>
      <c r="L168" s="86">
        <v>8244315.0</v>
      </c>
      <c r="M168" s="50">
        <v>-5393916.0</v>
      </c>
      <c r="N168" s="249">
        <v>1.32517308E8</v>
      </c>
      <c r="O168" s="85"/>
      <c r="P168" s="85" t="s">
        <v>295</v>
      </c>
      <c r="Q168" s="85" t="s">
        <v>295</v>
      </c>
      <c r="R168" s="251">
        <v>1.32517308E8</v>
      </c>
      <c r="S168" s="85" t="s">
        <v>295</v>
      </c>
      <c r="T168" s="249">
        <v>1.32517308E8</v>
      </c>
      <c r="U168" s="195"/>
      <c r="V168" s="105"/>
      <c r="W168" s="109"/>
      <c r="X168" s="58"/>
      <c r="Y168" s="195"/>
      <c r="AB168" s="27"/>
      <c r="AC168" s="27"/>
      <c r="AD168" s="28">
        <v>4.615891634E9</v>
      </c>
      <c r="AE168" s="28">
        <v>2.1428040678E10</v>
      </c>
      <c r="AF168" s="28"/>
      <c r="AG168" s="28">
        <v>-5386132.0</v>
      </c>
      <c r="AH168" s="28">
        <v>2.026972308E9</v>
      </c>
      <c r="AI168" s="27"/>
      <c r="AJ168" s="27"/>
      <c r="AK168" s="28">
        <v>2.3664548773E10</v>
      </c>
      <c r="AL168" s="28">
        <v>7.82916675E8</v>
      </c>
      <c r="AM168" s="61">
        <v>2.963783998E9</v>
      </c>
      <c r="AN168" s="62">
        <v>5.5476767934E10</v>
      </c>
      <c r="AO168" s="27"/>
      <c r="AP168" s="28">
        <v>1.5E8</v>
      </c>
      <c r="AQ168" s="28">
        <v>5.78627299E8</v>
      </c>
      <c r="AR168" s="27"/>
      <c r="AS168" s="28"/>
      <c r="AT168" s="28"/>
      <c r="AU168" s="28">
        <v>2.20899545E8</v>
      </c>
      <c r="AV168" s="63">
        <v>9.49526844E8</v>
      </c>
      <c r="AW168" s="62">
        <v>5.6426294778E10</v>
      </c>
      <c r="AX168" s="27"/>
      <c r="AY168" s="27"/>
      <c r="AZ168" s="27"/>
      <c r="BA168" s="28">
        <v>3.8812656186E10</v>
      </c>
      <c r="BB168" s="27"/>
      <c r="BC168" s="27"/>
      <c r="BD168" s="27"/>
      <c r="BE168" s="28">
        <v>1.624287367E9</v>
      </c>
      <c r="BF168" s="27"/>
      <c r="BG168" s="28"/>
      <c r="BH168" s="28"/>
      <c r="BI168" s="28">
        <v>3.06E7</v>
      </c>
      <c r="BJ168" s="27"/>
      <c r="BK168" s="27"/>
      <c r="BL168" s="28">
        <v>4.0467543553E10</v>
      </c>
      <c r="BM168" s="27"/>
      <c r="BN168" s="27"/>
      <c r="BO168" s="27"/>
      <c r="BP168" s="27"/>
      <c r="BQ168" s="28">
        <v>8.90488359E8</v>
      </c>
      <c r="BR168" s="27"/>
      <c r="BS168" s="61">
        <v>8.90488359E8</v>
      </c>
      <c r="BT168" s="28">
        <v>4.1358031912E10</v>
      </c>
      <c r="BU168" s="27"/>
      <c r="BV168" s="28">
        <v>6.0E8</v>
      </c>
      <c r="BW168" s="27"/>
      <c r="BX168" s="28">
        <v>1.32517308E8</v>
      </c>
      <c r="BY168" s="28">
        <v>1.430328361E10</v>
      </c>
      <c r="BZ168" s="27"/>
      <c r="CA168" s="27"/>
      <c r="CB168" s="27"/>
      <c r="CC168" s="61">
        <v>1.5068262867E10</v>
      </c>
      <c r="CD168" s="62">
        <v>5.6426294779E10</v>
      </c>
      <c r="CF168" s="49" t="s">
        <v>291</v>
      </c>
    </row>
    <row r="169">
      <c r="A169" s="49" t="s">
        <v>296</v>
      </c>
      <c r="B169" s="85">
        <v>2.7473272217E10</v>
      </c>
      <c r="C169" s="86">
        <v>2.47143734E10</v>
      </c>
      <c r="D169" s="249">
        <v>2.758898817E9</v>
      </c>
      <c r="E169" s="85"/>
      <c r="F169" s="85">
        <v>4.49721845E8</v>
      </c>
      <c r="G169" s="86">
        <v>6.15743596E8</v>
      </c>
      <c r="H169" s="250">
        <v>1.065465441E9</v>
      </c>
      <c r="I169" s="249">
        <v>1.693433377E9</v>
      </c>
      <c r="J169" s="85"/>
      <c r="K169" s="85">
        <v>2126709.0</v>
      </c>
      <c r="L169" s="86">
        <v>5309871.0</v>
      </c>
      <c r="M169" s="50">
        <v>-3183162.0</v>
      </c>
      <c r="N169" s="249">
        <v>1.690250215E9</v>
      </c>
      <c r="O169" s="85"/>
      <c r="P169" s="85" t="s">
        <v>295</v>
      </c>
      <c r="Q169" s="85" t="s">
        <v>295</v>
      </c>
      <c r="R169" s="251">
        <v>1.690250215E9</v>
      </c>
      <c r="S169" s="85" t="s">
        <v>295</v>
      </c>
      <c r="T169" s="249">
        <v>1.690250215E9</v>
      </c>
      <c r="U169" s="195"/>
      <c r="V169" s="105"/>
      <c r="W169" s="109"/>
      <c r="X169" s="58"/>
      <c r="Y169" s="195"/>
      <c r="AB169" s="27"/>
      <c r="AC169" s="27"/>
      <c r="AD169" s="28">
        <v>2.92789934E9</v>
      </c>
      <c r="AE169" s="28">
        <v>3.6193893588E10</v>
      </c>
      <c r="AF169" s="28"/>
      <c r="AG169" s="28">
        <v>-5386132.0</v>
      </c>
      <c r="AH169" s="28">
        <v>4.76972308E8</v>
      </c>
      <c r="AI169" s="27"/>
      <c r="AJ169" s="27"/>
      <c r="AK169" s="28">
        <v>2.7082480975E10</v>
      </c>
      <c r="AL169" s="28">
        <v>2.69444453E8</v>
      </c>
      <c r="AM169" s="61">
        <v>5.07328311E9</v>
      </c>
      <c r="AN169" s="62">
        <v>7.2018587641E10</v>
      </c>
      <c r="AO169" s="27"/>
      <c r="AP169" s="28">
        <v>1.5E8</v>
      </c>
      <c r="AQ169" s="28">
        <v>5.67565015E8</v>
      </c>
      <c r="AR169" s="27"/>
      <c r="AS169" s="61"/>
      <c r="AT169" s="61"/>
      <c r="AU169" s="61">
        <v>2.20899545E8</v>
      </c>
      <c r="AV169" s="63">
        <v>9.3846456E8</v>
      </c>
      <c r="AW169" s="62">
        <v>7.2957052202E10</v>
      </c>
      <c r="AX169" s="27"/>
      <c r="AY169" s="27"/>
      <c r="AZ169" s="27"/>
      <c r="BA169" s="28">
        <v>5.1751395436E10</v>
      </c>
      <c r="BB169" s="27"/>
      <c r="BC169" s="27"/>
      <c r="BD169" s="27"/>
      <c r="BE169" s="28">
        <v>3.526055325E9</v>
      </c>
      <c r="BF169" s="27"/>
      <c r="BG169" s="28"/>
      <c r="BH169" s="28"/>
      <c r="BI169" s="28">
        <v>3.06E7</v>
      </c>
      <c r="BJ169" s="27"/>
      <c r="BK169" s="27"/>
      <c r="BL169" s="28">
        <v>5.5308050761E10</v>
      </c>
      <c r="BM169" s="27"/>
      <c r="BN169" s="27"/>
      <c r="BO169" s="27"/>
      <c r="BP169" s="27"/>
      <c r="BQ169" s="28">
        <v>8.90488359E8</v>
      </c>
      <c r="BR169" s="27"/>
      <c r="BS169" s="61">
        <v>8.90488359E8</v>
      </c>
      <c r="BT169" s="28">
        <v>5.619853912E10</v>
      </c>
      <c r="BU169" s="27"/>
      <c r="BV169" s="28">
        <v>6.0E8</v>
      </c>
      <c r="BW169" s="27"/>
      <c r="BX169" s="28">
        <v>1.822767523E9</v>
      </c>
      <c r="BY169" s="28">
        <v>1.430328361E10</v>
      </c>
      <c r="BZ169" s="28">
        <v>3.2461949E7</v>
      </c>
      <c r="CA169" s="27"/>
      <c r="CB169" s="27"/>
      <c r="CC169" s="61">
        <v>1.6758513082E10</v>
      </c>
      <c r="CD169" s="62">
        <v>7.2957052202E10</v>
      </c>
      <c r="CF169" s="49" t="s">
        <v>296</v>
      </c>
    </row>
    <row r="170">
      <c r="A170" s="49" t="s">
        <v>299</v>
      </c>
      <c r="B170" s="85">
        <v>2.5182192386E10</v>
      </c>
      <c r="C170" s="86">
        <v>2.1163828108E10</v>
      </c>
      <c r="D170" s="249">
        <v>4.018364278E9</v>
      </c>
      <c r="E170" s="85"/>
      <c r="F170" s="85">
        <v>5.68248669E8</v>
      </c>
      <c r="G170" s="86">
        <v>1.029610028E9</v>
      </c>
      <c r="H170" s="250">
        <v>1.597858697E9</v>
      </c>
      <c r="I170" s="249">
        <v>2.420505582E9</v>
      </c>
      <c r="J170" s="85"/>
      <c r="K170" s="85">
        <v>5286895.0</v>
      </c>
      <c r="L170" s="86">
        <v>3525313.0</v>
      </c>
      <c r="M170" s="50">
        <v>1761582.0</v>
      </c>
      <c r="N170" s="249">
        <v>2.422267164E9</v>
      </c>
      <c r="O170" s="85"/>
      <c r="P170" s="85" t="s">
        <v>295</v>
      </c>
      <c r="Q170" s="85" t="s">
        <v>295</v>
      </c>
      <c r="R170" s="251">
        <v>2.422267164E9</v>
      </c>
      <c r="S170" s="85" t="s">
        <v>295</v>
      </c>
      <c r="T170" s="249">
        <v>2.422267164E9</v>
      </c>
      <c r="U170" s="195"/>
      <c r="V170" s="105"/>
      <c r="W170" s="109"/>
      <c r="X170" s="58"/>
      <c r="Y170" s="195"/>
      <c r="AB170" s="27"/>
      <c r="AC170" s="27"/>
      <c r="AD170" s="28">
        <v>7.038159403E9</v>
      </c>
      <c r="AE170" s="28">
        <v>2.9147572675E10</v>
      </c>
      <c r="AF170" s="28"/>
      <c r="AG170" s="28">
        <v>-5386132.0</v>
      </c>
      <c r="AH170" s="28">
        <v>7.6972308E7</v>
      </c>
      <c r="AI170" s="27"/>
      <c r="AJ170" s="27"/>
      <c r="AK170" s="28">
        <v>1.5525620155E10</v>
      </c>
      <c r="AL170" s="28">
        <v>2.941369503E9</v>
      </c>
      <c r="AM170" s="61">
        <v>3.356710236E9</v>
      </c>
      <c r="AN170" s="62">
        <v>5.8081018149E10</v>
      </c>
      <c r="AO170" s="27"/>
      <c r="AP170" s="28">
        <v>1.5E8</v>
      </c>
      <c r="AQ170" s="28">
        <v>5.56502731E8</v>
      </c>
      <c r="AR170" s="27"/>
      <c r="AS170" s="28"/>
      <c r="AT170" s="28"/>
      <c r="AU170" s="28">
        <v>2.20899545E8</v>
      </c>
      <c r="AV170" s="63">
        <v>9.27402276E8</v>
      </c>
      <c r="AW170" s="62">
        <v>5.9008420425E10</v>
      </c>
      <c r="AX170" s="27"/>
      <c r="AY170" s="27"/>
      <c r="AZ170" s="27"/>
      <c r="BA170" s="28">
        <v>3.5619877627E10</v>
      </c>
      <c r="BB170" s="27"/>
      <c r="BC170" s="27"/>
      <c r="BD170" s="27"/>
      <c r="BE170" s="28">
        <v>3.286674454E9</v>
      </c>
      <c r="BF170" s="27"/>
      <c r="BG170" s="28"/>
      <c r="BH170" s="28"/>
      <c r="BI170" s="28">
        <v>3.06E7</v>
      </c>
      <c r="BJ170" s="27"/>
      <c r="BK170" s="27"/>
      <c r="BL170" s="28">
        <v>3.8937152081E10</v>
      </c>
      <c r="BM170" s="27"/>
      <c r="BN170" s="27"/>
      <c r="BO170" s="27"/>
      <c r="BP170" s="27"/>
      <c r="BQ170" s="28">
        <v>8.90488359E8</v>
      </c>
      <c r="BR170" s="27"/>
      <c r="BS170" s="61">
        <v>8.90488359E8</v>
      </c>
      <c r="BT170" s="28">
        <v>3.982764044E10</v>
      </c>
      <c r="BU170" s="27"/>
      <c r="BV170" s="28">
        <v>6.0E8</v>
      </c>
      <c r="BW170" s="27"/>
      <c r="BX170" s="28">
        <v>4.245034427E9</v>
      </c>
      <c r="BY170" s="28">
        <v>1.430328361E10</v>
      </c>
      <c r="BZ170" s="28">
        <v>3.2461949E7</v>
      </c>
      <c r="CA170" s="27"/>
      <c r="CB170" s="27"/>
      <c r="CC170" s="61">
        <v>1.9180779986E10</v>
      </c>
      <c r="CD170" s="62">
        <v>5.9008420426E10</v>
      </c>
      <c r="CF170" s="49" t="s">
        <v>299</v>
      </c>
    </row>
    <row r="171">
      <c r="A171" s="49" t="s">
        <v>302</v>
      </c>
      <c r="B171" s="85">
        <v>1.4587816823E10</v>
      </c>
      <c r="C171" s="86">
        <v>1.1844853563E10</v>
      </c>
      <c r="D171" s="249">
        <v>2.74296326E9</v>
      </c>
      <c r="E171" s="85"/>
      <c r="F171" s="85">
        <v>6.74945654E8</v>
      </c>
      <c r="G171" s="86">
        <v>3.09330107E8</v>
      </c>
      <c r="H171" s="250">
        <v>9.84275761E8</v>
      </c>
      <c r="I171" s="249">
        <v>1.7586875E9</v>
      </c>
      <c r="J171" s="85"/>
      <c r="K171" s="85">
        <v>2300714.0</v>
      </c>
      <c r="L171" s="86">
        <v>2111780.0</v>
      </c>
      <c r="M171" s="50">
        <v>188934.0</v>
      </c>
      <c r="N171" s="249">
        <v>1.758876433E9</v>
      </c>
      <c r="O171" s="85"/>
      <c r="P171" s="85" t="s">
        <v>295</v>
      </c>
      <c r="Q171" s="85" t="s">
        <v>295</v>
      </c>
      <c r="R171" s="251">
        <v>1.758876433E9</v>
      </c>
      <c r="S171" s="85" t="s">
        <v>295</v>
      </c>
      <c r="T171" s="249">
        <v>1.758876433E9</v>
      </c>
      <c r="U171" s="27"/>
      <c r="V171" s="28"/>
      <c r="W171" s="27"/>
      <c r="X171" s="27"/>
      <c r="Y171" s="27"/>
      <c r="AB171" s="27"/>
      <c r="AC171" s="27"/>
      <c r="AD171" s="28">
        <v>2.577634977E9</v>
      </c>
      <c r="AE171" s="28">
        <v>1.7514536909E10</v>
      </c>
      <c r="AF171" s="28"/>
      <c r="AG171" s="28">
        <v>-2.9117257E7</v>
      </c>
      <c r="AH171" s="28">
        <v>7.6971808E7</v>
      </c>
      <c r="AI171" s="27"/>
      <c r="AJ171" s="27"/>
      <c r="AK171" s="28">
        <v>1.7137351948E10</v>
      </c>
      <c r="AL171" s="28">
        <v>4.674185547E9</v>
      </c>
      <c r="AM171" s="61">
        <v>2.407094977E9</v>
      </c>
      <c r="AN171" s="62">
        <v>4.435865891E10</v>
      </c>
      <c r="AO171" s="27"/>
      <c r="AP171" s="28">
        <v>1.5E8</v>
      </c>
      <c r="AQ171" s="28">
        <v>5.46004625E8</v>
      </c>
      <c r="AR171" s="27"/>
      <c r="AS171" s="28"/>
      <c r="AT171" s="28"/>
      <c r="AU171" s="28">
        <v>3.5237256E8</v>
      </c>
      <c r="AV171" s="63">
        <v>1.048377185E9</v>
      </c>
      <c r="AW171" s="62">
        <v>4.5407036094E10</v>
      </c>
      <c r="AX171" s="27"/>
      <c r="AY171" s="27"/>
      <c r="AZ171" s="27"/>
      <c r="BA171" s="28">
        <v>2.1691376746E10</v>
      </c>
      <c r="BB171" s="27"/>
      <c r="BC171" s="27"/>
      <c r="BD171" s="27"/>
      <c r="BE171" s="28">
        <v>1.784674728E9</v>
      </c>
      <c r="BF171" s="27"/>
      <c r="BG171" s="28"/>
      <c r="BH171" s="28"/>
      <c r="BI171" s="28">
        <v>3.5617655E7</v>
      </c>
      <c r="BJ171" s="27"/>
      <c r="BK171" s="27"/>
      <c r="BL171" s="28">
        <v>2.351166913E10</v>
      </c>
      <c r="BM171" s="27"/>
      <c r="BN171" s="27"/>
      <c r="BO171" s="27"/>
      <c r="BP171" s="27"/>
      <c r="BQ171" s="28">
        <v>1.453873745E9</v>
      </c>
      <c r="BR171" s="27"/>
      <c r="BS171" s="61">
        <v>1.453873745E9</v>
      </c>
      <c r="BT171" s="28">
        <v>2.4965542875E10</v>
      </c>
      <c r="BU171" s="27"/>
      <c r="BV171" s="28">
        <v>6.0E8</v>
      </c>
      <c r="BW171" s="27"/>
      <c r="BX171" s="28">
        <v>6.003910937E9</v>
      </c>
      <c r="BY171" s="28">
        <v>1.3957706863E10</v>
      </c>
      <c r="BZ171" s="28">
        <v>-1.20124581E8</v>
      </c>
      <c r="CA171" s="27"/>
      <c r="CB171" s="27"/>
      <c r="CC171" s="61">
        <v>2.0441493219E10</v>
      </c>
      <c r="CD171" s="62">
        <v>4.5407036094E10</v>
      </c>
      <c r="CF171" s="49" t="s">
        <v>302</v>
      </c>
    </row>
    <row r="172">
      <c r="A172" s="49" t="s">
        <v>304</v>
      </c>
      <c r="B172" s="85">
        <v>1.8587937423E10</v>
      </c>
      <c r="C172" s="86">
        <v>1.7064696344E10</v>
      </c>
      <c r="D172" s="249">
        <v>1.523241079E9</v>
      </c>
      <c r="E172" s="85"/>
      <c r="F172" s="85">
        <v>7.54650681E8</v>
      </c>
      <c r="G172" s="86">
        <v>2.17042489E8</v>
      </c>
      <c r="H172" s="250">
        <v>9.7169317E8</v>
      </c>
      <c r="I172" s="249">
        <v>5.5154791E8</v>
      </c>
      <c r="J172" s="85"/>
      <c r="K172" s="85">
        <v>2943253.0</v>
      </c>
      <c r="L172" s="86">
        <v>3.02160557E8</v>
      </c>
      <c r="M172" s="50">
        <v>-2.99217304E8</v>
      </c>
      <c r="N172" s="249">
        <v>2.52330605E8</v>
      </c>
      <c r="O172" s="85"/>
      <c r="P172" s="85" t="s">
        <v>295</v>
      </c>
      <c r="Q172" s="85" t="s">
        <v>295</v>
      </c>
      <c r="R172" s="251">
        <v>2.52330605E8</v>
      </c>
      <c r="S172" s="85" t="s">
        <v>295</v>
      </c>
      <c r="T172" s="249">
        <v>2.52330605E8</v>
      </c>
      <c r="U172" s="27"/>
      <c r="V172" s="28"/>
      <c r="W172" s="27"/>
      <c r="X172" s="27"/>
      <c r="Y172" s="27"/>
      <c r="AB172" s="27"/>
      <c r="AC172" s="27"/>
      <c r="AD172" s="236">
        <v>9.08290263E8</v>
      </c>
      <c r="AE172" s="236">
        <v>2.8782760069E10</v>
      </c>
      <c r="AF172" s="236"/>
      <c r="AG172" s="236">
        <v>-2.9117257E7</v>
      </c>
      <c r="AH172" s="236"/>
      <c r="AI172" s="236"/>
      <c r="AJ172" s="236"/>
      <c r="AK172" s="236">
        <v>2.6502330421E10</v>
      </c>
      <c r="AL172" s="236">
        <v>5.415054061E9</v>
      </c>
      <c r="AM172" s="237">
        <v>3.694218151E9</v>
      </c>
      <c r="AN172" s="238">
        <v>6.5273535709E10</v>
      </c>
      <c r="AO172" s="239"/>
      <c r="AP172" s="236">
        <v>1.5E8</v>
      </c>
      <c r="AQ172" s="236">
        <v>5.43079038E8</v>
      </c>
      <c r="AR172" s="236"/>
      <c r="AS172" s="236"/>
      <c r="AT172" s="236"/>
      <c r="AU172" s="236">
        <v>3.5237256E8</v>
      </c>
      <c r="AV172" s="240">
        <v>1.045451598E9</v>
      </c>
      <c r="AW172" s="238">
        <v>6.6318987306E10</v>
      </c>
      <c r="AX172" s="239"/>
      <c r="AY172" s="239"/>
      <c r="AZ172" s="239"/>
      <c r="BA172" s="236">
        <v>4.1930848116E10</v>
      </c>
      <c r="BB172" s="236"/>
      <c r="BC172" s="236"/>
      <c r="BD172" s="236"/>
      <c r="BE172" s="236">
        <v>2.204823783E9</v>
      </c>
      <c r="BF172" s="236"/>
      <c r="BG172" s="237"/>
      <c r="BH172" s="237"/>
      <c r="BI172" s="237">
        <v>3.5617655E7</v>
      </c>
      <c r="BJ172" s="238"/>
      <c r="BK172" s="239"/>
      <c r="BL172" s="236">
        <v>4.4171289554E10</v>
      </c>
      <c r="BM172" s="236"/>
      <c r="BN172" s="240"/>
      <c r="BO172" s="238"/>
      <c r="BP172" s="238"/>
      <c r="BQ172" s="238">
        <v>1.453873745E9</v>
      </c>
      <c r="BR172" s="239"/>
      <c r="BS172" s="237">
        <v>1.453873745E9</v>
      </c>
      <c r="BT172" s="236">
        <v>4.5625163299E10</v>
      </c>
      <c r="BU172" s="236"/>
      <c r="BV172" s="237">
        <v>6.0E8</v>
      </c>
      <c r="BW172" s="238"/>
      <c r="BX172" s="238">
        <v>6.256241726E9</v>
      </c>
      <c r="BY172" s="238">
        <v>1.3957706863E10</v>
      </c>
      <c r="BZ172" s="28">
        <v>-1.20124581E8</v>
      </c>
      <c r="CA172" s="27"/>
      <c r="CB172" s="27"/>
      <c r="CC172" s="61">
        <v>2.0693824008E10</v>
      </c>
      <c r="CD172" s="62">
        <v>6.6318987306E10</v>
      </c>
      <c r="CF172" s="49" t="s">
        <v>304</v>
      </c>
    </row>
    <row r="173">
      <c r="A173" s="49" t="s">
        <v>313</v>
      </c>
      <c r="B173" s="85">
        <v>3.4084933678E10</v>
      </c>
      <c r="C173" s="52">
        <v>3.1172279602E10</v>
      </c>
      <c r="D173" s="53">
        <v>2.912654077E9</v>
      </c>
      <c r="E173" s="50"/>
      <c r="F173" s="85">
        <v>8.44708449E8</v>
      </c>
      <c r="G173" s="52">
        <v>5.229897E8</v>
      </c>
      <c r="H173" s="52">
        <v>1.367698149E9</v>
      </c>
      <c r="I173" s="53">
        <v>1.544955928E9</v>
      </c>
      <c r="J173" s="50"/>
      <c r="K173" s="50">
        <v>1802709.0</v>
      </c>
      <c r="L173" s="52">
        <v>2.37848935E8</v>
      </c>
      <c r="M173" s="50">
        <v>-2.36046226E8</v>
      </c>
      <c r="N173" s="53">
        <v>1.308909701E9</v>
      </c>
      <c r="O173" s="50"/>
      <c r="P173" s="85" t="s">
        <v>295</v>
      </c>
      <c r="Q173" s="85" t="s">
        <v>295</v>
      </c>
      <c r="R173" s="54">
        <v>1.308909701E9</v>
      </c>
      <c r="S173" s="50"/>
      <c r="T173" s="53">
        <v>1.308909701E9</v>
      </c>
      <c r="U173" s="109"/>
      <c r="V173" s="105"/>
      <c r="W173" s="104"/>
      <c r="X173" s="109"/>
      <c r="Y173" s="109"/>
      <c r="AB173" s="27"/>
      <c r="AC173" s="27"/>
      <c r="AD173" s="28">
        <v>8.68189806E8</v>
      </c>
      <c r="AE173" s="28">
        <v>4.8152286434E10</v>
      </c>
      <c r="AF173" s="28"/>
      <c r="AG173" s="28">
        <v>-2.9117257E7</v>
      </c>
      <c r="AH173" s="28">
        <v>1.5E8</v>
      </c>
      <c r="AI173" s="27"/>
      <c r="AJ173" s="27"/>
      <c r="AK173" s="28">
        <v>2.3704733181E10</v>
      </c>
      <c r="AL173" s="28">
        <v>4.380002891E9</v>
      </c>
      <c r="AM173" s="61">
        <v>4.925010273E9</v>
      </c>
      <c r="AN173" s="62">
        <v>8.2151105329E10</v>
      </c>
      <c r="AO173" s="27"/>
      <c r="AP173" s="28">
        <v>1.5E8</v>
      </c>
      <c r="AQ173" s="28">
        <v>5.4729957E8</v>
      </c>
      <c r="AR173" s="27"/>
      <c r="AS173" s="28"/>
      <c r="AT173" s="28"/>
      <c r="AU173" s="28">
        <v>3.5237256E8</v>
      </c>
      <c r="AV173" s="63">
        <v>1.04967213E9</v>
      </c>
      <c r="AW173" s="62">
        <v>8.3200777459E10</v>
      </c>
      <c r="AX173" s="27"/>
      <c r="AY173" s="27"/>
      <c r="AZ173" s="27"/>
      <c r="BA173" s="28">
        <v>5.4098080149E10</v>
      </c>
      <c r="BB173" s="27"/>
      <c r="BC173" s="27"/>
      <c r="BD173" s="27"/>
      <c r="BE173" s="28">
        <v>3.764020382E9</v>
      </c>
      <c r="BF173" s="27"/>
      <c r="BG173" s="28"/>
      <c r="BH173" s="28"/>
      <c r="BI173" s="28">
        <v>1.882069474E9</v>
      </c>
      <c r="BJ173" s="27"/>
      <c r="BK173" s="27"/>
      <c r="BL173" s="28">
        <v>5.9744170006E10</v>
      </c>
      <c r="BM173" s="27"/>
      <c r="BN173" s="27"/>
      <c r="BO173" s="27"/>
      <c r="BP173" s="27"/>
      <c r="BQ173" s="28">
        <v>1.453873745E9</v>
      </c>
      <c r="BR173" s="27"/>
      <c r="BS173" s="61">
        <v>1.453873745E9</v>
      </c>
      <c r="BT173" s="28">
        <v>6.1198043751E10</v>
      </c>
      <c r="BU173" s="27"/>
      <c r="BV173" s="28">
        <v>6.0E8</v>
      </c>
      <c r="BW173" s="27"/>
      <c r="BX173" s="28">
        <v>7.565151427E9</v>
      </c>
      <c r="BY173" s="28">
        <v>1.3957706863E10</v>
      </c>
      <c r="BZ173" s="28">
        <v>-1.20124581E8</v>
      </c>
      <c r="CA173" s="27"/>
      <c r="CB173" s="27"/>
      <c r="CC173" s="61">
        <v>2.2002733709E10</v>
      </c>
      <c r="CD173" s="62">
        <v>8.3200777459E10</v>
      </c>
      <c r="CF173" s="49" t="s">
        <v>313</v>
      </c>
    </row>
    <row r="174">
      <c r="A174" s="49" t="s">
        <v>316</v>
      </c>
      <c r="B174" s="50">
        <v>3.701842654E10</v>
      </c>
      <c r="C174" s="52">
        <v>3.4891331793E10</v>
      </c>
      <c r="D174" s="53">
        <v>2.127094747E9</v>
      </c>
      <c r="E174" s="50"/>
      <c r="F174" s="50">
        <v>5.55364219E8</v>
      </c>
      <c r="G174" s="52">
        <v>2.50418799E8</v>
      </c>
      <c r="H174" s="52">
        <v>8.05783018E8</v>
      </c>
      <c r="I174" s="53">
        <v>1.321311729E9</v>
      </c>
      <c r="J174" s="50"/>
      <c r="K174" s="50">
        <v>1841420.0</v>
      </c>
      <c r="L174" s="52">
        <v>2167691.0</v>
      </c>
      <c r="M174" s="50">
        <v>-326271.0</v>
      </c>
      <c r="N174" s="53">
        <v>1.320985458E9</v>
      </c>
      <c r="O174" s="50"/>
      <c r="P174" s="85"/>
      <c r="Q174" s="85"/>
      <c r="R174" s="54">
        <v>1.320985458E9</v>
      </c>
      <c r="S174" s="50"/>
      <c r="T174" s="53">
        <v>1.320985458E9</v>
      </c>
      <c r="U174" s="109"/>
      <c r="V174" s="105"/>
      <c r="W174" s="104"/>
      <c r="X174" s="109"/>
      <c r="Y174" s="109"/>
      <c r="AB174" s="27"/>
      <c r="AC174" s="27"/>
      <c r="AD174" s="28">
        <v>1.643390741E9</v>
      </c>
      <c r="AE174" s="28">
        <v>5.6689071331E10</v>
      </c>
      <c r="AF174" s="28"/>
      <c r="AG174" s="28">
        <v>-2.9117257E7</v>
      </c>
      <c r="AH174" s="28">
        <v>1.2E9</v>
      </c>
      <c r="AI174" s="27"/>
      <c r="AJ174" s="27"/>
      <c r="AK174" s="28">
        <v>3.1609707954E10</v>
      </c>
      <c r="AL174" s="28">
        <v>3.1878745E9</v>
      </c>
      <c r="AM174" s="61">
        <v>6.146833327E9</v>
      </c>
      <c r="AN174" s="62">
        <v>1.00447760596E11</v>
      </c>
      <c r="AO174" s="27"/>
      <c r="AP174" s="28">
        <v>1.5E8</v>
      </c>
      <c r="AQ174" s="28">
        <v>5.36333778E8</v>
      </c>
      <c r="AR174" s="27"/>
      <c r="AS174" s="28"/>
      <c r="AT174" s="28"/>
      <c r="AU174" s="28">
        <v>3.5237256E8</v>
      </c>
      <c r="AV174" s="63">
        <v>1.038706338E9</v>
      </c>
      <c r="AW174" s="62">
        <v>1.01486466933E11</v>
      </c>
      <c r="AX174" s="27"/>
      <c r="AY174" s="27"/>
      <c r="AZ174" s="27"/>
      <c r="BA174" s="28">
        <v>7.2336972209E10</v>
      </c>
      <c r="BB174" s="27"/>
      <c r="BC174" s="27"/>
      <c r="BD174" s="27"/>
      <c r="BE174" s="28">
        <v>4.236299268E9</v>
      </c>
      <c r="BF174" s="27"/>
      <c r="BG174" s="28"/>
      <c r="BH174" s="28"/>
      <c r="BI174" s="28">
        <v>3.5617653E7</v>
      </c>
      <c r="BJ174" s="27"/>
      <c r="BK174" s="27"/>
      <c r="BL174" s="28">
        <v>7.660888913E10</v>
      </c>
      <c r="BM174" s="27"/>
      <c r="BN174" s="27"/>
      <c r="BO174" s="27"/>
      <c r="BP174" s="27"/>
      <c r="BQ174" s="28">
        <v>1.453873745E9</v>
      </c>
      <c r="BR174" s="27"/>
      <c r="BS174" s="61">
        <v>1.453873745E9</v>
      </c>
      <c r="BT174" s="28">
        <v>7.8062762875E10</v>
      </c>
      <c r="BU174" s="27"/>
      <c r="BV174" s="28">
        <v>6.0E8</v>
      </c>
      <c r="BW174" s="27"/>
      <c r="BX174" s="28">
        <v>8.986121776E9</v>
      </c>
      <c r="BY174" s="28">
        <v>1.3957706863E10</v>
      </c>
      <c r="BZ174" s="28">
        <v>-1.20124581E8</v>
      </c>
      <c r="CA174" s="27"/>
      <c r="CB174" s="27"/>
      <c r="CC174" s="61">
        <v>2.3423704058E10</v>
      </c>
      <c r="CD174" s="62">
        <v>1.01486466933E11</v>
      </c>
      <c r="CF174" s="49" t="s">
        <v>316</v>
      </c>
    </row>
    <row r="175">
      <c r="A175" s="49" t="s">
        <v>318</v>
      </c>
      <c r="B175" s="50">
        <v>3.07798557E10</v>
      </c>
      <c r="C175" s="52">
        <v>3.1149906794E10</v>
      </c>
      <c r="D175" s="53">
        <v>-3.70051094E8</v>
      </c>
      <c r="E175" s="50"/>
      <c r="F175" s="50">
        <v>5.45838768E8</v>
      </c>
      <c r="G175" s="52">
        <v>2.08983178E8</v>
      </c>
      <c r="H175" s="52">
        <v>7.54821946E8</v>
      </c>
      <c r="I175" s="53">
        <v>-1.124873041E9</v>
      </c>
      <c r="J175" s="50"/>
      <c r="K175" s="50">
        <v>5.27406532E8</v>
      </c>
      <c r="L175" s="52">
        <v>1737369.0</v>
      </c>
      <c r="M175" s="50">
        <v>5.25669163E8</v>
      </c>
      <c r="N175" s="53">
        <v>-5.99203878E8</v>
      </c>
      <c r="O175" s="50"/>
      <c r="P175" s="50"/>
      <c r="Q175" s="50"/>
      <c r="R175" s="54">
        <v>-5.99203878E8</v>
      </c>
      <c r="S175" s="50"/>
      <c r="T175" s="53">
        <v>-5.99203878E8</v>
      </c>
      <c r="U175" s="109"/>
      <c r="V175" s="105"/>
      <c r="W175" s="104"/>
      <c r="X175" s="109"/>
      <c r="Y175" s="109"/>
      <c r="AB175" s="27"/>
      <c r="AC175" s="27"/>
      <c r="AD175" s="28">
        <v>2.156964712E9</v>
      </c>
      <c r="AE175" s="28">
        <v>6.7207840292E10</v>
      </c>
      <c r="AF175" s="28"/>
      <c r="AG175" s="28">
        <v>-2.9117257E7</v>
      </c>
      <c r="AH175" s="28">
        <v>1.1595E9</v>
      </c>
      <c r="AI175" s="28"/>
      <c r="AJ175" s="27"/>
      <c r="AK175" s="28">
        <v>4.1226028712E10</v>
      </c>
      <c r="AL175" s="28">
        <v>1.32216077E9</v>
      </c>
      <c r="AM175" s="61">
        <v>6.71506145E9</v>
      </c>
      <c r="AN175" s="62">
        <v>1.19758438678E11</v>
      </c>
      <c r="AO175" s="27"/>
      <c r="AP175" s="28">
        <v>1.5E8</v>
      </c>
      <c r="AQ175" s="28">
        <v>5.43790599E8</v>
      </c>
      <c r="AR175" s="28"/>
      <c r="AS175" s="27"/>
      <c r="AT175" s="27"/>
      <c r="AU175" s="28">
        <v>3.5237256E8</v>
      </c>
      <c r="AV175" s="63">
        <v>1.046163159E9</v>
      </c>
      <c r="AW175" s="62">
        <v>1.20804601838E11</v>
      </c>
      <c r="AX175" s="27"/>
      <c r="AY175" s="27"/>
      <c r="AZ175" s="27"/>
      <c r="BA175" s="28">
        <v>9.1750919779E10</v>
      </c>
      <c r="BB175" s="27"/>
      <c r="BC175" s="27"/>
      <c r="BD175" s="27"/>
      <c r="BE175" s="28">
        <v>3.614439764E9</v>
      </c>
      <c r="BF175" s="27"/>
      <c r="BG175" s="27"/>
      <c r="BH175" s="27"/>
      <c r="BI175" s="28">
        <v>1.26085326E9</v>
      </c>
      <c r="BJ175" s="27"/>
      <c r="BK175" s="28"/>
      <c r="BL175" s="28">
        <v>9.6626212803E10</v>
      </c>
      <c r="BM175" s="28">
        <v>1.453873745E9</v>
      </c>
      <c r="BN175" s="28"/>
      <c r="BO175" s="27"/>
      <c r="BP175" s="27"/>
      <c r="BQ175" s="28">
        <v>1.453873745E9</v>
      </c>
      <c r="BR175" s="27"/>
      <c r="BS175" s="61">
        <v>1.453873745E9</v>
      </c>
      <c r="BT175" s="28">
        <v>9.8080086548E10</v>
      </c>
      <c r="BU175" s="27"/>
      <c r="BV175" s="28">
        <v>6.0E8</v>
      </c>
      <c r="BW175" s="27"/>
      <c r="BX175" s="28">
        <v>8.286933008E9</v>
      </c>
      <c r="BY175" s="28">
        <v>1.3957706863E10</v>
      </c>
      <c r="BZ175" s="28">
        <v>-1.20124581E8</v>
      </c>
      <c r="CA175" s="27"/>
      <c r="CB175" s="27"/>
      <c r="CC175" s="61">
        <v>2.272451529E10</v>
      </c>
      <c r="CD175" s="62">
        <v>1.20804601838E11</v>
      </c>
      <c r="CF175" s="49" t="s">
        <v>318</v>
      </c>
    </row>
    <row r="176">
      <c r="A176" s="49" t="s">
        <v>3</v>
      </c>
      <c r="B176" s="50">
        <v>4.6923230959E10</v>
      </c>
      <c r="C176" s="52">
        <v>4.558952226E10</v>
      </c>
      <c r="D176" s="53">
        <v>1.333708699E9</v>
      </c>
      <c r="E176" s="50"/>
      <c r="F176" s="50">
        <v>6.21766251E8</v>
      </c>
      <c r="G176" s="52">
        <v>2.90148912E8</v>
      </c>
      <c r="H176" s="52">
        <v>9.11915163E8</v>
      </c>
      <c r="I176" s="53">
        <v>4.21793536E8</v>
      </c>
      <c r="J176" s="50"/>
      <c r="K176" s="50">
        <v>2.6276342E7</v>
      </c>
      <c r="L176" s="52">
        <v>1740439.0</v>
      </c>
      <c r="M176" s="50">
        <v>2.4535903E7</v>
      </c>
      <c r="N176" s="53">
        <v>4.46329439E8</v>
      </c>
      <c r="O176" s="50"/>
      <c r="P176" s="50"/>
      <c r="Q176" s="50"/>
      <c r="R176" s="54">
        <v>4.46329439E8</v>
      </c>
      <c r="S176" s="50"/>
      <c r="T176" s="53">
        <v>4.46329439E8</v>
      </c>
      <c r="U176" s="109"/>
      <c r="V176" s="105"/>
      <c r="W176" s="104"/>
      <c r="X176" s="109"/>
      <c r="Y176" s="109"/>
      <c r="AB176" s="27"/>
      <c r="AC176" s="27"/>
      <c r="AD176" s="28">
        <v>1.369463132E9</v>
      </c>
      <c r="AE176" s="28">
        <v>8.9275196388E10</v>
      </c>
      <c r="AF176" s="27"/>
      <c r="AG176" s="28">
        <v>-2.9117257E7</v>
      </c>
      <c r="AH176" s="28">
        <v>1.8E7</v>
      </c>
      <c r="AI176" s="27"/>
      <c r="AJ176" s="27"/>
      <c r="AK176" s="28">
        <v>2.3865983637E10</v>
      </c>
      <c r="AL176" s="28">
        <v>6.8443818E8</v>
      </c>
      <c r="AM176" s="61">
        <v>6.611384189E9</v>
      </c>
      <c r="AN176" s="62">
        <v>1.21795348268E11</v>
      </c>
      <c r="AO176" s="27"/>
      <c r="AP176" s="28">
        <v>1.5E8</v>
      </c>
      <c r="AQ176" s="28">
        <v>5.36855916E8</v>
      </c>
      <c r="AR176" s="27"/>
      <c r="AS176" s="27"/>
      <c r="AT176" s="27"/>
      <c r="AU176" s="28">
        <v>3.5237256E8</v>
      </c>
      <c r="AV176" s="63">
        <v>1.039228476E9</v>
      </c>
      <c r="AW176" s="62">
        <v>1.22834576745E11</v>
      </c>
      <c r="AX176" s="27"/>
      <c r="AY176" s="27"/>
      <c r="AZ176" s="27"/>
      <c r="BA176" s="28">
        <v>9.2818296875E10</v>
      </c>
      <c r="BB176" s="27"/>
      <c r="BC176" s="27"/>
      <c r="BD176" s="27"/>
      <c r="BE176" s="28">
        <v>5.355708138E9</v>
      </c>
      <c r="BF176" s="27"/>
      <c r="BG176" s="27"/>
      <c r="BH176" s="27"/>
      <c r="BI176" s="28">
        <v>3.5853258E7</v>
      </c>
      <c r="BJ176" s="27"/>
      <c r="BK176" s="27"/>
      <c r="BL176" s="28">
        <v>9.8209858271E10</v>
      </c>
      <c r="BM176" s="28">
        <v>1.453873745E9</v>
      </c>
      <c r="BN176" s="27"/>
      <c r="BO176" s="27"/>
      <c r="BP176" s="27"/>
      <c r="BQ176" s="28">
        <v>1.453873745E9</v>
      </c>
      <c r="BR176" s="27"/>
      <c r="BS176" s="61">
        <v>1.453873745E9</v>
      </c>
      <c r="BT176" s="28">
        <v>9.9663732016E10</v>
      </c>
      <c r="BU176" s="27"/>
      <c r="BV176" s="28">
        <v>6.0E8</v>
      </c>
      <c r="BW176" s="27"/>
      <c r="BX176" s="28">
        <v>8.733262446E9</v>
      </c>
      <c r="BY176" s="27"/>
      <c r="BZ176" s="28">
        <v>-1.20124581E8</v>
      </c>
      <c r="CA176" s="27"/>
      <c r="CB176" s="27"/>
      <c r="CC176" s="61">
        <v>2.3170844728E10</v>
      </c>
      <c r="CD176" s="62">
        <v>1.22834576745E11</v>
      </c>
      <c r="CF176" s="49" t="s">
        <v>3</v>
      </c>
    </row>
    <row r="177">
      <c r="A177" s="49" t="s">
        <v>322</v>
      </c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109"/>
      <c r="V177" s="105"/>
      <c r="W177" s="104"/>
      <c r="X177" s="109"/>
      <c r="Y177" s="109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111"/>
      <c r="AN177" s="15"/>
      <c r="AO177" s="27"/>
      <c r="AP177" s="27"/>
      <c r="AQ177" s="27"/>
      <c r="AR177" s="27"/>
      <c r="AS177" s="27"/>
      <c r="AT177" s="27"/>
      <c r="AU177" s="27"/>
      <c r="AV177" s="113"/>
      <c r="AW177" s="15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111"/>
      <c r="BT177" s="27"/>
      <c r="BU177" s="27"/>
      <c r="BV177" s="27"/>
      <c r="BW177" s="27"/>
      <c r="BX177" s="27"/>
      <c r="BY177" s="27"/>
      <c r="BZ177" s="27"/>
      <c r="CA177" s="27"/>
      <c r="CB177" s="27"/>
      <c r="CC177" s="111"/>
      <c r="CD177" s="15"/>
      <c r="CF177" s="49" t="s">
        <v>322</v>
      </c>
    </row>
    <row r="178">
      <c r="A178" s="49" t="s">
        <v>323</v>
      </c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109"/>
      <c r="V178" s="105"/>
      <c r="W178" s="104"/>
      <c r="X178" s="109"/>
      <c r="Y178" s="109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111"/>
      <c r="AN178" s="15"/>
      <c r="AO178" s="27"/>
      <c r="AP178" s="27"/>
      <c r="AQ178" s="27"/>
      <c r="AR178" s="27"/>
      <c r="AS178" s="27"/>
      <c r="AT178" s="27"/>
      <c r="AU178" s="27"/>
      <c r="AV178" s="113"/>
      <c r="AW178" s="15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111"/>
      <c r="BT178" s="27"/>
      <c r="BU178" s="27"/>
      <c r="BV178" s="27"/>
      <c r="BW178" s="27"/>
      <c r="BX178" s="27"/>
      <c r="BY178" s="27"/>
      <c r="BZ178" s="27"/>
      <c r="CA178" s="27"/>
      <c r="CB178" s="27"/>
      <c r="CC178" s="111"/>
      <c r="CD178" s="15"/>
      <c r="CF178" s="49" t="s">
        <v>323</v>
      </c>
    </row>
    <row r="179">
      <c r="A179" s="49" t="s">
        <v>324</v>
      </c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109"/>
      <c r="V179" s="105"/>
      <c r="W179" s="104"/>
      <c r="X179" s="109"/>
      <c r="Y179" s="109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111"/>
      <c r="AN179" s="15"/>
      <c r="AO179" s="27"/>
      <c r="AP179" s="27"/>
      <c r="AQ179" s="27"/>
      <c r="AR179" s="27"/>
      <c r="AS179" s="27"/>
      <c r="AT179" s="27"/>
      <c r="AU179" s="27"/>
      <c r="AV179" s="113"/>
      <c r="AW179" s="15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111"/>
      <c r="BT179" s="27"/>
      <c r="BU179" s="27"/>
      <c r="BV179" s="27"/>
      <c r="BW179" s="27"/>
      <c r="BX179" s="27"/>
      <c r="BY179" s="27"/>
      <c r="BZ179" s="27"/>
      <c r="CA179" s="27"/>
      <c r="CB179" s="27"/>
      <c r="CC179" s="111"/>
      <c r="CD179" s="15"/>
      <c r="CF179" s="49" t="s">
        <v>324</v>
      </c>
    </row>
    <row r="180">
      <c r="A180" s="116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6"/>
      <c r="V180" s="118"/>
      <c r="W180" s="116"/>
      <c r="X180" s="116"/>
      <c r="Y180" s="116"/>
      <c r="Z180" s="116"/>
      <c r="AA180" s="116"/>
      <c r="AB180" s="116"/>
      <c r="AC180" s="116"/>
      <c r="AD180" s="116"/>
      <c r="AE180" s="119"/>
      <c r="AF180" s="116"/>
      <c r="AG180" s="116"/>
      <c r="AH180" s="116"/>
      <c r="AI180" s="116"/>
      <c r="AJ180" s="116"/>
      <c r="AK180" s="116"/>
      <c r="AL180" s="116"/>
      <c r="AM180" s="120"/>
      <c r="AN180" s="121"/>
      <c r="AO180" s="116"/>
      <c r="AP180" s="116"/>
      <c r="AQ180" s="116"/>
      <c r="AR180" s="116"/>
      <c r="AS180" s="116"/>
      <c r="AT180" s="116"/>
      <c r="AU180" s="116"/>
      <c r="AV180" s="116"/>
      <c r="AW180" s="116"/>
      <c r="AX180" s="116"/>
      <c r="AY180" s="116"/>
      <c r="AZ180" s="116"/>
      <c r="BA180" s="116"/>
      <c r="BB180" s="116"/>
      <c r="BC180" s="116"/>
      <c r="BD180" s="116"/>
      <c r="BE180" s="116"/>
      <c r="BF180" s="116"/>
      <c r="BG180" s="116"/>
      <c r="BH180" s="116"/>
      <c r="BI180" s="116"/>
      <c r="BJ180" s="116"/>
      <c r="BK180" s="116"/>
      <c r="BL180" s="116"/>
      <c r="BM180" s="116"/>
      <c r="BN180" s="116"/>
      <c r="BO180" s="116"/>
      <c r="BP180" s="116"/>
      <c r="BQ180" s="116"/>
      <c r="BR180" s="116"/>
      <c r="BS180" s="116"/>
      <c r="BT180" s="121"/>
      <c r="BU180" s="116"/>
      <c r="BV180" s="116"/>
      <c r="BW180" s="116"/>
      <c r="BX180" s="116"/>
      <c r="BY180" s="116"/>
      <c r="BZ180" s="116"/>
      <c r="CA180" s="116"/>
      <c r="CB180" s="116"/>
      <c r="CC180" s="122"/>
      <c r="CD180" s="122"/>
      <c r="CE180" s="116"/>
      <c r="CF180" s="116"/>
      <c r="CG180" s="116"/>
      <c r="CH180" s="116"/>
      <c r="CI180" s="116"/>
      <c r="CJ180" s="116"/>
      <c r="CK180" s="116"/>
      <c r="CL180" s="116"/>
      <c r="CM180" s="116"/>
      <c r="CN180" s="116"/>
      <c r="CO180" s="116"/>
      <c r="CP180" s="116"/>
      <c r="CQ180" s="116"/>
      <c r="CR180" s="116"/>
      <c r="CS180" s="116"/>
      <c r="CT180" s="116"/>
      <c r="CU180" s="116"/>
      <c r="CV180" s="116"/>
      <c r="CW180" s="116"/>
      <c r="CX180" s="116"/>
      <c r="CY180" s="116"/>
      <c r="CZ180" s="116"/>
      <c r="DA180" s="116"/>
      <c r="DB180" s="116"/>
      <c r="DC180" s="116"/>
      <c r="DD180" s="116"/>
      <c r="DE180" s="116"/>
      <c r="DF180" s="116"/>
      <c r="DG180" s="116"/>
      <c r="DH180" s="116"/>
      <c r="DI180" s="116"/>
      <c r="DJ180" s="116"/>
      <c r="DK180" s="116"/>
      <c r="DL180" s="116"/>
      <c r="DM180" s="116"/>
      <c r="DN180" s="116"/>
      <c r="DO180" s="116"/>
      <c r="DP180" s="116"/>
      <c r="DQ180" s="116"/>
      <c r="DR180" s="116"/>
      <c r="DS180" s="116"/>
      <c r="DT180" s="116"/>
      <c r="DU180" s="116"/>
      <c r="DV180" s="116"/>
      <c r="DW180" s="116"/>
      <c r="DX180" s="116"/>
      <c r="DY180" s="116"/>
      <c r="DZ180" s="116"/>
      <c r="EA180" s="116"/>
      <c r="EB180" s="116"/>
      <c r="EC180" s="116"/>
      <c r="ED180" s="116"/>
      <c r="EE180" s="116"/>
      <c r="EF180" s="116"/>
      <c r="EG180" s="116"/>
      <c r="EH180" s="116"/>
      <c r="EI180" s="116"/>
      <c r="EJ180" s="116"/>
      <c r="EK180" s="116"/>
      <c r="EL180" s="116"/>
      <c r="EM180" s="116"/>
      <c r="EN180" s="116"/>
      <c r="EO180" s="116"/>
      <c r="EP180" s="116"/>
      <c r="EQ180" s="116"/>
      <c r="ER180" s="116"/>
      <c r="ES180" s="116"/>
      <c r="ET180" s="116"/>
      <c r="EU180" s="116"/>
      <c r="EV180" s="116"/>
      <c r="EW180" s="116"/>
      <c r="EX180" s="116"/>
      <c r="EY180" s="116"/>
      <c r="EZ180" s="116"/>
      <c r="FA180" s="116"/>
      <c r="FB180" s="116"/>
      <c r="FC180" s="116"/>
      <c r="FD180" s="116"/>
      <c r="FE180" s="116"/>
      <c r="FF180" s="116"/>
      <c r="FG180" s="116"/>
      <c r="FH180" s="116"/>
      <c r="FI180" s="116"/>
      <c r="FJ180" s="116"/>
      <c r="FK180" s="116"/>
      <c r="FL180" s="116"/>
      <c r="FM180" s="116"/>
      <c r="FN180" s="116"/>
      <c r="FO180" s="116"/>
      <c r="FP180" s="116"/>
      <c r="FQ180" s="116"/>
      <c r="FR180" s="116"/>
      <c r="FS180" s="116"/>
      <c r="FT180" s="116"/>
      <c r="FU180" s="116"/>
      <c r="FV180" s="116"/>
      <c r="FW180" s="116"/>
      <c r="FX180" s="116"/>
      <c r="FY180" s="116"/>
      <c r="FZ180" s="116"/>
      <c r="GA180" s="116"/>
      <c r="GB180" s="116"/>
      <c r="GC180" s="116"/>
      <c r="GD180" s="116"/>
      <c r="GE180" s="116"/>
      <c r="GF180" s="116"/>
      <c r="GG180" s="116"/>
      <c r="GH180" s="116"/>
      <c r="GI180" s="116"/>
      <c r="GJ180" s="116"/>
      <c r="GK180" s="116"/>
      <c r="GL180" s="116"/>
      <c r="GM180" s="118"/>
      <c r="GN180" s="116"/>
      <c r="GO180" s="116"/>
      <c r="GP180" s="116"/>
      <c r="GQ180" s="116"/>
      <c r="GR180" s="116"/>
      <c r="GS180" s="116"/>
      <c r="GT180" s="116"/>
      <c r="GU180" s="116"/>
      <c r="GV180" s="116"/>
      <c r="GW180" s="116"/>
      <c r="GX180" s="116"/>
      <c r="GY180" s="116"/>
      <c r="GZ180" s="116"/>
      <c r="HA180" s="116"/>
      <c r="HB180" s="116"/>
      <c r="HC180" s="116"/>
      <c r="HD180" s="116"/>
      <c r="HE180" s="116"/>
      <c r="HF180" s="116"/>
      <c r="HG180" s="116"/>
      <c r="HH180" s="116"/>
      <c r="HI180" s="116"/>
      <c r="HJ180" s="116"/>
      <c r="HK180" s="116"/>
      <c r="HL180" s="116"/>
      <c r="HM180" s="116"/>
      <c r="HN180" s="116"/>
      <c r="HO180" s="116"/>
      <c r="HP180" s="116"/>
      <c r="HQ180" s="116"/>
      <c r="HR180" s="116"/>
      <c r="HS180" s="116"/>
      <c r="HT180" s="116"/>
      <c r="HU180" s="116"/>
      <c r="HV180" s="116"/>
      <c r="HW180" s="116"/>
      <c r="HX180" s="116"/>
      <c r="HY180" s="116"/>
      <c r="HZ180" s="116"/>
      <c r="IA180" s="116"/>
      <c r="IB180" s="116"/>
      <c r="IC180" s="116"/>
      <c r="ID180" s="116"/>
      <c r="IE180" s="116"/>
      <c r="IF180" s="116"/>
      <c r="IG180" s="116"/>
      <c r="IH180" s="116"/>
      <c r="II180" s="116"/>
      <c r="IJ180" s="116"/>
      <c r="IK180" s="116"/>
      <c r="IL180" s="116"/>
      <c r="IM180" s="116"/>
      <c r="IN180" s="116"/>
      <c r="IO180" s="116"/>
      <c r="IP180" s="116"/>
      <c r="IQ180" s="116"/>
      <c r="IR180" s="116"/>
      <c r="IS180" s="116"/>
      <c r="IT180" s="116"/>
      <c r="IU180" s="116"/>
      <c r="IV180" s="116"/>
      <c r="IW180" s="116"/>
      <c r="IX180" s="116"/>
      <c r="IY180" s="116"/>
      <c r="IZ180" s="116"/>
      <c r="JA180" s="116"/>
      <c r="JB180" s="116"/>
      <c r="JC180" s="116"/>
      <c r="JD180" s="116"/>
      <c r="JE180" s="116"/>
      <c r="JF180" s="116"/>
      <c r="JG180" s="116"/>
      <c r="JH180" s="116"/>
      <c r="JI180" s="116"/>
      <c r="JJ180" s="116"/>
      <c r="JK180" s="116"/>
      <c r="JL180" s="116"/>
      <c r="JM180" s="116"/>
      <c r="JN180" s="116"/>
      <c r="JO180" s="116"/>
      <c r="JP180" s="116"/>
      <c r="JQ180" s="116"/>
      <c r="JR180" s="116"/>
      <c r="JS180" s="116"/>
      <c r="JT180" s="123"/>
      <c r="JU180" s="116"/>
      <c r="JV180" s="116"/>
      <c r="JW180" s="116"/>
      <c r="JX180" s="116"/>
      <c r="JY180" s="116"/>
      <c r="JZ180" s="116"/>
      <c r="KA180" s="116"/>
      <c r="KB180" s="116"/>
      <c r="KC180" s="116"/>
      <c r="KD180" s="116"/>
      <c r="KE180" s="116"/>
      <c r="KF180" s="116"/>
      <c r="KG180" s="116"/>
      <c r="KH180" s="116"/>
      <c r="KI180" s="116"/>
      <c r="KJ180" s="116"/>
      <c r="KK180" s="116"/>
      <c r="KL180" s="116"/>
      <c r="KM180" s="116"/>
      <c r="KN180" s="116"/>
      <c r="KO180" s="116"/>
      <c r="KP180" s="116"/>
      <c r="KQ180" s="116"/>
      <c r="KR180" s="116"/>
      <c r="KS180" s="116"/>
      <c r="KT180" s="116"/>
      <c r="KU180" s="116"/>
      <c r="KV180" s="116"/>
      <c r="KW180" s="116"/>
      <c r="KX180" s="116"/>
      <c r="KY180" s="116"/>
      <c r="KZ180" s="116"/>
      <c r="LA180" s="116"/>
      <c r="LB180" s="116"/>
      <c r="LC180" s="116"/>
      <c r="LD180" s="116"/>
      <c r="LE180" s="116"/>
      <c r="LF180" s="116"/>
      <c r="LG180" s="116"/>
      <c r="LH180" s="116"/>
      <c r="LI180" s="116"/>
      <c r="LJ180" s="116"/>
      <c r="LK180" s="116"/>
    </row>
    <row r="181">
      <c r="A181" s="116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6"/>
      <c r="V181" s="118"/>
      <c r="W181" s="116"/>
      <c r="X181" s="116"/>
      <c r="Y181" s="116"/>
      <c r="Z181" s="116"/>
      <c r="AA181" s="116"/>
      <c r="AB181" s="116"/>
      <c r="AC181" s="116"/>
      <c r="AD181" s="116"/>
      <c r="AE181" s="116"/>
      <c r="AF181" s="116"/>
      <c r="AG181" s="116"/>
      <c r="AH181" s="116"/>
      <c r="AI181" s="116"/>
      <c r="AJ181" s="116"/>
      <c r="AK181" s="116"/>
      <c r="AL181" s="116"/>
      <c r="AM181" s="120"/>
      <c r="AN181" s="121"/>
      <c r="AO181" s="116"/>
      <c r="AP181" s="116"/>
      <c r="AQ181" s="116"/>
      <c r="AR181" s="116"/>
      <c r="AS181" s="116"/>
      <c r="AT181" s="116"/>
      <c r="AU181" s="116"/>
      <c r="AV181" s="116"/>
      <c r="AW181" s="116"/>
      <c r="AX181" s="116"/>
      <c r="AY181" s="116"/>
      <c r="AZ181" s="116"/>
      <c r="BA181" s="116"/>
      <c r="BB181" s="116"/>
      <c r="BC181" s="116"/>
      <c r="BD181" s="116"/>
      <c r="BE181" s="116"/>
      <c r="BF181" s="116"/>
      <c r="BG181" s="116"/>
      <c r="BH181" s="116"/>
      <c r="BI181" s="116"/>
      <c r="BJ181" s="116"/>
      <c r="BK181" s="116"/>
      <c r="BL181" s="116"/>
      <c r="BM181" s="116"/>
      <c r="BN181" s="116"/>
      <c r="BO181" s="116"/>
      <c r="BP181" s="116"/>
      <c r="BQ181" s="116"/>
      <c r="BR181" s="116"/>
      <c r="BS181" s="116"/>
      <c r="BT181" s="121"/>
      <c r="BU181" s="116"/>
      <c r="BV181" s="116"/>
      <c r="BW181" s="116"/>
      <c r="BX181" s="116"/>
      <c r="BY181" s="116"/>
      <c r="BZ181" s="116"/>
      <c r="CA181" s="116"/>
      <c r="CB181" s="116"/>
      <c r="CC181" s="122"/>
      <c r="CD181" s="122"/>
      <c r="CE181" s="116"/>
      <c r="CF181" s="116"/>
      <c r="CG181" s="116"/>
      <c r="CH181" s="116"/>
      <c r="CI181" s="116"/>
      <c r="CJ181" s="116"/>
      <c r="CK181" s="116"/>
      <c r="CL181" s="116"/>
      <c r="CM181" s="116"/>
      <c r="CN181" s="116"/>
      <c r="CO181" s="116"/>
      <c r="CP181" s="116"/>
      <c r="CQ181" s="116"/>
      <c r="CR181" s="116"/>
      <c r="CS181" s="116"/>
      <c r="CT181" s="116"/>
      <c r="CU181" s="116"/>
      <c r="CV181" s="116"/>
      <c r="CW181" s="116"/>
      <c r="CX181" s="116"/>
      <c r="CY181" s="116"/>
      <c r="CZ181" s="116"/>
      <c r="DA181" s="116"/>
      <c r="DB181" s="116"/>
      <c r="DC181" s="116"/>
      <c r="DD181" s="116"/>
      <c r="DE181" s="116"/>
      <c r="DF181" s="116"/>
      <c r="DG181" s="116"/>
      <c r="DH181" s="116"/>
      <c r="DI181" s="116"/>
      <c r="DJ181" s="116"/>
      <c r="DK181" s="116"/>
      <c r="DL181" s="116"/>
      <c r="DM181" s="116"/>
      <c r="DN181" s="116"/>
      <c r="DO181" s="116"/>
      <c r="DP181" s="116"/>
      <c r="DQ181" s="116"/>
      <c r="DR181" s="116"/>
      <c r="DS181" s="116"/>
      <c r="DT181" s="116"/>
      <c r="DU181" s="116"/>
      <c r="DV181" s="116"/>
      <c r="DW181" s="116"/>
      <c r="DX181" s="116"/>
      <c r="DY181" s="116"/>
      <c r="DZ181" s="116"/>
      <c r="EA181" s="116"/>
      <c r="EB181" s="116"/>
      <c r="EC181" s="116"/>
      <c r="ED181" s="116"/>
      <c r="EE181" s="116"/>
      <c r="EF181" s="116"/>
      <c r="EG181" s="116"/>
      <c r="EH181" s="116"/>
      <c r="EI181" s="116"/>
      <c r="EJ181" s="116"/>
      <c r="EK181" s="116"/>
      <c r="EL181" s="116"/>
      <c r="EM181" s="116"/>
      <c r="EN181" s="116"/>
      <c r="EO181" s="116"/>
      <c r="EP181" s="116"/>
      <c r="EQ181" s="116"/>
      <c r="ER181" s="116"/>
      <c r="ES181" s="116"/>
      <c r="ET181" s="116"/>
      <c r="EU181" s="116"/>
      <c r="EV181" s="116"/>
      <c r="EW181" s="116"/>
      <c r="EX181" s="116"/>
      <c r="EY181" s="116"/>
      <c r="EZ181" s="116"/>
      <c r="FA181" s="116"/>
      <c r="FB181" s="116"/>
      <c r="FC181" s="116"/>
      <c r="FD181" s="116"/>
      <c r="FE181" s="116"/>
      <c r="FF181" s="116"/>
      <c r="FG181" s="116"/>
      <c r="FH181" s="116"/>
      <c r="FI181" s="116"/>
      <c r="FJ181" s="116"/>
      <c r="FK181" s="116"/>
      <c r="FL181" s="116"/>
      <c r="FM181" s="116"/>
      <c r="FN181" s="116"/>
      <c r="FO181" s="116"/>
      <c r="FP181" s="116"/>
      <c r="FQ181" s="116"/>
      <c r="FR181" s="116"/>
      <c r="FS181" s="116"/>
      <c r="FT181" s="116"/>
      <c r="FU181" s="116"/>
      <c r="FV181" s="116"/>
      <c r="FW181" s="116"/>
      <c r="FX181" s="116"/>
      <c r="FY181" s="116"/>
      <c r="FZ181" s="116"/>
      <c r="GA181" s="116"/>
      <c r="GB181" s="116"/>
      <c r="GC181" s="116"/>
      <c r="GD181" s="116"/>
      <c r="GE181" s="116"/>
      <c r="GF181" s="116"/>
      <c r="GG181" s="116"/>
      <c r="GH181" s="116"/>
      <c r="GI181" s="116"/>
      <c r="GJ181" s="116"/>
      <c r="GK181" s="116"/>
      <c r="GL181" s="116"/>
      <c r="GM181" s="118"/>
      <c r="GN181" s="116"/>
      <c r="GO181" s="116"/>
      <c r="GP181" s="116"/>
      <c r="GQ181" s="116"/>
      <c r="GR181" s="116"/>
      <c r="GS181" s="116"/>
      <c r="GT181" s="116"/>
      <c r="GU181" s="116"/>
      <c r="GV181" s="116"/>
      <c r="GW181" s="116"/>
      <c r="GX181" s="116"/>
      <c r="GY181" s="116"/>
      <c r="GZ181" s="116"/>
      <c r="HA181" s="116"/>
      <c r="HB181" s="116"/>
      <c r="HC181" s="116"/>
      <c r="HD181" s="116"/>
      <c r="HE181" s="116"/>
      <c r="HF181" s="116"/>
      <c r="HG181" s="116"/>
      <c r="HH181" s="116"/>
      <c r="HI181" s="116"/>
      <c r="HJ181" s="116"/>
      <c r="HK181" s="116"/>
      <c r="HL181" s="116"/>
      <c r="HM181" s="116"/>
      <c r="HN181" s="116"/>
      <c r="HO181" s="116"/>
      <c r="HP181" s="116"/>
      <c r="HQ181" s="116"/>
      <c r="HR181" s="116"/>
      <c r="HS181" s="116"/>
      <c r="HT181" s="116"/>
      <c r="HU181" s="116"/>
      <c r="HV181" s="116"/>
      <c r="HW181" s="116"/>
      <c r="HX181" s="116"/>
      <c r="HY181" s="116"/>
      <c r="HZ181" s="116"/>
      <c r="IA181" s="116"/>
      <c r="IB181" s="116"/>
      <c r="IC181" s="116"/>
      <c r="ID181" s="116"/>
      <c r="IE181" s="116"/>
      <c r="IF181" s="116"/>
      <c r="IG181" s="116"/>
      <c r="IH181" s="116"/>
      <c r="II181" s="116"/>
      <c r="IJ181" s="116"/>
      <c r="IK181" s="116"/>
      <c r="IL181" s="116"/>
      <c r="IM181" s="116"/>
      <c r="IN181" s="116"/>
      <c r="IO181" s="116"/>
      <c r="IP181" s="116"/>
      <c r="IQ181" s="116"/>
      <c r="IR181" s="116"/>
      <c r="IS181" s="116"/>
      <c r="IT181" s="116"/>
      <c r="IU181" s="116"/>
      <c r="IV181" s="116"/>
      <c r="IW181" s="116"/>
      <c r="IX181" s="116"/>
      <c r="IY181" s="116"/>
      <c r="IZ181" s="116"/>
      <c r="JA181" s="116"/>
      <c r="JB181" s="116"/>
      <c r="JC181" s="116"/>
      <c r="JD181" s="116"/>
      <c r="JE181" s="116"/>
      <c r="JF181" s="116"/>
      <c r="JG181" s="116"/>
      <c r="JH181" s="116"/>
      <c r="JI181" s="116"/>
      <c r="JJ181" s="116"/>
      <c r="JK181" s="116"/>
      <c r="JL181" s="116"/>
      <c r="JM181" s="116"/>
      <c r="JN181" s="116"/>
      <c r="JO181" s="116"/>
      <c r="JP181" s="116"/>
      <c r="JQ181" s="116"/>
      <c r="JR181" s="116"/>
      <c r="JS181" s="116"/>
      <c r="JT181" s="123"/>
      <c r="JU181" s="116"/>
      <c r="JV181" s="116"/>
      <c r="JW181" s="116"/>
      <c r="JX181" s="116"/>
      <c r="JY181" s="116"/>
      <c r="JZ181" s="116"/>
      <c r="KA181" s="116"/>
      <c r="KB181" s="116"/>
      <c r="KC181" s="116"/>
      <c r="KD181" s="116"/>
      <c r="KE181" s="116"/>
      <c r="KF181" s="116"/>
      <c r="KG181" s="116"/>
      <c r="KH181" s="116"/>
      <c r="KI181" s="116"/>
      <c r="KJ181" s="116"/>
      <c r="KK181" s="116"/>
      <c r="KL181" s="116"/>
      <c r="KM181" s="116"/>
      <c r="KN181" s="116"/>
      <c r="KO181" s="116"/>
      <c r="KP181" s="116"/>
      <c r="KQ181" s="116"/>
      <c r="KR181" s="116"/>
      <c r="KS181" s="116"/>
      <c r="KT181" s="116"/>
      <c r="KU181" s="116"/>
      <c r="KV181" s="116"/>
      <c r="KW181" s="116"/>
      <c r="KX181" s="116"/>
      <c r="KY181" s="116"/>
      <c r="KZ181" s="116"/>
      <c r="LA181" s="116"/>
      <c r="LB181" s="116"/>
      <c r="LC181" s="116"/>
      <c r="LD181" s="116"/>
      <c r="LE181" s="116"/>
      <c r="LF181" s="116"/>
      <c r="LG181" s="116"/>
      <c r="LH181" s="116"/>
      <c r="LI181" s="116"/>
      <c r="LJ181" s="116"/>
      <c r="LK181" s="116"/>
    </row>
    <row r="182">
      <c r="A182" s="3" t="s">
        <v>420</v>
      </c>
      <c r="B182" s="177"/>
      <c r="C182" s="177"/>
      <c r="D182" s="177"/>
      <c r="E182" s="177"/>
      <c r="F182" s="177"/>
      <c r="G182" s="177"/>
      <c r="H182" s="177"/>
      <c r="I182" s="177"/>
      <c r="J182" s="177"/>
      <c r="K182" s="177"/>
      <c r="L182" s="177"/>
      <c r="M182" s="177"/>
      <c r="N182" s="177"/>
      <c r="O182" s="177"/>
      <c r="P182" s="177"/>
      <c r="Q182" s="177"/>
      <c r="R182" s="177"/>
      <c r="S182" s="177"/>
      <c r="T182" s="177"/>
      <c r="V182" s="110"/>
      <c r="AB182" s="3" t="s">
        <v>421</v>
      </c>
    </row>
    <row r="183">
      <c r="A183" s="252"/>
      <c r="B183" s="253" t="s">
        <v>19</v>
      </c>
      <c r="C183" s="254" t="s">
        <v>413</v>
      </c>
      <c r="D183" s="255" t="s">
        <v>21</v>
      </c>
      <c r="E183" s="254" t="s">
        <v>22</v>
      </c>
      <c r="F183" s="254" t="s">
        <v>23</v>
      </c>
      <c r="G183" s="254" t="s">
        <v>24</v>
      </c>
      <c r="H183" s="254" t="s">
        <v>414</v>
      </c>
      <c r="I183" s="255" t="s">
        <v>27</v>
      </c>
      <c r="J183" s="254" t="s">
        <v>415</v>
      </c>
      <c r="K183" s="254" t="s">
        <v>268</v>
      </c>
      <c r="L183" s="254" t="s">
        <v>282</v>
      </c>
      <c r="M183" s="254" t="s">
        <v>416</v>
      </c>
      <c r="N183" s="255" t="s">
        <v>417</v>
      </c>
      <c r="O183" s="254" t="s">
        <v>418</v>
      </c>
      <c r="P183" s="254" t="s">
        <v>33</v>
      </c>
      <c r="Q183" s="254" t="s">
        <v>35</v>
      </c>
      <c r="R183" s="255" t="s">
        <v>406</v>
      </c>
      <c r="S183" s="254" t="s">
        <v>407</v>
      </c>
      <c r="T183" s="256" t="s">
        <v>408</v>
      </c>
      <c r="U183" s="252"/>
      <c r="V183" s="257"/>
      <c r="W183" s="252"/>
      <c r="X183" s="252"/>
      <c r="Y183" s="258"/>
      <c r="AB183" s="259" t="s">
        <v>41</v>
      </c>
      <c r="AC183" s="259" t="s">
        <v>42</v>
      </c>
      <c r="AD183" s="259" t="s">
        <v>43</v>
      </c>
      <c r="AE183" s="259" t="s">
        <v>44</v>
      </c>
      <c r="AF183" s="259"/>
      <c r="AG183" s="259" t="s">
        <v>46</v>
      </c>
      <c r="AH183" s="259" t="s">
        <v>47</v>
      </c>
      <c r="AI183" s="259" t="s">
        <v>48</v>
      </c>
      <c r="AJ183" s="259" t="s">
        <v>49</v>
      </c>
      <c r="AK183" s="259" t="s">
        <v>50</v>
      </c>
      <c r="AL183" s="259" t="s">
        <v>51</v>
      </c>
      <c r="AM183" s="259" t="s">
        <v>52</v>
      </c>
      <c r="AN183" s="259" t="s">
        <v>53</v>
      </c>
      <c r="AO183" s="259" t="s">
        <v>54</v>
      </c>
      <c r="AP183" s="259" t="s">
        <v>55</v>
      </c>
      <c r="AQ183" s="259" t="s">
        <v>56</v>
      </c>
      <c r="AR183" s="259" t="s">
        <v>57</v>
      </c>
      <c r="AS183" s="259"/>
      <c r="AT183" s="259"/>
      <c r="AU183" s="259" t="s">
        <v>58</v>
      </c>
      <c r="AV183" s="259" t="s">
        <v>59</v>
      </c>
      <c r="AW183" s="259" t="s">
        <v>60</v>
      </c>
      <c r="AX183" s="259"/>
      <c r="AY183" s="259" t="s">
        <v>61</v>
      </c>
      <c r="AZ183" s="259" t="s">
        <v>62</v>
      </c>
      <c r="BA183" s="259" t="s">
        <v>63</v>
      </c>
      <c r="BB183" s="259"/>
      <c r="BC183" s="259" t="s">
        <v>64</v>
      </c>
      <c r="BD183" s="260" t="s">
        <v>65</v>
      </c>
      <c r="BE183" s="259" t="s">
        <v>66</v>
      </c>
      <c r="BF183" s="259" t="s">
        <v>67</v>
      </c>
      <c r="BG183" s="259"/>
      <c r="BH183" s="259"/>
      <c r="BI183" s="259" t="s">
        <v>68</v>
      </c>
      <c r="BJ183" s="259" t="s">
        <v>69</v>
      </c>
      <c r="BK183" s="259" t="s">
        <v>70</v>
      </c>
      <c r="BL183" s="259" t="s">
        <v>71</v>
      </c>
      <c r="BM183" s="259" t="s">
        <v>72</v>
      </c>
      <c r="BN183" s="259" t="s">
        <v>73</v>
      </c>
      <c r="BO183" s="259" t="s">
        <v>74</v>
      </c>
      <c r="BP183" s="259" t="s">
        <v>75</v>
      </c>
      <c r="BQ183" s="259" t="s">
        <v>76</v>
      </c>
      <c r="BR183" s="259" t="s">
        <v>77</v>
      </c>
      <c r="BS183" s="259" t="s">
        <v>78</v>
      </c>
      <c r="BT183" s="259" t="s">
        <v>79</v>
      </c>
      <c r="BU183" s="259" t="s">
        <v>80</v>
      </c>
      <c r="BV183" s="259" t="s">
        <v>81</v>
      </c>
      <c r="BW183" s="259" t="s">
        <v>82</v>
      </c>
      <c r="BX183" s="259" t="s">
        <v>83</v>
      </c>
      <c r="BY183" s="259" t="s">
        <v>84</v>
      </c>
      <c r="BZ183" s="259" t="s">
        <v>85</v>
      </c>
      <c r="CA183" s="259" t="s">
        <v>86</v>
      </c>
      <c r="CB183" s="259" t="s">
        <v>87</v>
      </c>
      <c r="CC183" s="259" t="s">
        <v>88</v>
      </c>
      <c r="CD183" s="261" t="s">
        <v>89</v>
      </c>
      <c r="CF183" s="243"/>
      <c r="DR183" s="228"/>
      <c r="DS183" s="228"/>
      <c r="DT183" s="228"/>
      <c r="DU183" s="228"/>
      <c r="DV183" s="228"/>
      <c r="DW183" s="228"/>
      <c r="DX183" s="228"/>
      <c r="DY183" s="228"/>
      <c r="DZ183" s="228"/>
      <c r="EA183" s="228"/>
      <c r="EB183" s="228"/>
      <c r="EC183" s="228"/>
      <c r="ED183" s="228"/>
      <c r="EE183" s="228"/>
      <c r="EF183" s="228"/>
      <c r="EG183" s="228"/>
      <c r="EH183" s="228"/>
      <c r="EI183" s="228"/>
      <c r="EJ183" s="228"/>
      <c r="EK183" s="228"/>
      <c r="EL183" s="228"/>
      <c r="EM183" s="228"/>
      <c r="EN183" s="228"/>
      <c r="EO183" s="228"/>
      <c r="EP183" s="228"/>
      <c r="EQ183" s="228"/>
      <c r="ER183" s="228"/>
      <c r="ES183" s="228"/>
      <c r="ET183" s="228"/>
      <c r="EU183" s="228"/>
      <c r="EV183" s="228"/>
      <c r="EW183" s="228"/>
      <c r="EX183" s="228"/>
      <c r="EY183" s="228"/>
      <c r="EZ183" s="228"/>
      <c r="FA183" s="228"/>
      <c r="FB183" s="228"/>
      <c r="FC183" s="228"/>
      <c r="FD183" s="228"/>
      <c r="FE183" s="228"/>
      <c r="FF183" s="228"/>
      <c r="FG183" s="228"/>
      <c r="FH183" s="228"/>
      <c r="FI183" s="228"/>
      <c r="FJ183" s="228"/>
      <c r="FK183" s="228"/>
      <c r="FL183" s="228"/>
      <c r="FM183" s="228"/>
      <c r="FN183" s="228"/>
      <c r="FO183" s="228"/>
      <c r="FP183" s="228"/>
      <c r="FQ183" s="228"/>
      <c r="FR183" s="228"/>
      <c r="FS183" s="228"/>
      <c r="FT183" s="228"/>
      <c r="FU183" s="228"/>
      <c r="FV183" s="228"/>
      <c r="FW183" s="228"/>
      <c r="FX183" s="228"/>
      <c r="FY183" s="228"/>
      <c r="FZ183" s="228"/>
      <c r="GA183" s="228"/>
      <c r="GB183" s="228"/>
      <c r="GC183" s="228"/>
      <c r="GD183" s="228"/>
      <c r="GE183" s="228"/>
      <c r="GF183" s="228"/>
      <c r="GG183" s="228"/>
      <c r="GH183" s="228"/>
      <c r="GI183" s="228"/>
      <c r="GJ183" s="228"/>
      <c r="GK183" s="228"/>
      <c r="GL183" s="228"/>
      <c r="GM183" s="228"/>
      <c r="GN183" s="228"/>
      <c r="GO183" s="228"/>
      <c r="GP183" s="228"/>
      <c r="GQ183" s="228"/>
      <c r="GR183" s="228"/>
      <c r="GS183" s="228"/>
      <c r="GT183" s="228"/>
      <c r="GU183" s="228"/>
      <c r="GV183" s="228"/>
      <c r="GW183" s="228"/>
      <c r="GX183" s="228"/>
      <c r="GY183" s="228"/>
      <c r="GZ183" s="228"/>
      <c r="HA183" s="228"/>
      <c r="HB183" s="228"/>
      <c r="HC183" s="228"/>
      <c r="HD183" s="228"/>
      <c r="HE183" s="228"/>
      <c r="HF183" s="228"/>
      <c r="HG183" s="228"/>
      <c r="HH183" s="228"/>
      <c r="HI183" s="228"/>
      <c r="HJ183" s="228"/>
      <c r="HK183" s="228"/>
      <c r="HL183" s="228"/>
      <c r="HM183" s="228"/>
      <c r="HN183" s="228"/>
      <c r="HO183" s="228"/>
      <c r="HP183" s="228"/>
      <c r="HQ183" s="228"/>
      <c r="HR183" s="228"/>
      <c r="HS183" s="228"/>
      <c r="HT183" s="228"/>
      <c r="HU183" s="228"/>
      <c r="HV183" s="228"/>
      <c r="HW183" s="228"/>
      <c r="HX183" s="228"/>
      <c r="HY183" s="228"/>
      <c r="HZ183" s="228"/>
      <c r="IA183" s="228"/>
      <c r="IB183" s="228"/>
      <c r="IC183" s="228"/>
      <c r="ID183" s="228"/>
      <c r="IE183" s="228"/>
      <c r="IF183" s="228"/>
      <c r="IG183" s="228"/>
      <c r="IH183" s="228"/>
      <c r="II183" s="228"/>
      <c r="IJ183" s="228"/>
      <c r="IK183" s="228"/>
      <c r="IL183" s="228"/>
      <c r="IM183" s="228"/>
      <c r="IN183" s="228"/>
      <c r="IO183" s="228"/>
      <c r="IP183" s="228"/>
      <c r="IQ183" s="228"/>
      <c r="IR183" s="228"/>
      <c r="IS183" s="228"/>
      <c r="IT183" s="228"/>
      <c r="IU183" s="228"/>
      <c r="IV183" s="228"/>
      <c r="IW183" s="228"/>
      <c r="IX183" s="228"/>
      <c r="IY183" s="228"/>
      <c r="IZ183" s="228"/>
      <c r="JA183" s="228"/>
      <c r="JB183" s="228"/>
      <c r="JC183" s="228"/>
      <c r="JD183" s="228"/>
      <c r="JE183" s="228"/>
      <c r="JF183" s="228"/>
      <c r="JG183" s="228"/>
      <c r="JH183" s="228"/>
      <c r="JI183" s="228"/>
      <c r="JJ183" s="228"/>
      <c r="JK183" s="228"/>
      <c r="JL183" s="228"/>
      <c r="JM183" s="228"/>
      <c r="JN183" s="228"/>
      <c r="JO183" s="228"/>
      <c r="JP183" s="228"/>
      <c r="JQ183" s="228"/>
      <c r="JR183" s="228"/>
      <c r="JS183" s="228"/>
      <c r="JT183" s="228"/>
      <c r="JU183" s="228"/>
      <c r="JV183" s="228"/>
      <c r="JW183" s="228"/>
      <c r="JX183" s="228"/>
      <c r="JY183" s="228"/>
      <c r="JZ183" s="228"/>
      <c r="KA183" s="228"/>
      <c r="KB183" s="228"/>
      <c r="KC183" s="228"/>
      <c r="KD183" s="228"/>
      <c r="KE183" s="228"/>
      <c r="KF183" s="228"/>
      <c r="KG183" s="228"/>
      <c r="KH183" s="228"/>
      <c r="KI183" s="228"/>
      <c r="KJ183" s="228"/>
      <c r="KK183" s="228"/>
      <c r="KL183" s="228"/>
      <c r="KM183" s="228"/>
      <c r="KN183" s="228"/>
      <c r="KO183" s="228"/>
      <c r="KP183" s="228"/>
      <c r="KQ183" s="228"/>
      <c r="KR183" s="228"/>
      <c r="KS183" s="228"/>
      <c r="KT183" s="228"/>
      <c r="KU183" s="228"/>
      <c r="KV183" s="228"/>
      <c r="KW183" s="228"/>
      <c r="KX183" s="228"/>
      <c r="KY183" s="228"/>
      <c r="KZ183" s="228"/>
      <c r="LA183" s="228"/>
      <c r="LB183" s="228"/>
      <c r="LC183" s="228"/>
      <c r="LD183" s="228"/>
      <c r="LE183" s="228"/>
      <c r="LF183" s="228"/>
      <c r="LG183" s="228"/>
      <c r="LH183" s="228"/>
      <c r="LI183" s="228"/>
      <c r="LJ183" s="228"/>
      <c r="LK183" s="228"/>
    </row>
    <row r="184">
      <c r="A184" s="49" t="s">
        <v>291</v>
      </c>
      <c r="B184" s="85">
        <v>1.01810865E10</v>
      </c>
      <c r="C184" s="86">
        <v>9.256745414E9</v>
      </c>
      <c r="D184" s="249">
        <v>9.24341086E8</v>
      </c>
      <c r="E184" s="140"/>
      <c r="F184" s="85">
        <v>4.14872087E8</v>
      </c>
      <c r="G184" s="86">
        <v>3.71557775E8</v>
      </c>
      <c r="H184" s="262">
        <v>7.86429862E8</v>
      </c>
      <c r="I184" s="263">
        <v>1.37911224E8</v>
      </c>
      <c r="J184" s="142"/>
      <c r="K184" s="83">
        <v>2850399.0</v>
      </c>
      <c r="L184" s="84">
        <v>8244315.0</v>
      </c>
      <c r="M184" s="54">
        <f>K184-L184</f>
        <v>-5393916</v>
      </c>
      <c r="N184" s="263">
        <v>1.32517308E8</v>
      </c>
      <c r="O184" s="140"/>
      <c r="P184" s="142"/>
      <c r="Q184" s="140"/>
      <c r="R184" s="229">
        <v>1.32517308E8</v>
      </c>
      <c r="S184" s="177"/>
      <c r="T184" s="264">
        <v>1.32517308E8</v>
      </c>
      <c r="U184" s="109"/>
      <c r="V184" s="265"/>
      <c r="W184" s="266"/>
      <c r="X184" s="267"/>
      <c r="Y184" s="145"/>
      <c r="AB184" s="27"/>
      <c r="AC184" s="27"/>
      <c r="AD184" s="28">
        <v>2.427756624E9</v>
      </c>
      <c r="AE184" s="28">
        <v>1.7104341878E10</v>
      </c>
      <c r="AF184" s="28"/>
      <c r="AG184" s="28">
        <v>-2.6801179E7</v>
      </c>
      <c r="AH184" s="28">
        <v>5.73125991E8</v>
      </c>
      <c r="AI184" s="27"/>
      <c r="AJ184" s="27"/>
      <c r="AK184" s="28">
        <v>1.7670116352E10</v>
      </c>
      <c r="AL184" s="28">
        <v>7.69633256E8</v>
      </c>
      <c r="AM184" s="61">
        <v>3.373631742E9</v>
      </c>
      <c r="AN184" s="28">
        <v>4.1891804664E10</v>
      </c>
      <c r="AO184" s="27"/>
      <c r="AP184" s="28">
        <v>1.5E8</v>
      </c>
      <c r="AQ184" s="28">
        <v>7.19451879E8</v>
      </c>
      <c r="AR184" s="27"/>
      <c r="AS184" s="28"/>
      <c r="AT184" s="28"/>
      <c r="AU184" s="28">
        <v>1.68855402E8</v>
      </c>
      <c r="AV184" s="61">
        <v>1.038307281E9</v>
      </c>
      <c r="AW184" s="62">
        <v>4.2930111945E10</v>
      </c>
      <c r="AX184" s="27"/>
      <c r="AY184" s="27"/>
      <c r="AZ184" s="27"/>
      <c r="BA184" s="28">
        <v>2.9964325671E10</v>
      </c>
      <c r="BB184" s="27"/>
      <c r="BC184" s="27"/>
      <c r="BD184" s="27"/>
      <c r="BE184" s="28">
        <v>1.368024911E9</v>
      </c>
      <c r="BF184" s="27"/>
      <c r="BG184" s="28"/>
      <c r="BH184" s="28"/>
      <c r="BI184" s="28">
        <v>8.8054083E7</v>
      </c>
      <c r="BJ184" s="27"/>
      <c r="BK184" s="27"/>
      <c r="BL184" s="28">
        <v>3.1420404665E10</v>
      </c>
      <c r="BM184" s="27"/>
      <c r="BN184" s="27"/>
      <c r="BO184" s="27"/>
      <c r="BP184" s="27"/>
      <c r="BQ184" s="28">
        <v>9.13639024E8</v>
      </c>
      <c r="BR184" s="27"/>
      <c r="BS184" s="61">
        <v>9.13639024E8</v>
      </c>
      <c r="BT184" s="28">
        <v>3.2334043689E10</v>
      </c>
      <c r="BU184" s="27"/>
      <c r="BV184" s="28">
        <v>6.0E8</v>
      </c>
      <c r="BW184" s="27"/>
      <c r="BX184" s="28">
        <v>4.73296891E8</v>
      </c>
      <c r="BY184" s="28">
        <v>9.504863943E9</v>
      </c>
      <c r="BZ184" s="28">
        <v>1.7907423E7</v>
      </c>
      <c r="CA184" s="27"/>
      <c r="CB184" s="27"/>
      <c r="CC184" s="61">
        <v>1.0596068257E10</v>
      </c>
      <c r="CD184" s="62">
        <v>4.2930111946E10</v>
      </c>
      <c r="CF184" s="49" t="s">
        <v>291</v>
      </c>
    </row>
    <row r="185">
      <c r="A185" s="49" t="s">
        <v>296</v>
      </c>
      <c r="B185" s="146">
        <f>B184+B169</f>
        <v>37654358717</v>
      </c>
      <c r="C185" s="146">
        <v>3.39711188137207E10</v>
      </c>
      <c r="D185" s="147">
        <v>3.683239903E9</v>
      </c>
      <c r="E185" s="146"/>
      <c r="F185" s="146">
        <v>8.64593932E8</v>
      </c>
      <c r="G185" s="146">
        <v>9.87301371E8</v>
      </c>
      <c r="H185" s="147">
        <v>1.851895303E9</v>
      </c>
      <c r="I185" s="147">
        <v>1.831344601E9</v>
      </c>
      <c r="J185" s="146"/>
      <c r="K185" s="146">
        <v>4977108.0</v>
      </c>
      <c r="L185" s="174">
        <v>1.3554186E7</v>
      </c>
      <c r="M185" s="268">
        <v>-8577078.0</v>
      </c>
      <c r="N185" s="147">
        <v>1.822767523E9</v>
      </c>
      <c r="O185" s="146"/>
      <c r="P185" s="146"/>
      <c r="Q185" s="146"/>
      <c r="R185" s="147">
        <v>1.822767523E9</v>
      </c>
      <c r="S185" s="146"/>
      <c r="T185" s="147">
        <v>1.822767523E9</v>
      </c>
      <c r="U185" s="109"/>
      <c r="V185" s="28"/>
      <c r="W185" s="27"/>
      <c r="X185" s="27"/>
      <c r="Y185" s="27"/>
      <c r="AB185" s="27"/>
      <c r="AC185" s="27"/>
      <c r="AD185" s="28">
        <v>3.912914163E9</v>
      </c>
      <c r="AE185" s="28">
        <v>2.510529666E10</v>
      </c>
      <c r="AF185" s="28"/>
      <c r="AG185" s="28">
        <v>-2.6801179E7</v>
      </c>
      <c r="AH185" s="28">
        <v>9.83125991E8</v>
      </c>
      <c r="AI185" s="27"/>
      <c r="AJ185" s="27"/>
      <c r="AK185" s="28">
        <v>1.9993715188E10</v>
      </c>
      <c r="AL185" s="28">
        <v>2.026007686E9</v>
      </c>
      <c r="AM185" s="61">
        <v>4.001921085E9</v>
      </c>
      <c r="AN185" s="28">
        <v>5.5996179594E10</v>
      </c>
      <c r="AO185" s="27"/>
      <c r="AP185" s="28">
        <v>1.5E8</v>
      </c>
      <c r="AQ185" s="28">
        <v>7.0664272E8</v>
      </c>
      <c r="AR185" s="27"/>
      <c r="AS185" s="28"/>
      <c r="AT185" s="28"/>
      <c r="AU185" s="28">
        <v>1.68855402E8</v>
      </c>
      <c r="AV185" s="61">
        <v>1.025498122E9</v>
      </c>
      <c r="AW185" s="62">
        <v>5.7021677716E10</v>
      </c>
      <c r="AX185" s="27"/>
      <c r="AY185" s="27"/>
      <c r="AZ185" s="27"/>
      <c r="BA185" s="28">
        <v>4.2464760952E10</v>
      </c>
      <c r="BB185" s="27"/>
      <c r="BC185" s="27"/>
      <c r="BD185" s="27"/>
      <c r="BE185" s="28">
        <v>1.907434337E9</v>
      </c>
      <c r="BF185" s="27"/>
      <c r="BG185" s="28"/>
      <c r="BH185" s="28"/>
      <c r="BI185" s="28">
        <v>1.72503272E8</v>
      </c>
      <c r="BJ185" s="27"/>
      <c r="BK185" s="27"/>
      <c r="BL185" s="28">
        <v>4.4544698561E10</v>
      </c>
      <c r="BM185" s="27"/>
      <c r="BN185" s="27"/>
      <c r="BO185" s="27"/>
      <c r="BP185" s="27"/>
      <c r="BQ185" s="28">
        <v>9.13639024E8</v>
      </c>
      <c r="BR185" s="27"/>
      <c r="BS185" s="61">
        <v>9.13639024E8</v>
      </c>
      <c r="BT185" s="28">
        <v>4.5458337585E10</v>
      </c>
      <c r="BU185" s="27"/>
      <c r="BV185" s="28">
        <v>6.0E8</v>
      </c>
      <c r="BW185" s="27"/>
      <c r="BX185" s="28">
        <v>1.440568766E9</v>
      </c>
      <c r="BY185" s="28">
        <v>9.504863943E9</v>
      </c>
      <c r="BZ185" s="28">
        <v>1.7907423E7</v>
      </c>
      <c r="CA185" s="27"/>
      <c r="CB185" s="27"/>
      <c r="CC185" s="61">
        <v>1.1563340132E10</v>
      </c>
      <c r="CD185" s="62">
        <v>5.7021677717E10</v>
      </c>
      <c r="CF185" s="49" t="s">
        <v>296</v>
      </c>
    </row>
    <row r="186">
      <c r="A186" s="49" t="s">
        <v>299</v>
      </c>
      <c r="B186" s="146">
        <v>6.2836551103E10</v>
      </c>
      <c r="C186" s="52">
        <v>5.5134946921E10</v>
      </c>
      <c r="D186" s="53">
        <v>7.701604182E9</v>
      </c>
      <c r="E186" s="50"/>
      <c r="F186" s="50">
        <v>1.4328426E9</v>
      </c>
      <c r="G186" s="50">
        <v>2.016911399E9</v>
      </c>
      <c r="H186" s="54">
        <v>3.449753999E9</v>
      </c>
      <c r="I186" s="53">
        <v>4.251850182E9</v>
      </c>
      <c r="J186" s="53"/>
      <c r="K186" s="50">
        <v>1.0263873E7</v>
      </c>
      <c r="L186" s="52">
        <v>1.7079628E7</v>
      </c>
      <c r="M186" s="54">
        <v>-6815755.0</v>
      </c>
      <c r="N186" s="54">
        <v>4.245034427E9</v>
      </c>
      <c r="O186" s="50"/>
      <c r="P186" s="53"/>
      <c r="Q186" s="50"/>
      <c r="R186" s="142">
        <v>4.245034427E9</v>
      </c>
      <c r="S186" s="229"/>
      <c r="T186" s="142">
        <v>4.245034427E9</v>
      </c>
      <c r="U186" s="109"/>
      <c r="V186" s="265"/>
      <c r="W186" s="266"/>
      <c r="X186" s="267"/>
      <c r="Y186" s="145"/>
      <c r="AB186" s="27"/>
      <c r="AC186" s="27"/>
      <c r="AD186" s="28">
        <v>2.098498462E9</v>
      </c>
      <c r="AE186" s="28">
        <v>3.8810722446E10</v>
      </c>
      <c r="AF186" s="28"/>
      <c r="AG186" s="28">
        <v>-2.6801179E7</v>
      </c>
      <c r="AH186" s="28">
        <v>5.73125991E8</v>
      </c>
      <c r="AI186" s="27"/>
      <c r="AJ186" s="27"/>
      <c r="AK186" s="28">
        <v>2.0556085342E10</v>
      </c>
      <c r="AL186" s="28">
        <v>1.998591972E9</v>
      </c>
      <c r="AM186" s="61">
        <v>4.069341782E9</v>
      </c>
      <c r="AN186" s="28">
        <v>6.5436564816E10</v>
      </c>
      <c r="AO186" s="27"/>
      <c r="AP186" s="28">
        <v>1.5E8</v>
      </c>
      <c r="AQ186" s="28">
        <v>6.93833561E8</v>
      </c>
      <c r="AR186" s="27"/>
      <c r="AS186" s="28"/>
      <c r="AT186" s="28"/>
      <c r="AU186" s="28">
        <v>1.68855402E8</v>
      </c>
      <c r="AV186" s="61">
        <v>1.012688963E9</v>
      </c>
      <c r="AW186" s="62">
        <v>6.6449253779E10</v>
      </c>
      <c r="AX186" s="27"/>
      <c r="AY186" s="27"/>
      <c r="AZ186" s="27"/>
      <c r="BA186" s="28">
        <v>5.0245271873E10</v>
      </c>
      <c r="BB186" s="27"/>
      <c r="BC186" s="27"/>
      <c r="BD186" s="27"/>
      <c r="BE186" s="28">
        <v>2.202174517E9</v>
      </c>
      <c r="BF186" s="27"/>
      <c r="BG186" s="28"/>
      <c r="BH186" s="28"/>
      <c r="BI186" s="28">
        <v>3.92416838E8</v>
      </c>
      <c r="BJ186" s="27"/>
      <c r="BK186" s="27"/>
      <c r="BL186" s="28">
        <v>5.2839863227E10</v>
      </c>
      <c r="BM186" s="27"/>
      <c r="BN186" s="27"/>
      <c r="BO186" s="27"/>
      <c r="BP186" s="27"/>
      <c r="BQ186" s="28">
        <v>9.13639024E8</v>
      </c>
      <c r="BR186" s="27"/>
      <c r="BS186" s="61">
        <v>9.13639024E8</v>
      </c>
      <c r="BT186" s="28">
        <v>5.3753502251E10</v>
      </c>
      <c r="BU186" s="27"/>
      <c r="BV186" s="28">
        <v>6.0E8</v>
      </c>
      <c r="BW186" s="27"/>
      <c r="BX186" s="28">
        <v>2.572980163E9</v>
      </c>
      <c r="BY186" s="28">
        <v>9.504863943E9</v>
      </c>
      <c r="BZ186" s="28">
        <v>1.7907423E7</v>
      </c>
      <c r="CA186" s="27"/>
      <c r="CB186" s="27"/>
      <c r="CC186" s="61">
        <v>1.2695751529E10</v>
      </c>
      <c r="CD186" s="62">
        <v>6.644925378E10</v>
      </c>
      <c r="CF186" s="49" t="s">
        <v>299</v>
      </c>
    </row>
    <row r="187">
      <c r="A187" s="49" t="s">
        <v>302</v>
      </c>
      <c r="B187" s="146">
        <f t="shared" ref="B187:B188" si="29">B186+B171</f>
        <v>77424367926</v>
      </c>
      <c r="C187" s="250">
        <v>6.6979800484E10</v>
      </c>
      <c r="D187" s="249">
        <v>1.0444566271E10</v>
      </c>
      <c r="E187" s="85"/>
      <c r="F187" s="269">
        <v>2.107788254E9</v>
      </c>
      <c r="G187" s="250">
        <v>2.326241506E9</v>
      </c>
      <c r="H187" s="262">
        <v>4.43402976E9</v>
      </c>
      <c r="I187" s="249">
        <v>6.010536511E9</v>
      </c>
      <c r="J187" s="85"/>
      <c r="K187" s="269">
        <v>1.2564717E7</v>
      </c>
      <c r="L187" s="250">
        <v>1.9190291E7</v>
      </c>
      <c r="M187" s="268">
        <f t="shared" ref="M187:M189" si="30">K187-L187</f>
        <v>-6625574</v>
      </c>
      <c r="N187" s="249">
        <v>6.003910937E9</v>
      </c>
      <c r="O187" s="85"/>
      <c r="P187" s="269" t="s">
        <v>295</v>
      </c>
      <c r="Q187" s="269" t="s">
        <v>295</v>
      </c>
      <c r="R187" s="251">
        <v>6.003910937E9</v>
      </c>
      <c r="S187" s="269" t="s">
        <v>295</v>
      </c>
      <c r="T187" s="270">
        <v>6.003910937E9</v>
      </c>
      <c r="U187" s="195"/>
      <c r="V187" s="105"/>
      <c r="W187" s="104"/>
      <c r="X187" s="58"/>
      <c r="Y187" s="195"/>
      <c r="AB187" s="27"/>
      <c r="AC187" s="27"/>
      <c r="AD187" s="28">
        <v>6.674155618E9</v>
      </c>
      <c r="AE187" s="28">
        <v>4.4959491158E10</v>
      </c>
      <c r="AF187" s="28"/>
      <c r="AG187" s="28">
        <v>-2.6801179E7</v>
      </c>
      <c r="AH187" s="28">
        <v>1.955125991E9</v>
      </c>
      <c r="AI187" s="27"/>
      <c r="AJ187" s="27"/>
      <c r="AK187" s="28">
        <v>9.393669077E9</v>
      </c>
      <c r="AL187" s="28">
        <v>1.091501042E9</v>
      </c>
      <c r="AM187" s="61">
        <v>3.393148115E9</v>
      </c>
      <c r="AN187" s="28">
        <v>6.7440289822E10</v>
      </c>
      <c r="AO187" s="27"/>
      <c r="AP187" s="28">
        <v>1.5E8</v>
      </c>
      <c r="AQ187" s="28">
        <v>6.81024403E8</v>
      </c>
      <c r="AR187" s="27"/>
      <c r="AS187" s="28"/>
      <c r="AT187" s="28"/>
      <c r="AU187" s="28">
        <v>1.68855402E8</v>
      </c>
      <c r="AV187" s="61">
        <v>9.99879805E8</v>
      </c>
      <c r="AW187" s="62">
        <v>6.8440169627E10</v>
      </c>
      <c r="AX187" s="27"/>
      <c r="AY187" s="27"/>
      <c r="AZ187" s="27"/>
      <c r="BA187" s="28">
        <v>4.9061990649E10</v>
      </c>
      <c r="BB187" s="27"/>
      <c r="BC187" s="27"/>
      <c r="BD187" s="27"/>
      <c r="BE187" s="28">
        <v>3.262196864E9</v>
      </c>
      <c r="BF187" s="27"/>
      <c r="BG187" s="28"/>
      <c r="BH187" s="28"/>
      <c r="BI187" s="28">
        <v>2.76874108E8</v>
      </c>
      <c r="BJ187" s="27"/>
      <c r="BK187" s="27"/>
      <c r="BL187" s="28">
        <v>5.2601061621E10</v>
      </c>
      <c r="BM187" s="27"/>
      <c r="BN187" s="27"/>
      <c r="BO187" s="27"/>
      <c r="BP187" s="27"/>
      <c r="BQ187" s="28">
        <v>9.13639024E8</v>
      </c>
      <c r="BR187" s="27"/>
      <c r="BS187" s="61">
        <v>9.13639024E8</v>
      </c>
      <c r="BT187" s="28">
        <v>5.3514700645E10</v>
      </c>
      <c r="BU187" s="27"/>
      <c r="BV187" s="28">
        <v>6.0E8</v>
      </c>
      <c r="BW187" s="27"/>
      <c r="BX187" s="28">
        <v>4.802697617E9</v>
      </c>
      <c r="BY187" s="28">
        <v>9.504863943E9</v>
      </c>
      <c r="BZ187" s="28">
        <v>1.7907423E7</v>
      </c>
      <c r="CA187" s="27"/>
      <c r="CB187" s="27"/>
      <c r="CC187" s="61">
        <v>1.4925468983E10</v>
      </c>
      <c r="CD187" s="62">
        <v>6.8440169628E10</v>
      </c>
      <c r="CF187" s="49" t="s">
        <v>302</v>
      </c>
    </row>
    <row r="188">
      <c r="A188" s="49" t="s">
        <v>304</v>
      </c>
      <c r="B188" s="146">
        <f t="shared" si="29"/>
        <v>96012305349</v>
      </c>
      <c r="C188" s="250">
        <v>8.4044496828E10</v>
      </c>
      <c r="D188" s="249">
        <v>1.1967808521E10</v>
      </c>
      <c r="E188" s="85"/>
      <c r="F188" s="269">
        <v>2.862438935E9</v>
      </c>
      <c r="G188" s="250">
        <v>2.543283995E9</v>
      </c>
      <c r="H188" s="262">
        <v>5.40572293E9</v>
      </c>
      <c r="I188" s="249">
        <v>6.562085591E9</v>
      </c>
      <c r="J188" s="85"/>
      <c r="K188" s="269">
        <v>1.550797E7</v>
      </c>
      <c r="L188" s="250">
        <v>3.21351836E8</v>
      </c>
      <c r="M188" s="268">
        <f t="shared" si="30"/>
        <v>-305843866</v>
      </c>
      <c r="N188" s="249">
        <v>6.256241726E9</v>
      </c>
      <c r="O188" s="85"/>
      <c r="P188" s="269" t="s">
        <v>295</v>
      </c>
      <c r="Q188" s="269" t="s">
        <v>295</v>
      </c>
      <c r="R188" s="251">
        <v>6.256241726E9</v>
      </c>
      <c r="S188" s="269" t="s">
        <v>295</v>
      </c>
      <c r="T188" s="271">
        <v>6.256241726E9</v>
      </c>
      <c r="U188" s="109"/>
      <c r="V188" s="105"/>
      <c r="W188" s="104"/>
      <c r="X188" s="109"/>
      <c r="Y188" s="109"/>
      <c r="AB188" s="272"/>
      <c r="AC188" s="272"/>
      <c r="AD188" s="273">
        <v>5.413288696E9</v>
      </c>
      <c r="AE188" s="273">
        <v>4.7570911863E10</v>
      </c>
      <c r="AF188" s="273"/>
      <c r="AG188" s="273">
        <v>-5386132.0</v>
      </c>
      <c r="AH188" s="273">
        <v>2.526125991E9</v>
      </c>
      <c r="AI188" s="272"/>
      <c r="AJ188" s="272"/>
      <c r="AK188" s="273">
        <v>1.6559288732E10</v>
      </c>
      <c r="AL188" s="273">
        <v>1.566497529E9</v>
      </c>
      <c r="AM188" s="274">
        <v>2.633694002E9</v>
      </c>
      <c r="AN188" s="273">
        <v>7.6264420681E10</v>
      </c>
      <c r="AO188" s="273"/>
      <c r="AP188" s="273">
        <v>1.5E8</v>
      </c>
      <c r="AQ188" s="273">
        <v>6.66513069E8</v>
      </c>
      <c r="AR188" s="273"/>
      <c r="AS188" s="273"/>
      <c r="AT188" s="273"/>
      <c r="AU188" s="273">
        <v>2.20899545E8</v>
      </c>
      <c r="AV188" s="274">
        <v>1.037412614E9</v>
      </c>
      <c r="AW188" s="240">
        <v>7.7301833295E10</v>
      </c>
      <c r="AX188" s="238"/>
      <c r="AY188" s="272"/>
      <c r="AZ188" s="272"/>
      <c r="BA188" s="273">
        <v>5.7470199672E10</v>
      </c>
      <c r="BB188" s="273"/>
      <c r="BC188" s="273"/>
      <c r="BD188" s="273"/>
      <c r="BE188" s="273">
        <v>1.903341375E9</v>
      </c>
      <c r="BF188" s="273"/>
      <c r="BG188" s="273"/>
      <c r="BH188" s="273"/>
      <c r="BI188" s="273">
        <v>2.03102106E8</v>
      </c>
      <c r="BJ188" s="272"/>
      <c r="BK188" s="236"/>
      <c r="BL188" s="273">
        <v>5.9576643154E10</v>
      </c>
      <c r="BM188" s="273"/>
      <c r="BN188" s="275"/>
      <c r="BO188" s="237"/>
      <c r="BP188" s="237"/>
      <c r="BQ188" s="28">
        <v>9.72753261E8</v>
      </c>
      <c r="BR188" s="273"/>
      <c r="BS188" s="274">
        <v>9.72753261E8</v>
      </c>
      <c r="BT188" s="273">
        <v>6.0549396415E10</v>
      </c>
      <c r="BU188" s="273"/>
      <c r="BV188" s="273">
        <v>6.0E8</v>
      </c>
      <c r="BW188" s="273"/>
      <c r="BX188" s="273">
        <v>6.616120957E9</v>
      </c>
      <c r="BY188" s="273">
        <v>9.503853974E9</v>
      </c>
      <c r="BZ188" s="273">
        <v>3.2461949E7</v>
      </c>
      <c r="CA188" s="237"/>
      <c r="CB188" s="237"/>
      <c r="CC188" s="237">
        <v>1.675243688E10</v>
      </c>
      <c r="CD188" s="62">
        <v>7.7301833295E10</v>
      </c>
      <c r="CF188" s="49" t="s">
        <v>304</v>
      </c>
    </row>
    <row r="189">
      <c r="A189" s="49" t="s">
        <v>313</v>
      </c>
      <c r="B189" s="146">
        <v>1.30097239027404E11</v>
      </c>
      <c r="C189" s="174">
        <v>1.15318817245612E11</v>
      </c>
      <c r="D189" s="147">
        <f>B189-C189</f>
        <v>14778421782</v>
      </c>
      <c r="E189" s="146"/>
      <c r="F189" s="146">
        <v>3.60510656756E9</v>
      </c>
      <c r="G189" s="250">
        <v>3.066273695E9</v>
      </c>
      <c r="H189" s="268">
        <f>F189+G189</f>
        <v>6671380263</v>
      </c>
      <c r="I189" s="147">
        <f>D189-H189</f>
        <v>8107041519</v>
      </c>
      <c r="J189" s="146"/>
      <c r="K189" s="269">
        <v>1.7310679E7</v>
      </c>
      <c r="L189" s="250">
        <v>5.5920077105817E8</v>
      </c>
      <c r="M189" s="268">
        <f t="shared" si="30"/>
        <v>-541890092.1</v>
      </c>
      <c r="N189" s="147">
        <f>I189+M189</f>
        <v>7565151427</v>
      </c>
      <c r="O189" s="146"/>
      <c r="P189" s="269" t="s">
        <v>295</v>
      </c>
      <c r="Q189" s="269" t="s">
        <v>295</v>
      </c>
      <c r="R189" s="147">
        <v>7.565151427173838E9</v>
      </c>
      <c r="S189" s="146"/>
      <c r="T189" s="147">
        <v>7.565151427173838E9</v>
      </c>
      <c r="U189" s="109"/>
      <c r="V189" s="28"/>
      <c r="W189" s="27"/>
      <c r="X189" s="27"/>
      <c r="Y189" s="27"/>
      <c r="AB189" s="27"/>
      <c r="AC189" s="27"/>
      <c r="AD189" s="28">
        <v>8.874155821E9</v>
      </c>
      <c r="AE189" s="28">
        <v>4.2423592174E10</v>
      </c>
      <c r="AF189" s="28"/>
      <c r="AG189" s="28">
        <v>-5386132.0</v>
      </c>
      <c r="AH189" s="28">
        <v>2.354125991E9</v>
      </c>
      <c r="AI189" s="27"/>
      <c r="AJ189" s="27"/>
      <c r="AK189" s="28">
        <v>1.3002441821E10</v>
      </c>
      <c r="AL189" s="28">
        <v>1.409152699E9</v>
      </c>
      <c r="AM189" s="61">
        <v>1.648117802E9</v>
      </c>
      <c r="AN189" s="28">
        <v>6.9706200176E10</v>
      </c>
      <c r="AO189" s="27"/>
      <c r="AP189" s="28">
        <v>1.5E8</v>
      </c>
      <c r="AQ189" s="28">
        <v>6.5370391E8</v>
      </c>
      <c r="AR189" s="27"/>
      <c r="AS189" s="28"/>
      <c r="AT189" s="28"/>
      <c r="AU189" s="28">
        <v>2.20899545E8</v>
      </c>
      <c r="AV189" s="61">
        <v>1.024603455E9</v>
      </c>
      <c r="AW189" s="62">
        <v>7.0730803631E10</v>
      </c>
      <c r="AX189" s="27"/>
      <c r="AY189" s="27"/>
      <c r="AZ189" s="27"/>
      <c r="BA189" s="28">
        <v>5.0860239257E10</v>
      </c>
      <c r="BB189" s="27"/>
      <c r="BC189" s="27"/>
      <c r="BD189" s="27"/>
      <c r="BE189" s="28">
        <v>1.455836921E9</v>
      </c>
      <c r="BF189" s="27"/>
      <c r="BG189" s="28"/>
      <c r="BH189" s="28"/>
      <c r="BI189" s="28">
        <v>1.26318997E8</v>
      </c>
      <c r="BJ189" s="27"/>
      <c r="BK189" s="27"/>
      <c r="BL189" s="28">
        <v>5.2442395176E10</v>
      </c>
      <c r="BM189" s="27"/>
      <c r="BN189" s="27"/>
      <c r="BO189" s="27"/>
      <c r="BP189" s="27"/>
      <c r="BQ189" s="28">
        <v>9.72753261E8</v>
      </c>
      <c r="BR189" s="27"/>
      <c r="BS189" s="61">
        <v>9.72753261E8</v>
      </c>
      <c r="BT189" s="28">
        <v>5.3415148437E10</v>
      </c>
      <c r="BU189" s="27"/>
      <c r="BV189" s="28">
        <v>6.0E8</v>
      </c>
      <c r="BW189" s="27"/>
      <c r="BX189" s="28">
        <v>7.179339271E9</v>
      </c>
      <c r="BY189" s="28">
        <v>9.503853974E9</v>
      </c>
      <c r="BZ189" s="28">
        <v>3.2461949E7</v>
      </c>
      <c r="CA189" s="27"/>
      <c r="CB189" s="27"/>
      <c r="CC189" s="61">
        <v>1.7315655194E10</v>
      </c>
      <c r="CD189" s="62">
        <v>7.0730803631E10</v>
      </c>
      <c r="CF189" s="49" t="s">
        <v>313</v>
      </c>
    </row>
    <row r="190">
      <c r="A190" s="49" t="s">
        <v>316</v>
      </c>
      <c r="B190" s="146">
        <v>1.67115665567E11</v>
      </c>
      <c r="C190" s="174">
        <v>1.50008123331E11</v>
      </c>
      <c r="D190" s="147">
        <v>1.7107542236E10</v>
      </c>
      <c r="E190" s="146"/>
      <c r="F190" s="146">
        <v>4.262511603E9</v>
      </c>
      <c r="G190" s="174">
        <v>3.316692494E9</v>
      </c>
      <c r="H190" s="268">
        <v>7.579204097E9</v>
      </c>
      <c r="I190" s="147">
        <v>9.52833814E9</v>
      </c>
      <c r="J190" s="146"/>
      <c r="K190" s="146">
        <v>1.9152099E7</v>
      </c>
      <c r="L190" s="174">
        <v>5.61368462E8</v>
      </c>
      <c r="M190" s="268">
        <v>-5.42216363E8</v>
      </c>
      <c r="N190" s="147">
        <v>8.986121776E9</v>
      </c>
      <c r="O190" s="146"/>
      <c r="P190" s="146"/>
      <c r="Q190" s="146"/>
      <c r="R190" s="146">
        <v>8.986121776E9</v>
      </c>
      <c r="S190" s="146"/>
      <c r="T190" s="147">
        <v>8.986121776E9</v>
      </c>
      <c r="U190" s="109"/>
      <c r="V190" s="28"/>
      <c r="W190" s="27"/>
      <c r="X190" s="27"/>
      <c r="Y190" s="27"/>
      <c r="AB190" s="27"/>
      <c r="AC190" s="27"/>
      <c r="AD190" s="28">
        <v>2.929318128E9</v>
      </c>
      <c r="AE190" s="28">
        <v>2.8943578664E10</v>
      </c>
      <c r="AF190" s="28"/>
      <c r="AG190" s="28">
        <v>-5386132.0</v>
      </c>
      <c r="AH190" s="28">
        <v>-1.5975864008E10</v>
      </c>
      <c r="AI190" s="27"/>
      <c r="AJ190" s="27"/>
      <c r="AK190" s="28">
        <v>1.6681421719E10</v>
      </c>
      <c r="AL190" s="28">
        <v>2.0355031852E10</v>
      </c>
      <c r="AM190" s="61">
        <v>2.409396695E9</v>
      </c>
      <c r="AN190" s="28">
        <v>5.528190366E10</v>
      </c>
      <c r="AO190" s="27"/>
      <c r="AP190" s="28">
        <v>1.5E8</v>
      </c>
      <c r="AQ190" s="28">
        <v>6.40894751E8</v>
      </c>
      <c r="AR190" s="27"/>
      <c r="AS190" s="28"/>
      <c r="AT190" s="28"/>
      <c r="AU190" s="28">
        <v>2.20899545E8</v>
      </c>
      <c r="AV190" s="61">
        <v>1.011794296E9</v>
      </c>
      <c r="AW190" s="62">
        <v>5.6293697956E10</v>
      </c>
      <c r="AX190" s="27"/>
      <c r="AY190" s="27"/>
      <c r="AZ190" s="27"/>
      <c r="BA190" s="28">
        <v>3.5887303937E10</v>
      </c>
      <c r="BB190" s="27"/>
      <c r="BC190" s="27"/>
      <c r="BD190" s="27"/>
      <c r="BE190" s="28">
        <v>1.584689257E9</v>
      </c>
      <c r="BF190" s="27"/>
      <c r="BG190" s="28"/>
      <c r="BH190" s="28"/>
      <c r="BI190" s="28">
        <v>9.0855947E7</v>
      </c>
      <c r="BJ190" s="27"/>
      <c r="BK190" s="27"/>
      <c r="BL190" s="28">
        <v>3.7562849141E10</v>
      </c>
      <c r="BM190" s="27"/>
      <c r="BN190" s="27"/>
      <c r="BO190" s="27"/>
      <c r="BP190" s="27"/>
      <c r="BQ190" s="28">
        <v>9.72753261E8</v>
      </c>
      <c r="BR190" s="27"/>
      <c r="BS190" s="61">
        <v>9.72753261E8</v>
      </c>
      <c r="BT190" s="28">
        <v>3.8535602402E10</v>
      </c>
      <c r="BU190" s="27"/>
      <c r="BV190" s="28">
        <v>6.0E8</v>
      </c>
      <c r="BW190" s="27"/>
      <c r="BX190" s="28">
        <v>7.621772846E9</v>
      </c>
      <c r="BY190" s="28">
        <v>9.503853974E9</v>
      </c>
      <c r="BZ190" s="28">
        <v>3.2461949E7</v>
      </c>
      <c r="CA190" s="27"/>
      <c r="CB190" s="27"/>
      <c r="CC190" s="61">
        <v>1.7758088769E10</v>
      </c>
      <c r="CD190" s="62">
        <v>5.6293697956E10</v>
      </c>
      <c r="CF190" s="49" t="s">
        <v>316</v>
      </c>
    </row>
    <row r="191">
      <c r="A191" s="49" t="s">
        <v>318</v>
      </c>
      <c r="B191" s="276">
        <v>1.97895521267E11</v>
      </c>
      <c r="C191" s="146">
        <v>1.81258015017E11</v>
      </c>
      <c r="D191" s="147">
        <v>1.6637506251E10</v>
      </c>
      <c r="E191" s="146"/>
      <c r="F191" s="146"/>
      <c r="G191" s="146"/>
      <c r="H191" s="146"/>
      <c r="I191" s="147"/>
      <c r="J191" s="146"/>
      <c r="K191" s="146"/>
      <c r="L191" s="146"/>
      <c r="M191" s="146"/>
      <c r="N191" s="147"/>
      <c r="O191" s="146"/>
      <c r="P191" s="146"/>
      <c r="Q191" s="146"/>
      <c r="R191" s="268"/>
      <c r="S191" s="146"/>
      <c r="T191" s="147"/>
      <c r="U191" s="109"/>
      <c r="V191" s="28"/>
      <c r="W191" s="27"/>
      <c r="X191" s="27"/>
      <c r="Y191" s="27"/>
      <c r="AB191" s="27"/>
      <c r="AC191" s="27"/>
      <c r="AD191" s="28">
        <v>3.210126981E9</v>
      </c>
      <c r="AE191" s="28">
        <v>5.48492079E10</v>
      </c>
      <c r="AF191" s="28"/>
      <c r="AG191" s="28">
        <v>-5386132.0</v>
      </c>
      <c r="AH191" s="28">
        <v>-2.8323664008E10</v>
      </c>
      <c r="AI191" s="27"/>
      <c r="AJ191" s="27"/>
      <c r="AK191" s="28">
        <v>1.4863354788E10</v>
      </c>
      <c r="AL191" s="28">
        <v>3.3746046763E10</v>
      </c>
      <c r="AM191" s="61">
        <v>4.403579289E9</v>
      </c>
      <c r="AN191" s="62">
        <v>8.2743265581E10</v>
      </c>
      <c r="AO191" s="27"/>
      <c r="AP191" s="28">
        <v>1.5E8</v>
      </c>
      <c r="AQ191" s="28">
        <v>6.28137676E8</v>
      </c>
      <c r="AR191" s="27"/>
      <c r="AS191" s="28"/>
      <c r="AT191" s="28"/>
      <c r="AU191" s="28">
        <v>2.20899545E8</v>
      </c>
      <c r="AV191" s="61">
        <v>9.99037221E8</v>
      </c>
      <c r="AW191" s="62">
        <v>8.3742302802E10</v>
      </c>
      <c r="AX191" s="27"/>
      <c r="AY191" s="27"/>
      <c r="AZ191" s="27"/>
      <c r="BA191" s="28">
        <v>6.1155364459E10</v>
      </c>
      <c r="BB191" s="27"/>
      <c r="BC191" s="27"/>
      <c r="BD191" s="27"/>
      <c r="BE191" s="28">
        <v>3.676501452E9</v>
      </c>
      <c r="BF191" s="27"/>
      <c r="BG191" s="28"/>
      <c r="BH191" s="28"/>
      <c r="BI191" s="28">
        <v>5.6537991E7</v>
      </c>
      <c r="BJ191" s="27"/>
      <c r="BK191" s="27"/>
      <c r="BL191" s="28">
        <v>6.4888403902E10</v>
      </c>
      <c r="BM191" s="28">
        <v>9.72753261E8</v>
      </c>
      <c r="BN191" s="27"/>
      <c r="BO191" s="27"/>
      <c r="BP191" s="27"/>
      <c r="BQ191" s="28">
        <v>9.72753261E8</v>
      </c>
      <c r="BR191" s="27"/>
      <c r="BS191" s="61">
        <v>9.72753261E8</v>
      </c>
      <c r="BT191" s="28">
        <v>6.5861157163E10</v>
      </c>
      <c r="BU191" s="27"/>
      <c r="BV191" s="28">
        <v>6.0E8</v>
      </c>
      <c r="BW191" s="27"/>
      <c r="BX191" s="28">
        <v>7.744829715E9</v>
      </c>
      <c r="BY191" s="28">
        <v>9.503853974E9</v>
      </c>
      <c r="BZ191" s="28">
        <v>3.2461949E7</v>
      </c>
      <c r="CA191" s="27"/>
      <c r="CB191" s="27"/>
      <c r="CC191" s="61">
        <v>1.7881145638E10</v>
      </c>
      <c r="CD191" s="62">
        <v>8.3742302802E10</v>
      </c>
      <c r="CF191" s="49" t="s">
        <v>318</v>
      </c>
    </row>
    <row r="192">
      <c r="A192" s="49" t="s">
        <v>3</v>
      </c>
      <c r="B192" s="146">
        <v>2.44818752226E11</v>
      </c>
      <c r="C192" s="174">
        <v>2.26847537277E11</v>
      </c>
      <c r="D192" s="147">
        <v>1.7971214949E10</v>
      </c>
      <c r="E192" s="146"/>
      <c r="F192" s="146">
        <v>5.430116622E9</v>
      </c>
      <c r="G192" s="174">
        <v>3.815824584E9</v>
      </c>
      <c r="H192" s="174">
        <v>9.245941206E9</v>
      </c>
      <c r="I192" s="147">
        <v>8.725273744E9</v>
      </c>
      <c r="J192" s="146"/>
      <c r="K192" s="146">
        <v>5.72834973E8</v>
      </c>
      <c r="L192" s="146">
        <v>5.64846271E8</v>
      </c>
      <c r="M192" s="146">
        <v>7988702.0</v>
      </c>
      <c r="N192" s="147">
        <v>8.733262446E9</v>
      </c>
      <c r="O192" s="146"/>
      <c r="P192" s="146"/>
      <c r="Q192" s="146"/>
      <c r="R192" s="268">
        <v>8.733262446E9</v>
      </c>
      <c r="S192" s="146"/>
      <c r="T192" s="147">
        <v>8.733262446E9</v>
      </c>
      <c r="U192" s="109"/>
      <c r="V192" s="28"/>
      <c r="W192" s="27"/>
      <c r="X192" s="27"/>
      <c r="Y192" s="27"/>
      <c r="AB192" s="27"/>
      <c r="AC192" s="27"/>
      <c r="AD192" s="28">
        <v>1.604190961E9</v>
      </c>
      <c r="AE192" s="28">
        <v>6.8623272693E10</v>
      </c>
      <c r="AF192" s="28"/>
      <c r="AG192" s="28">
        <v>-5386132.0</v>
      </c>
      <c r="AH192" s="28">
        <v>-3.5765976971E10</v>
      </c>
      <c r="AI192" s="27"/>
      <c r="AJ192" s="27"/>
      <c r="AK192" s="28">
        <v>1.8191352684E10</v>
      </c>
      <c r="AL192" s="28">
        <v>1.4349747526E10</v>
      </c>
      <c r="AM192" s="61">
        <v>4.334594165E9</v>
      </c>
      <c r="AN192" s="62">
        <v>7.1331794927E10</v>
      </c>
      <c r="AO192" s="27"/>
      <c r="AP192" s="28">
        <v>1.5E8</v>
      </c>
      <c r="AQ192" s="28">
        <v>6.15380601E8</v>
      </c>
      <c r="AR192" s="27"/>
      <c r="AS192" s="28"/>
      <c r="AT192" s="28"/>
      <c r="AU192" s="28">
        <v>2.20899545E8</v>
      </c>
      <c r="AV192" s="63">
        <v>9.86280146E8</v>
      </c>
      <c r="AW192" s="62">
        <v>7.2318075072E10</v>
      </c>
      <c r="AX192" s="27"/>
      <c r="AY192" s="27"/>
      <c r="AZ192" s="27"/>
      <c r="BA192" s="28">
        <v>5.0172398651E10</v>
      </c>
      <c r="BB192" s="27"/>
      <c r="BC192" s="27"/>
      <c r="BD192" s="27"/>
      <c r="BE192" s="28">
        <v>3.157478015E9</v>
      </c>
      <c r="BF192" s="27"/>
      <c r="BG192" s="28"/>
      <c r="BH192" s="28"/>
      <c r="BI192" s="28">
        <v>6.1077799E8</v>
      </c>
      <c r="BJ192" s="27"/>
      <c r="BK192" s="27"/>
      <c r="BL192" s="28">
        <v>5.3940654657E10</v>
      </c>
      <c r="BM192" s="28">
        <v>9.59007259E8</v>
      </c>
      <c r="BN192" s="27"/>
      <c r="BO192" s="27"/>
      <c r="BP192" s="27"/>
      <c r="BQ192" s="28">
        <v>9.59007259E8</v>
      </c>
      <c r="BR192" s="27"/>
      <c r="BS192" s="61">
        <v>9.59007259E8</v>
      </c>
      <c r="BT192" s="28">
        <v>5.4899661916E10</v>
      </c>
      <c r="BU192" s="27"/>
      <c r="BV192" s="28">
        <v>6.0E8</v>
      </c>
      <c r="BW192" s="27"/>
      <c r="BX192" s="28">
        <v>7.282097233E9</v>
      </c>
      <c r="BY192" s="28">
        <v>9.503853974E9</v>
      </c>
      <c r="BZ192" s="28">
        <v>3.2461949E7</v>
      </c>
      <c r="CA192" s="27"/>
      <c r="CB192" s="27"/>
      <c r="CC192" s="61">
        <v>1.7418413157E10</v>
      </c>
      <c r="CD192" s="62">
        <v>7.2318075072E10</v>
      </c>
      <c r="CF192" s="49" t="s">
        <v>3</v>
      </c>
    </row>
    <row r="193">
      <c r="A193" s="49" t="s">
        <v>322</v>
      </c>
      <c r="B193" s="146"/>
      <c r="C193" s="146"/>
      <c r="D193" s="146"/>
      <c r="E193" s="146"/>
      <c r="F193" s="146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09"/>
      <c r="V193" s="28"/>
      <c r="W193" s="27"/>
      <c r="X193" s="27"/>
      <c r="Y193" s="27"/>
      <c r="AB193" s="27"/>
      <c r="AC193" s="27"/>
      <c r="AD193" s="28">
        <v>6.219483575E9</v>
      </c>
      <c r="AE193" s="28">
        <v>4.6013443645E10</v>
      </c>
      <c r="AF193" s="28"/>
      <c r="AG193" s="28">
        <v>-5386132.0</v>
      </c>
      <c r="AH193" s="28">
        <v>5.89138791E8</v>
      </c>
      <c r="AI193" s="27"/>
      <c r="AJ193" s="27"/>
      <c r="AK193" s="28">
        <v>1.6222391196E10</v>
      </c>
      <c r="AL193" s="28">
        <v>2.814402549E9</v>
      </c>
      <c r="AM193" s="61">
        <v>4.239210805E9</v>
      </c>
      <c r="AN193" s="62">
        <v>7.6092684429E10</v>
      </c>
      <c r="AO193" s="27"/>
      <c r="AP193" s="28">
        <v>1.5E8</v>
      </c>
      <c r="AQ193" s="28">
        <v>6.02623525E8</v>
      </c>
      <c r="AR193" s="27"/>
      <c r="AS193" s="28"/>
      <c r="AT193" s="28"/>
      <c r="AU193" s="28">
        <v>2.20899545E8</v>
      </c>
      <c r="AV193" s="63">
        <v>9.7352307E8</v>
      </c>
      <c r="AW193" s="62">
        <v>7.7066207499E10</v>
      </c>
      <c r="AX193" s="27"/>
      <c r="AY193" s="27"/>
      <c r="AZ193" s="27"/>
      <c r="BA193" s="28">
        <v>4.769448359E10</v>
      </c>
      <c r="BB193" s="27"/>
      <c r="BC193" s="27"/>
      <c r="BD193" s="27"/>
      <c r="BE193" s="28">
        <v>3.015833976E9</v>
      </c>
      <c r="BF193" s="27"/>
      <c r="BG193" s="28"/>
      <c r="BH193" s="28"/>
      <c r="BI193" s="28">
        <v>8.689052948E9</v>
      </c>
      <c r="BJ193" s="27"/>
      <c r="BK193" s="27"/>
      <c r="BL193" s="28">
        <v>5.9399370514E10</v>
      </c>
      <c r="BM193" s="27"/>
      <c r="BN193" s="27"/>
      <c r="BO193" s="27"/>
      <c r="BP193" s="27"/>
      <c r="BQ193" s="28">
        <v>9.4663877E8</v>
      </c>
      <c r="BR193" s="27"/>
      <c r="BS193" s="61">
        <v>9.4663877E8</v>
      </c>
      <c r="BT193" s="28">
        <v>6.0346009284E10</v>
      </c>
      <c r="BU193" s="27"/>
      <c r="BV193" s="28">
        <v>6.0E8</v>
      </c>
      <c r="BW193" s="27"/>
      <c r="BX193" s="28">
        <v>9.503853974E9</v>
      </c>
      <c r="BY193" s="28">
        <v>6.583882291E9</v>
      </c>
      <c r="BZ193" s="28">
        <v>3.2461949E7</v>
      </c>
      <c r="CA193" s="27"/>
      <c r="CB193" s="27"/>
      <c r="CC193" s="61">
        <v>1.6720198215E10</v>
      </c>
      <c r="CD193" s="62">
        <v>7.7066207499E10</v>
      </c>
      <c r="CF193" s="49" t="s">
        <v>322</v>
      </c>
    </row>
    <row r="194">
      <c r="A194" s="49" t="s">
        <v>323</v>
      </c>
      <c r="B194" s="146"/>
      <c r="C194" s="146"/>
      <c r="D194" s="146"/>
      <c r="E194" s="146"/>
      <c r="F194" s="146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09"/>
      <c r="V194" s="28"/>
      <c r="W194" s="27"/>
      <c r="X194" s="27"/>
      <c r="Y194" s="27"/>
      <c r="AB194" s="27"/>
      <c r="AC194" s="27"/>
      <c r="AD194" s="28">
        <v>3.483118301E9</v>
      </c>
      <c r="AE194" s="28">
        <v>3.6054396885E10</v>
      </c>
      <c r="AF194" s="28"/>
      <c r="AG194" s="28">
        <v>-5386132.0</v>
      </c>
      <c r="AH194" s="28">
        <v>5.87142791E8</v>
      </c>
      <c r="AI194" s="27"/>
      <c r="AJ194" s="27"/>
      <c r="AK194" s="28">
        <v>1.879317132E10</v>
      </c>
      <c r="AL194" s="28">
        <v>1.93979812E9</v>
      </c>
      <c r="AM194" s="61">
        <v>3.615517767E9</v>
      </c>
      <c r="AN194" s="62">
        <v>6.4467759052E10</v>
      </c>
      <c r="AO194" s="27"/>
      <c r="AP194" s="28">
        <v>1.5E8</v>
      </c>
      <c r="AQ194" s="28">
        <v>5.9174145E8</v>
      </c>
      <c r="AR194" s="27"/>
      <c r="AS194" s="28"/>
      <c r="AT194" s="28"/>
      <c r="AU194" s="28">
        <v>2.20899545E8</v>
      </c>
      <c r="AV194" s="63">
        <v>9.62640995E8</v>
      </c>
      <c r="AW194" s="62">
        <v>6.5430400046E10</v>
      </c>
      <c r="AX194" s="27"/>
      <c r="AY194" s="27"/>
      <c r="AZ194" s="27"/>
      <c r="BA194" s="28">
        <v>4.629071585E10</v>
      </c>
      <c r="BB194" s="27"/>
      <c r="BC194" s="27"/>
      <c r="BD194" s="27"/>
      <c r="BE194" s="28">
        <v>2.03570287E9</v>
      </c>
      <c r="BF194" s="27"/>
      <c r="BG194" s="28"/>
      <c r="BH194" s="28"/>
      <c r="BI194" s="28">
        <v>7.4658672E7</v>
      </c>
      <c r="BJ194" s="27"/>
      <c r="BK194" s="27"/>
      <c r="BL194" s="28">
        <v>4.8401077393E10</v>
      </c>
      <c r="BM194" s="27"/>
      <c r="BN194" s="27"/>
      <c r="BO194" s="27"/>
      <c r="BP194" s="27"/>
      <c r="BQ194" s="28">
        <v>9.4663877E8</v>
      </c>
      <c r="BR194" s="27"/>
      <c r="BS194" s="61">
        <v>9.4663877E8</v>
      </c>
      <c r="BT194" s="28">
        <v>4.9347716163E10</v>
      </c>
      <c r="BU194" s="27"/>
      <c r="BV194" s="28">
        <v>6.0E8</v>
      </c>
      <c r="BW194" s="27"/>
      <c r="BX194" s="28">
        <v>9.503853974E9</v>
      </c>
      <c r="BY194" s="28">
        <v>5.946367961E9</v>
      </c>
      <c r="BZ194" s="28">
        <v>3.2461949E7</v>
      </c>
      <c r="CA194" s="27"/>
      <c r="CB194" s="27"/>
      <c r="CC194" s="61">
        <v>1.6082683884E10</v>
      </c>
      <c r="CD194" s="62">
        <v>6.5430400047E10</v>
      </c>
      <c r="CF194" s="49" t="s">
        <v>323</v>
      </c>
    </row>
    <row r="195">
      <c r="A195" s="49" t="s">
        <v>324</v>
      </c>
      <c r="B195" s="146"/>
      <c r="C195" s="146"/>
      <c r="D195" s="146"/>
      <c r="E195" s="146"/>
      <c r="F195" s="146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09"/>
      <c r="V195" s="28"/>
      <c r="W195" s="27"/>
      <c r="X195" s="27"/>
      <c r="Y195" s="27"/>
      <c r="AB195" s="27"/>
      <c r="AC195" s="27"/>
      <c r="AD195" s="28">
        <v>1.215909664E10</v>
      </c>
      <c r="AE195" s="28">
        <v>2.8373122599E10</v>
      </c>
      <c r="AF195" s="28"/>
      <c r="AG195" s="28">
        <v>-5386132.0</v>
      </c>
      <c r="AH195" s="28">
        <v>2.46E7</v>
      </c>
      <c r="AI195" s="27"/>
      <c r="AJ195" s="27"/>
      <c r="AK195" s="28">
        <v>6.050324957E9</v>
      </c>
      <c r="AL195" s="28">
        <v>1.80872231E8</v>
      </c>
      <c r="AM195" s="61">
        <v>2.003355E7</v>
      </c>
      <c r="AN195" s="62">
        <v>4.6802663844E10</v>
      </c>
      <c r="AO195" s="27"/>
      <c r="AP195" s="28">
        <v>1.5E8</v>
      </c>
      <c r="AQ195" s="28">
        <v>5.80859374E8</v>
      </c>
      <c r="AR195" s="27"/>
      <c r="AS195" s="28"/>
      <c r="AT195" s="28"/>
      <c r="AU195" s="28">
        <v>2.20899545E8</v>
      </c>
      <c r="AV195" s="63">
        <v>9.51758919E8</v>
      </c>
      <c r="AW195" s="62">
        <v>4.7754422763E10</v>
      </c>
      <c r="AX195" s="27"/>
      <c r="AY195" s="27"/>
      <c r="AZ195" s="27"/>
      <c r="BA195" s="28">
        <v>2.5005287678E10</v>
      </c>
      <c r="BB195" s="27"/>
      <c r="BC195" s="27"/>
      <c r="BD195" s="27"/>
      <c r="BE195" s="28">
        <v>1.830152054E9</v>
      </c>
      <c r="BF195" s="27"/>
      <c r="BG195" s="28"/>
      <c r="BH195" s="28"/>
      <c r="BI195" s="28">
        <v>5.036598702E9</v>
      </c>
      <c r="BJ195" s="27"/>
      <c r="BK195" s="27"/>
      <c r="BL195" s="28">
        <v>3.1872038434E10</v>
      </c>
      <c r="BM195" s="27"/>
      <c r="BN195" s="27"/>
      <c r="BO195" s="27"/>
      <c r="BP195" s="27"/>
      <c r="BQ195" s="28">
        <v>9.4663877E8</v>
      </c>
      <c r="BR195" s="27"/>
      <c r="BS195" s="61">
        <v>9.4663877E8</v>
      </c>
      <c r="BT195" s="28">
        <v>3.2818677204E10</v>
      </c>
      <c r="BU195" s="27"/>
      <c r="BV195" s="28">
        <v>6.0E8</v>
      </c>
      <c r="BW195" s="27"/>
      <c r="BX195" s="28">
        <v>4.799429636E9</v>
      </c>
      <c r="BY195" s="28">
        <v>9.503853974E9</v>
      </c>
      <c r="BZ195" s="28">
        <v>3.2461949E7</v>
      </c>
      <c r="CA195" s="27"/>
      <c r="CB195" s="27"/>
      <c r="CC195" s="61">
        <v>1.4935745559E10</v>
      </c>
      <c r="CD195" s="62">
        <v>4.7754422763E10</v>
      </c>
      <c r="CF195" s="49" t="s">
        <v>324</v>
      </c>
    </row>
    <row r="196">
      <c r="A196" s="116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6"/>
      <c r="V196" s="118"/>
      <c r="W196" s="116"/>
      <c r="X196" s="116"/>
      <c r="Y196" s="116"/>
      <c r="Z196" s="116"/>
      <c r="AA196" s="116"/>
      <c r="AB196" s="116"/>
      <c r="AC196" s="116"/>
      <c r="AD196" s="116"/>
      <c r="AE196" s="119"/>
      <c r="AF196" s="116"/>
      <c r="AG196" s="116"/>
      <c r="AH196" s="116"/>
      <c r="AI196" s="116"/>
      <c r="AJ196" s="116"/>
      <c r="AK196" s="116"/>
      <c r="AL196" s="116"/>
      <c r="AM196" s="120"/>
      <c r="AN196" s="121"/>
      <c r="AO196" s="116"/>
      <c r="AP196" s="116"/>
      <c r="AQ196" s="116"/>
      <c r="AR196" s="116"/>
      <c r="AS196" s="116"/>
      <c r="AT196" s="116"/>
      <c r="AU196" s="116"/>
      <c r="AV196" s="116"/>
      <c r="AW196" s="116"/>
      <c r="AX196" s="116"/>
      <c r="AY196" s="116"/>
      <c r="AZ196" s="116"/>
      <c r="BA196" s="116"/>
      <c r="BB196" s="116"/>
      <c r="BC196" s="116"/>
      <c r="BD196" s="116"/>
      <c r="BE196" s="116"/>
      <c r="BF196" s="116"/>
      <c r="BG196" s="116"/>
      <c r="BH196" s="116"/>
      <c r="BI196" s="116"/>
      <c r="BJ196" s="116"/>
      <c r="BK196" s="116"/>
      <c r="BL196" s="116"/>
      <c r="BM196" s="116"/>
      <c r="BN196" s="116"/>
      <c r="BO196" s="116"/>
      <c r="BP196" s="116"/>
      <c r="BQ196" s="116"/>
      <c r="BR196" s="116"/>
      <c r="BS196" s="116"/>
      <c r="BT196" s="121"/>
      <c r="BU196" s="116"/>
      <c r="BV196" s="116"/>
      <c r="BW196" s="116"/>
      <c r="BX196" s="116"/>
      <c r="BY196" s="116"/>
      <c r="BZ196" s="116"/>
      <c r="CA196" s="116"/>
      <c r="CB196" s="116"/>
      <c r="CC196" s="122"/>
      <c r="CD196" s="122"/>
      <c r="CE196" s="116"/>
      <c r="CF196" s="116"/>
      <c r="CG196" s="116"/>
      <c r="CH196" s="116"/>
      <c r="CI196" s="116"/>
      <c r="CJ196" s="116"/>
      <c r="CK196" s="116"/>
      <c r="CL196" s="116"/>
      <c r="CM196" s="116"/>
      <c r="CN196" s="116"/>
      <c r="CO196" s="116"/>
      <c r="CP196" s="116"/>
      <c r="CQ196" s="116"/>
      <c r="CR196" s="116"/>
      <c r="CS196" s="116"/>
      <c r="CT196" s="116"/>
      <c r="CU196" s="116"/>
      <c r="CV196" s="116"/>
      <c r="CW196" s="116"/>
      <c r="CX196" s="116"/>
      <c r="CY196" s="116"/>
      <c r="CZ196" s="116"/>
      <c r="DA196" s="116"/>
      <c r="DB196" s="116"/>
      <c r="DC196" s="116"/>
      <c r="DD196" s="116"/>
      <c r="DE196" s="116"/>
      <c r="DF196" s="116"/>
      <c r="DG196" s="116"/>
      <c r="DH196" s="116"/>
      <c r="DI196" s="116"/>
      <c r="DJ196" s="116"/>
      <c r="DK196" s="116"/>
      <c r="DL196" s="116"/>
      <c r="DM196" s="116"/>
      <c r="DN196" s="116"/>
      <c r="DO196" s="116"/>
      <c r="DP196" s="116"/>
      <c r="DQ196" s="116"/>
      <c r="DR196" s="116"/>
      <c r="DS196" s="116"/>
      <c r="DT196" s="116"/>
      <c r="DU196" s="116"/>
      <c r="DV196" s="116"/>
      <c r="DW196" s="116"/>
      <c r="DX196" s="116"/>
      <c r="DY196" s="116"/>
      <c r="DZ196" s="116"/>
      <c r="EA196" s="116"/>
      <c r="EB196" s="116"/>
      <c r="EC196" s="116"/>
      <c r="ED196" s="116"/>
      <c r="EE196" s="116"/>
      <c r="EF196" s="116"/>
      <c r="EG196" s="116"/>
      <c r="EH196" s="116"/>
      <c r="EI196" s="116"/>
      <c r="EJ196" s="116"/>
      <c r="EK196" s="116"/>
      <c r="EL196" s="116"/>
      <c r="EM196" s="116"/>
      <c r="EN196" s="116"/>
      <c r="EO196" s="116"/>
      <c r="EP196" s="116"/>
      <c r="EQ196" s="116"/>
      <c r="ER196" s="116"/>
      <c r="ES196" s="116"/>
      <c r="ET196" s="116"/>
      <c r="EU196" s="116"/>
      <c r="EV196" s="116"/>
      <c r="EW196" s="116"/>
      <c r="EX196" s="116"/>
      <c r="EY196" s="116"/>
      <c r="EZ196" s="116"/>
      <c r="FA196" s="116"/>
      <c r="FB196" s="116"/>
      <c r="FC196" s="116"/>
      <c r="FD196" s="116"/>
      <c r="FE196" s="116"/>
      <c r="FF196" s="116"/>
      <c r="FG196" s="116"/>
      <c r="FH196" s="116"/>
      <c r="FI196" s="116"/>
      <c r="FJ196" s="116"/>
      <c r="FK196" s="116"/>
      <c r="FL196" s="116"/>
      <c r="FM196" s="116"/>
      <c r="FN196" s="116"/>
      <c r="FO196" s="116"/>
      <c r="FP196" s="116"/>
      <c r="FQ196" s="116"/>
      <c r="FR196" s="116"/>
      <c r="FS196" s="116"/>
      <c r="FT196" s="116"/>
      <c r="FU196" s="116"/>
      <c r="FV196" s="116"/>
      <c r="FW196" s="116"/>
      <c r="FX196" s="116"/>
      <c r="FY196" s="116"/>
      <c r="FZ196" s="116"/>
      <c r="GA196" s="116"/>
      <c r="GB196" s="116"/>
      <c r="GC196" s="116"/>
      <c r="GD196" s="116"/>
      <c r="GE196" s="116"/>
      <c r="GF196" s="116"/>
      <c r="GG196" s="116"/>
      <c r="GH196" s="116"/>
      <c r="GI196" s="116"/>
      <c r="GJ196" s="116"/>
      <c r="GK196" s="116"/>
      <c r="GL196" s="116"/>
      <c r="GM196" s="118"/>
      <c r="GN196" s="116"/>
      <c r="GO196" s="116"/>
      <c r="GP196" s="116"/>
      <c r="GQ196" s="116"/>
      <c r="GR196" s="116"/>
      <c r="GS196" s="116"/>
      <c r="GT196" s="116"/>
      <c r="GU196" s="116"/>
      <c r="GV196" s="116"/>
      <c r="GW196" s="116"/>
      <c r="GX196" s="116"/>
      <c r="GY196" s="116"/>
      <c r="GZ196" s="116"/>
      <c r="HA196" s="116"/>
      <c r="HB196" s="116"/>
      <c r="HC196" s="116"/>
      <c r="HD196" s="116"/>
      <c r="HE196" s="116"/>
      <c r="HF196" s="116"/>
      <c r="HG196" s="116"/>
      <c r="HH196" s="116"/>
      <c r="HI196" s="116"/>
      <c r="HJ196" s="116"/>
      <c r="HK196" s="116"/>
      <c r="HL196" s="116"/>
      <c r="HM196" s="116"/>
      <c r="HN196" s="116"/>
      <c r="HO196" s="116"/>
      <c r="HP196" s="116"/>
      <c r="HQ196" s="116"/>
      <c r="HR196" s="116"/>
      <c r="HS196" s="116"/>
      <c r="HT196" s="116"/>
      <c r="HU196" s="116"/>
      <c r="HV196" s="116"/>
      <c r="HW196" s="116"/>
      <c r="HX196" s="116"/>
      <c r="HY196" s="116"/>
      <c r="HZ196" s="116"/>
      <c r="IA196" s="116"/>
      <c r="IB196" s="116"/>
      <c r="IC196" s="116"/>
      <c r="ID196" s="116"/>
      <c r="IE196" s="116"/>
      <c r="IF196" s="116"/>
      <c r="IG196" s="116"/>
      <c r="IH196" s="116"/>
      <c r="II196" s="116"/>
      <c r="IJ196" s="116"/>
      <c r="IK196" s="116"/>
      <c r="IL196" s="116"/>
      <c r="IM196" s="116"/>
      <c r="IN196" s="116"/>
      <c r="IO196" s="116"/>
      <c r="IP196" s="116"/>
      <c r="IQ196" s="116"/>
      <c r="IR196" s="116"/>
      <c r="IS196" s="116"/>
      <c r="IT196" s="116"/>
      <c r="IU196" s="116"/>
      <c r="IV196" s="116"/>
      <c r="IW196" s="116"/>
      <c r="IX196" s="116"/>
      <c r="IY196" s="116"/>
      <c r="IZ196" s="116"/>
      <c r="JA196" s="116"/>
      <c r="JB196" s="116"/>
      <c r="JC196" s="116"/>
      <c r="JD196" s="116"/>
      <c r="JE196" s="116"/>
      <c r="JF196" s="116"/>
      <c r="JG196" s="116"/>
      <c r="JH196" s="116"/>
      <c r="JI196" s="116"/>
      <c r="JJ196" s="116"/>
      <c r="JK196" s="116"/>
      <c r="JL196" s="116"/>
      <c r="JM196" s="116"/>
      <c r="JN196" s="116"/>
      <c r="JO196" s="116"/>
      <c r="JP196" s="116"/>
      <c r="JQ196" s="116"/>
      <c r="JR196" s="116"/>
      <c r="JS196" s="116"/>
      <c r="JT196" s="123"/>
      <c r="JU196" s="116"/>
      <c r="JV196" s="116"/>
      <c r="JW196" s="116"/>
      <c r="JX196" s="116"/>
      <c r="JY196" s="116"/>
      <c r="JZ196" s="116"/>
      <c r="KA196" s="116"/>
      <c r="KB196" s="116"/>
      <c r="KC196" s="116"/>
      <c r="KD196" s="116"/>
      <c r="KE196" s="116"/>
      <c r="KF196" s="116"/>
      <c r="KG196" s="116"/>
      <c r="KH196" s="116"/>
      <c r="KI196" s="116"/>
      <c r="KJ196" s="116"/>
      <c r="KK196" s="116"/>
      <c r="KL196" s="116"/>
      <c r="KM196" s="116"/>
      <c r="KN196" s="116"/>
      <c r="KO196" s="116"/>
      <c r="KP196" s="116"/>
      <c r="KQ196" s="116"/>
      <c r="KR196" s="116"/>
      <c r="KS196" s="116"/>
      <c r="KT196" s="116"/>
      <c r="KU196" s="116"/>
      <c r="KV196" s="116"/>
      <c r="KW196" s="116"/>
      <c r="KX196" s="116"/>
      <c r="KY196" s="116"/>
      <c r="KZ196" s="116"/>
      <c r="LA196" s="116"/>
      <c r="LB196" s="116"/>
      <c r="LC196" s="116"/>
      <c r="LD196" s="116"/>
      <c r="LE196" s="116"/>
      <c r="LF196" s="116"/>
      <c r="LG196" s="116"/>
      <c r="LH196" s="116"/>
      <c r="LI196" s="116"/>
      <c r="LJ196" s="116"/>
      <c r="LK196" s="116"/>
    </row>
    <row r="197">
      <c r="A197" s="116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6"/>
      <c r="V197" s="118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  <c r="AJ197" s="116"/>
      <c r="AK197" s="116"/>
      <c r="AL197" s="116"/>
      <c r="AM197" s="120"/>
      <c r="AN197" s="121"/>
      <c r="AO197" s="116"/>
      <c r="AP197" s="116"/>
      <c r="AQ197" s="116"/>
      <c r="AR197" s="116"/>
      <c r="AS197" s="116"/>
      <c r="AT197" s="116"/>
      <c r="AU197" s="116"/>
      <c r="AV197" s="116"/>
      <c r="AW197" s="116"/>
      <c r="AX197" s="116"/>
      <c r="AY197" s="116"/>
      <c r="AZ197" s="116"/>
      <c r="BA197" s="116"/>
      <c r="BB197" s="116"/>
      <c r="BC197" s="116"/>
      <c r="BD197" s="116"/>
      <c r="BE197" s="116"/>
      <c r="BF197" s="116"/>
      <c r="BG197" s="116"/>
      <c r="BH197" s="116"/>
      <c r="BI197" s="116"/>
      <c r="BJ197" s="116"/>
      <c r="BK197" s="116"/>
      <c r="BL197" s="116"/>
      <c r="BM197" s="116"/>
      <c r="BN197" s="116"/>
      <c r="BO197" s="116"/>
      <c r="BP197" s="116"/>
      <c r="BQ197" s="116"/>
      <c r="BR197" s="116"/>
      <c r="BS197" s="116"/>
      <c r="BT197" s="121"/>
      <c r="BU197" s="116"/>
      <c r="BV197" s="116"/>
      <c r="BW197" s="116"/>
      <c r="BX197" s="116"/>
      <c r="BY197" s="116"/>
      <c r="BZ197" s="116"/>
      <c r="CA197" s="116"/>
      <c r="CB197" s="116"/>
      <c r="CC197" s="122"/>
      <c r="CD197" s="122"/>
      <c r="CE197" s="116"/>
      <c r="CF197" s="116"/>
      <c r="CG197" s="116"/>
      <c r="CH197" s="116"/>
      <c r="CI197" s="116"/>
      <c r="CJ197" s="116"/>
      <c r="CK197" s="116"/>
      <c r="CL197" s="116"/>
      <c r="CM197" s="116"/>
      <c r="CN197" s="116"/>
      <c r="CO197" s="116"/>
      <c r="CP197" s="116"/>
      <c r="CQ197" s="116"/>
      <c r="CR197" s="116"/>
      <c r="CS197" s="116"/>
      <c r="CT197" s="116"/>
      <c r="CU197" s="116"/>
      <c r="CV197" s="116"/>
      <c r="CW197" s="116"/>
      <c r="CX197" s="116"/>
      <c r="CY197" s="116"/>
      <c r="CZ197" s="116"/>
      <c r="DA197" s="116"/>
      <c r="DB197" s="116"/>
      <c r="DC197" s="116"/>
      <c r="DD197" s="116"/>
      <c r="DE197" s="116"/>
      <c r="DF197" s="116"/>
      <c r="DG197" s="116"/>
      <c r="DH197" s="116"/>
      <c r="DI197" s="116"/>
      <c r="DJ197" s="116"/>
      <c r="DK197" s="116"/>
      <c r="DL197" s="116"/>
      <c r="DM197" s="116"/>
      <c r="DN197" s="116"/>
      <c r="DO197" s="116"/>
      <c r="DP197" s="116"/>
      <c r="DQ197" s="116"/>
      <c r="DR197" s="116"/>
      <c r="DS197" s="116"/>
      <c r="DT197" s="116"/>
      <c r="DU197" s="116"/>
      <c r="DV197" s="116"/>
      <c r="DW197" s="116"/>
      <c r="DX197" s="116"/>
      <c r="DY197" s="116"/>
      <c r="DZ197" s="116"/>
      <c r="EA197" s="116"/>
      <c r="EB197" s="116"/>
      <c r="EC197" s="116"/>
      <c r="ED197" s="116"/>
      <c r="EE197" s="116"/>
      <c r="EF197" s="116"/>
      <c r="EG197" s="116"/>
      <c r="EH197" s="116"/>
      <c r="EI197" s="116"/>
      <c r="EJ197" s="116"/>
      <c r="EK197" s="116"/>
      <c r="EL197" s="116"/>
      <c r="EM197" s="116"/>
      <c r="EN197" s="116"/>
      <c r="EO197" s="116"/>
      <c r="EP197" s="116"/>
      <c r="EQ197" s="116"/>
      <c r="ER197" s="116"/>
      <c r="ES197" s="116"/>
      <c r="ET197" s="116"/>
      <c r="EU197" s="116"/>
      <c r="EV197" s="116"/>
      <c r="EW197" s="116"/>
      <c r="EX197" s="116"/>
      <c r="EY197" s="116"/>
      <c r="EZ197" s="116"/>
      <c r="FA197" s="116"/>
      <c r="FB197" s="116"/>
      <c r="FC197" s="116"/>
      <c r="FD197" s="116"/>
      <c r="FE197" s="116"/>
      <c r="FF197" s="116"/>
      <c r="FG197" s="116"/>
      <c r="FH197" s="116"/>
      <c r="FI197" s="116"/>
      <c r="FJ197" s="116"/>
      <c r="FK197" s="116"/>
      <c r="FL197" s="116"/>
      <c r="FM197" s="116"/>
      <c r="FN197" s="116"/>
      <c r="FO197" s="116"/>
      <c r="FP197" s="116"/>
      <c r="FQ197" s="116"/>
      <c r="FR197" s="116"/>
      <c r="FS197" s="116"/>
      <c r="FT197" s="116"/>
      <c r="FU197" s="116"/>
      <c r="FV197" s="116"/>
      <c r="FW197" s="116"/>
      <c r="FX197" s="116"/>
      <c r="FY197" s="116"/>
      <c r="FZ197" s="116"/>
      <c r="GA197" s="116"/>
      <c r="GB197" s="116"/>
      <c r="GC197" s="116"/>
      <c r="GD197" s="116"/>
      <c r="GE197" s="116"/>
      <c r="GF197" s="116"/>
      <c r="GG197" s="116"/>
      <c r="GH197" s="116"/>
      <c r="GI197" s="116"/>
      <c r="GJ197" s="116"/>
      <c r="GK197" s="116"/>
      <c r="GL197" s="116"/>
      <c r="GM197" s="118"/>
      <c r="GN197" s="116"/>
      <c r="GO197" s="116"/>
      <c r="GP197" s="116"/>
      <c r="GQ197" s="116"/>
      <c r="GR197" s="116"/>
      <c r="GS197" s="116"/>
      <c r="GT197" s="116"/>
      <c r="GU197" s="116"/>
      <c r="GV197" s="116"/>
      <c r="GW197" s="116"/>
      <c r="GX197" s="116"/>
      <c r="GY197" s="116"/>
      <c r="GZ197" s="116"/>
      <c r="HA197" s="116"/>
      <c r="HB197" s="116"/>
      <c r="HC197" s="116"/>
      <c r="HD197" s="116"/>
      <c r="HE197" s="116"/>
      <c r="HF197" s="116"/>
      <c r="HG197" s="116"/>
      <c r="HH197" s="116"/>
      <c r="HI197" s="116"/>
      <c r="HJ197" s="116"/>
      <c r="HK197" s="116"/>
      <c r="HL197" s="116"/>
      <c r="HM197" s="116"/>
      <c r="HN197" s="116"/>
      <c r="HO197" s="116"/>
      <c r="HP197" s="116"/>
      <c r="HQ197" s="116"/>
      <c r="HR197" s="116"/>
      <c r="HS197" s="116"/>
      <c r="HT197" s="116"/>
      <c r="HU197" s="116"/>
      <c r="HV197" s="116"/>
      <c r="HW197" s="116"/>
      <c r="HX197" s="116"/>
      <c r="HY197" s="116"/>
      <c r="HZ197" s="116"/>
      <c r="IA197" s="116"/>
      <c r="IB197" s="116"/>
      <c r="IC197" s="116"/>
      <c r="ID197" s="116"/>
      <c r="IE197" s="116"/>
      <c r="IF197" s="116"/>
      <c r="IG197" s="116"/>
      <c r="IH197" s="116"/>
      <c r="II197" s="116"/>
      <c r="IJ197" s="116"/>
      <c r="IK197" s="116"/>
      <c r="IL197" s="116"/>
      <c r="IM197" s="116"/>
      <c r="IN197" s="116"/>
      <c r="IO197" s="116"/>
      <c r="IP197" s="116"/>
      <c r="IQ197" s="116"/>
      <c r="IR197" s="116"/>
      <c r="IS197" s="116"/>
      <c r="IT197" s="116"/>
      <c r="IU197" s="116"/>
      <c r="IV197" s="116"/>
      <c r="IW197" s="116"/>
      <c r="IX197" s="116"/>
      <c r="IY197" s="116"/>
      <c r="IZ197" s="116"/>
      <c r="JA197" s="116"/>
      <c r="JB197" s="116"/>
      <c r="JC197" s="116"/>
      <c r="JD197" s="116"/>
      <c r="JE197" s="116"/>
      <c r="JF197" s="116"/>
      <c r="JG197" s="116"/>
      <c r="JH197" s="116"/>
      <c r="JI197" s="116"/>
      <c r="JJ197" s="116"/>
      <c r="JK197" s="116"/>
      <c r="JL197" s="116"/>
      <c r="JM197" s="116"/>
      <c r="JN197" s="116"/>
      <c r="JO197" s="116"/>
      <c r="JP197" s="116"/>
      <c r="JQ197" s="116"/>
      <c r="JR197" s="116"/>
      <c r="JS197" s="116"/>
      <c r="JT197" s="123"/>
      <c r="JU197" s="116"/>
      <c r="JV197" s="116"/>
      <c r="JW197" s="116"/>
      <c r="JX197" s="116"/>
      <c r="JY197" s="116"/>
      <c r="JZ197" s="116"/>
      <c r="KA197" s="116"/>
      <c r="KB197" s="116"/>
      <c r="KC197" s="116"/>
      <c r="KD197" s="116"/>
      <c r="KE197" s="116"/>
      <c r="KF197" s="116"/>
      <c r="KG197" s="116"/>
      <c r="KH197" s="116"/>
      <c r="KI197" s="116"/>
      <c r="KJ197" s="116"/>
      <c r="KK197" s="116"/>
      <c r="KL197" s="116"/>
      <c r="KM197" s="116"/>
      <c r="KN197" s="116"/>
      <c r="KO197" s="116"/>
      <c r="KP197" s="116"/>
      <c r="KQ197" s="116"/>
      <c r="KR197" s="116"/>
      <c r="KS197" s="116"/>
      <c r="KT197" s="116"/>
      <c r="KU197" s="116"/>
      <c r="KV197" s="116"/>
      <c r="KW197" s="116"/>
      <c r="KX197" s="116"/>
      <c r="KY197" s="116"/>
      <c r="KZ197" s="116"/>
      <c r="LA197" s="116"/>
      <c r="LB197" s="116"/>
      <c r="LC197" s="116"/>
      <c r="LD197" s="116"/>
      <c r="LE197" s="116"/>
      <c r="LF197" s="116"/>
      <c r="LG197" s="116"/>
      <c r="LH197" s="116"/>
      <c r="LI197" s="116"/>
      <c r="LJ197" s="116"/>
      <c r="LK197" s="116"/>
    </row>
    <row r="198">
      <c r="A198" s="216" t="s">
        <v>422</v>
      </c>
      <c r="B198" s="217"/>
      <c r="C198" s="217"/>
      <c r="D198" s="217"/>
      <c r="E198" s="217"/>
      <c r="F198" s="217"/>
      <c r="G198" s="217"/>
      <c r="H198" s="217"/>
      <c r="I198" s="217"/>
      <c r="J198" s="217"/>
      <c r="K198" s="217"/>
      <c r="L198" s="217"/>
      <c r="M198" s="217"/>
      <c r="N198" s="217"/>
      <c r="O198" s="217"/>
      <c r="P198" s="217"/>
      <c r="Q198" s="217"/>
      <c r="R198" s="217"/>
      <c r="S198" s="217"/>
      <c r="T198" s="217"/>
      <c r="U198" s="4"/>
      <c r="V198" s="5"/>
      <c r="W198" s="4"/>
      <c r="X198" s="4"/>
      <c r="Y198" s="4"/>
      <c r="AB198" s="3" t="s">
        <v>423</v>
      </c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  <c r="IW198" s="4"/>
      <c r="IX198" s="4"/>
      <c r="IY198" s="4"/>
      <c r="IZ198" s="4"/>
      <c r="JA198" s="4"/>
      <c r="JB198" s="4"/>
      <c r="JC198" s="4"/>
      <c r="JD198" s="4"/>
      <c r="JE198" s="4"/>
      <c r="JF198" s="4"/>
      <c r="JG198" s="4"/>
      <c r="JH198" s="4"/>
      <c r="JI198" s="4"/>
      <c r="JJ198" s="4"/>
      <c r="JK198" s="4"/>
      <c r="JL198" s="4"/>
      <c r="JM198" s="4"/>
      <c r="JN198" s="4"/>
      <c r="JO198" s="4"/>
      <c r="JP198" s="4"/>
      <c r="JQ198" s="4"/>
      <c r="JR198" s="4"/>
      <c r="JS198" s="4"/>
      <c r="JT198" s="4"/>
      <c r="JU198" s="4"/>
      <c r="JV198" s="4"/>
      <c r="JW198" s="4"/>
      <c r="JX198" s="4"/>
      <c r="JY198" s="4"/>
      <c r="JZ198" s="4"/>
      <c r="KA198" s="4"/>
      <c r="KB198" s="4"/>
      <c r="KC198" s="4"/>
      <c r="KD198" s="4"/>
      <c r="KE198" s="4"/>
      <c r="KF198" s="4"/>
      <c r="KG198" s="4"/>
      <c r="KH198" s="4"/>
      <c r="KI198" s="4"/>
      <c r="KJ198" s="4"/>
      <c r="KK198" s="4"/>
      <c r="KL198" s="4"/>
      <c r="KM198" s="4"/>
      <c r="KN198" s="4"/>
      <c r="KO198" s="4"/>
      <c r="KP198" s="4"/>
      <c r="KQ198" s="4"/>
      <c r="KR198" s="4"/>
      <c r="KS198" s="4"/>
      <c r="KT198" s="4"/>
      <c r="KU198" s="4"/>
      <c r="KV198" s="4"/>
      <c r="KW198" s="4"/>
      <c r="KX198" s="4"/>
      <c r="KY198" s="4"/>
      <c r="KZ198" s="4"/>
      <c r="LA198" s="4"/>
      <c r="LB198" s="4"/>
      <c r="LC198" s="4"/>
      <c r="LD198" s="4"/>
      <c r="LE198" s="4"/>
      <c r="LF198" s="4"/>
      <c r="LG198" s="4"/>
      <c r="LH198" s="4"/>
      <c r="LI198" s="4"/>
      <c r="LJ198" s="4"/>
      <c r="LK198" s="4"/>
    </row>
    <row r="199" ht="55.5" customHeight="1">
      <c r="A199" s="277"/>
      <c r="B199" s="278" t="s">
        <v>19</v>
      </c>
      <c r="C199" s="279" t="s">
        <v>413</v>
      </c>
      <c r="D199" s="280" t="s">
        <v>21</v>
      </c>
      <c r="E199" s="279" t="s">
        <v>22</v>
      </c>
      <c r="F199" s="279" t="s">
        <v>23</v>
      </c>
      <c r="G199" s="279" t="s">
        <v>24</v>
      </c>
      <c r="H199" s="279" t="s">
        <v>414</v>
      </c>
      <c r="I199" s="280" t="s">
        <v>27</v>
      </c>
      <c r="J199" s="279" t="s">
        <v>415</v>
      </c>
      <c r="K199" s="279" t="s">
        <v>268</v>
      </c>
      <c r="L199" s="279" t="s">
        <v>282</v>
      </c>
      <c r="M199" s="279" t="s">
        <v>416</v>
      </c>
      <c r="N199" s="280" t="s">
        <v>417</v>
      </c>
      <c r="O199" s="279" t="s">
        <v>418</v>
      </c>
      <c r="P199" s="279" t="s">
        <v>33</v>
      </c>
      <c r="Q199" s="279" t="s">
        <v>35</v>
      </c>
      <c r="R199" s="280" t="s">
        <v>406</v>
      </c>
      <c r="S199" s="278" t="s">
        <v>424</v>
      </c>
      <c r="T199" s="281" t="s">
        <v>408</v>
      </c>
      <c r="U199" s="277"/>
      <c r="V199" s="282"/>
      <c r="W199" s="277"/>
      <c r="X199" s="277"/>
      <c r="Y199" s="283"/>
      <c r="AB199" s="284" t="s">
        <v>41</v>
      </c>
      <c r="AC199" s="284" t="s">
        <v>42</v>
      </c>
      <c r="AD199" s="284" t="s">
        <v>43</v>
      </c>
      <c r="AE199" s="284" t="s">
        <v>44</v>
      </c>
      <c r="AF199" s="284"/>
      <c r="AG199" s="284" t="s">
        <v>46</v>
      </c>
      <c r="AH199" s="284" t="s">
        <v>47</v>
      </c>
      <c r="AI199" s="284" t="s">
        <v>48</v>
      </c>
      <c r="AJ199" s="284" t="s">
        <v>49</v>
      </c>
      <c r="AK199" s="284" t="s">
        <v>50</v>
      </c>
      <c r="AL199" s="284" t="s">
        <v>51</v>
      </c>
      <c r="AM199" s="284" t="s">
        <v>52</v>
      </c>
      <c r="AN199" s="284" t="s">
        <v>53</v>
      </c>
      <c r="AO199" s="284" t="s">
        <v>54</v>
      </c>
      <c r="AP199" s="284" t="s">
        <v>55</v>
      </c>
      <c r="AQ199" s="284" t="s">
        <v>56</v>
      </c>
      <c r="AR199" s="284" t="s">
        <v>57</v>
      </c>
      <c r="AS199" s="284"/>
      <c r="AT199" s="284"/>
      <c r="AU199" s="284" t="s">
        <v>58</v>
      </c>
      <c r="AV199" s="284" t="s">
        <v>59</v>
      </c>
      <c r="AW199" s="284" t="s">
        <v>60</v>
      </c>
      <c r="AX199" s="284"/>
      <c r="AY199" s="284" t="s">
        <v>61</v>
      </c>
      <c r="AZ199" s="284" t="s">
        <v>62</v>
      </c>
      <c r="BA199" s="284" t="s">
        <v>63</v>
      </c>
      <c r="BB199" s="284"/>
      <c r="BC199" s="284" t="s">
        <v>64</v>
      </c>
      <c r="BD199" s="285" t="s">
        <v>65</v>
      </c>
      <c r="BE199" s="284" t="s">
        <v>425</v>
      </c>
      <c r="BF199" s="284" t="s">
        <v>67</v>
      </c>
      <c r="BG199" s="284"/>
      <c r="BH199" s="284"/>
      <c r="BI199" s="284" t="s">
        <v>68</v>
      </c>
      <c r="BJ199" s="284" t="s">
        <v>69</v>
      </c>
      <c r="BK199" s="284" t="s">
        <v>70</v>
      </c>
      <c r="BL199" s="284" t="s">
        <v>71</v>
      </c>
      <c r="BM199" s="284" t="s">
        <v>72</v>
      </c>
      <c r="BN199" s="284" t="s">
        <v>73</v>
      </c>
      <c r="BO199" s="284" t="s">
        <v>74</v>
      </c>
      <c r="BP199" s="284" t="s">
        <v>75</v>
      </c>
      <c r="BQ199" s="284" t="s">
        <v>76</v>
      </c>
      <c r="BR199" s="284" t="s">
        <v>77</v>
      </c>
      <c r="BS199" s="284" t="s">
        <v>78</v>
      </c>
      <c r="BT199" s="284" t="s">
        <v>79</v>
      </c>
      <c r="BU199" s="284" t="s">
        <v>80</v>
      </c>
      <c r="BV199" s="284" t="s">
        <v>81</v>
      </c>
      <c r="BW199" s="284" t="s">
        <v>82</v>
      </c>
      <c r="BX199" s="284" t="s">
        <v>83</v>
      </c>
      <c r="BY199" s="284" t="s">
        <v>84</v>
      </c>
      <c r="BZ199" s="284" t="s">
        <v>85</v>
      </c>
      <c r="CA199" s="286" t="s">
        <v>86</v>
      </c>
      <c r="CB199" s="286" t="s">
        <v>87</v>
      </c>
      <c r="CC199" s="286" t="s">
        <v>88</v>
      </c>
      <c r="CD199" s="286" t="s">
        <v>89</v>
      </c>
      <c r="CE199" s="286"/>
      <c r="CF199" s="277"/>
      <c r="CG199" s="286"/>
      <c r="CH199" s="286"/>
      <c r="CI199" s="286"/>
      <c r="CJ199" s="286"/>
      <c r="CK199" s="286"/>
      <c r="CL199" s="286"/>
      <c r="CM199" s="286"/>
      <c r="CN199" s="286"/>
      <c r="CO199" s="286"/>
      <c r="CP199" s="286"/>
      <c r="CQ199" s="286"/>
      <c r="CR199" s="286"/>
      <c r="CS199" s="286"/>
      <c r="CT199" s="286"/>
      <c r="CU199" s="286"/>
      <c r="CV199" s="286"/>
      <c r="CW199" s="286"/>
      <c r="CX199" s="286"/>
      <c r="CY199" s="286"/>
      <c r="CZ199" s="286"/>
      <c r="DA199" s="286"/>
      <c r="DB199" s="286"/>
      <c r="DC199" s="286"/>
      <c r="DD199" s="286"/>
      <c r="DE199" s="286"/>
      <c r="DF199" s="286"/>
      <c r="DG199" s="286"/>
      <c r="DH199" s="286"/>
      <c r="DI199" s="286"/>
      <c r="DJ199" s="286"/>
      <c r="DK199" s="286"/>
      <c r="DL199" s="286"/>
      <c r="DM199" s="286"/>
      <c r="DN199" s="286"/>
      <c r="DO199" s="286"/>
      <c r="DP199" s="286"/>
      <c r="DQ199" s="286"/>
      <c r="DR199" s="286"/>
      <c r="DS199" s="286"/>
      <c r="DT199" s="286"/>
      <c r="DU199" s="286"/>
      <c r="DV199" s="286"/>
      <c r="DW199" s="286"/>
      <c r="DX199" s="286"/>
      <c r="DY199" s="286"/>
      <c r="DZ199" s="286"/>
      <c r="EA199" s="286"/>
      <c r="EB199" s="286"/>
      <c r="EC199" s="286"/>
      <c r="ED199" s="286"/>
      <c r="EE199" s="286"/>
      <c r="EF199" s="286"/>
      <c r="EG199" s="286"/>
      <c r="EH199" s="286"/>
      <c r="EI199" s="286"/>
      <c r="EJ199" s="286"/>
      <c r="EK199" s="286"/>
      <c r="EL199" s="286"/>
      <c r="EM199" s="286"/>
      <c r="EN199" s="286"/>
      <c r="EO199" s="286"/>
      <c r="EP199" s="286"/>
      <c r="EQ199" s="286"/>
      <c r="ER199" s="286"/>
      <c r="ES199" s="286"/>
      <c r="ET199" s="286"/>
      <c r="EU199" s="286"/>
      <c r="EV199" s="286"/>
      <c r="EW199" s="286"/>
      <c r="EX199" s="286"/>
      <c r="EY199" s="286"/>
      <c r="EZ199" s="286"/>
      <c r="FA199" s="286"/>
      <c r="FB199" s="286"/>
      <c r="FC199" s="286"/>
      <c r="FD199" s="286"/>
      <c r="FE199" s="286"/>
      <c r="FF199" s="286"/>
      <c r="FG199" s="286"/>
      <c r="FH199" s="286"/>
      <c r="FI199" s="286"/>
      <c r="FJ199" s="286"/>
      <c r="FK199" s="286"/>
      <c r="FL199" s="286"/>
      <c r="FM199" s="286"/>
      <c r="FN199" s="286"/>
      <c r="FO199" s="286"/>
      <c r="FP199" s="286"/>
      <c r="FQ199" s="286"/>
      <c r="FR199" s="286"/>
      <c r="FS199" s="286"/>
      <c r="FT199" s="286"/>
      <c r="FU199" s="286"/>
      <c r="FV199" s="286"/>
      <c r="FW199" s="286"/>
      <c r="FX199" s="286"/>
      <c r="FY199" s="286"/>
      <c r="FZ199" s="286"/>
      <c r="GA199" s="286"/>
      <c r="GB199" s="286"/>
      <c r="GC199" s="286"/>
      <c r="GD199" s="286"/>
      <c r="GE199" s="286"/>
      <c r="GF199" s="286"/>
      <c r="GG199" s="286"/>
      <c r="GH199" s="286"/>
      <c r="GI199" s="286"/>
      <c r="GJ199" s="286"/>
      <c r="GK199" s="286"/>
      <c r="GL199" s="286"/>
      <c r="GM199" s="286"/>
      <c r="GN199" s="286"/>
      <c r="GO199" s="286"/>
      <c r="GP199" s="286"/>
      <c r="GQ199" s="286"/>
      <c r="GR199" s="286"/>
      <c r="GS199" s="286"/>
      <c r="GT199" s="286"/>
      <c r="GU199" s="286"/>
      <c r="GV199" s="286"/>
      <c r="GW199" s="286"/>
      <c r="GX199" s="286"/>
      <c r="GY199" s="286"/>
      <c r="GZ199" s="286"/>
      <c r="HA199" s="286"/>
      <c r="HB199" s="286"/>
      <c r="HC199" s="286"/>
      <c r="HD199" s="286"/>
      <c r="HE199" s="286"/>
      <c r="HF199" s="286"/>
      <c r="HG199" s="286"/>
      <c r="HH199" s="286"/>
      <c r="HI199" s="286"/>
      <c r="HJ199" s="286"/>
      <c r="HK199" s="286"/>
      <c r="HL199" s="286"/>
      <c r="HM199" s="286"/>
      <c r="HN199" s="286"/>
      <c r="HO199" s="286"/>
      <c r="HP199" s="286"/>
      <c r="HQ199" s="286"/>
      <c r="HR199" s="286"/>
      <c r="HS199" s="286"/>
      <c r="HT199" s="286"/>
      <c r="HU199" s="286"/>
      <c r="HV199" s="286"/>
      <c r="HW199" s="286"/>
      <c r="HX199" s="286"/>
      <c r="HY199" s="286"/>
      <c r="HZ199" s="286"/>
      <c r="IA199" s="286"/>
      <c r="IB199" s="286"/>
      <c r="IC199" s="286"/>
      <c r="ID199" s="286"/>
      <c r="IE199" s="286"/>
      <c r="IF199" s="286"/>
      <c r="IG199" s="286"/>
      <c r="IH199" s="286"/>
      <c r="II199" s="286"/>
      <c r="IJ199" s="286"/>
      <c r="IK199" s="286"/>
      <c r="IL199" s="286"/>
      <c r="IM199" s="286"/>
      <c r="IN199" s="286"/>
      <c r="IO199" s="286"/>
      <c r="IP199" s="286"/>
      <c r="IQ199" s="286"/>
      <c r="IR199" s="286"/>
      <c r="IS199" s="286"/>
      <c r="IT199" s="286"/>
      <c r="IU199" s="286"/>
      <c r="IV199" s="286"/>
      <c r="IW199" s="286"/>
      <c r="IX199" s="286"/>
      <c r="IY199" s="286"/>
      <c r="IZ199" s="286"/>
      <c r="JA199" s="286"/>
      <c r="JB199" s="286"/>
      <c r="JC199" s="286"/>
      <c r="JD199" s="286"/>
      <c r="JE199" s="286"/>
      <c r="JF199" s="286"/>
      <c r="JG199" s="286"/>
      <c r="JH199" s="286"/>
      <c r="JI199" s="286"/>
      <c r="JJ199" s="286"/>
      <c r="JK199" s="286"/>
      <c r="JL199" s="286"/>
      <c r="JM199" s="286"/>
      <c r="JN199" s="286"/>
      <c r="JO199" s="286"/>
      <c r="JP199" s="286"/>
      <c r="JQ199" s="286"/>
      <c r="JR199" s="286"/>
      <c r="JS199" s="286"/>
      <c r="JT199" s="286"/>
      <c r="JU199" s="286"/>
      <c r="JV199" s="286"/>
      <c r="JW199" s="286"/>
      <c r="JX199" s="286"/>
      <c r="JY199" s="286"/>
      <c r="JZ199" s="286"/>
      <c r="KA199" s="286"/>
      <c r="KB199" s="286"/>
      <c r="KC199" s="286"/>
      <c r="KD199" s="286"/>
      <c r="KE199" s="286"/>
      <c r="KF199" s="286"/>
      <c r="KG199" s="286"/>
      <c r="KH199" s="286"/>
      <c r="KI199" s="286"/>
      <c r="KJ199" s="286"/>
      <c r="KK199" s="286"/>
      <c r="KL199" s="286"/>
      <c r="KM199" s="286"/>
      <c r="KN199" s="286"/>
      <c r="KO199" s="286"/>
      <c r="KP199" s="286"/>
      <c r="KQ199" s="286"/>
      <c r="KR199" s="286"/>
      <c r="KS199" s="286"/>
      <c r="KT199" s="286"/>
      <c r="KU199" s="286"/>
      <c r="KV199" s="286"/>
      <c r="KW199" s="286"/>
      <c r="KX199" s="286"/>
      <c r="KY199" s="286"/>
      <c r="KZ199" s="286"/>
      <c r="LA199" s="286"/>
      <c r="LB199" s="286"/>
      <c r="LC199" s="286"/>
      <c r="LD199" s="286"/>
      <c r="LE199" s="286"/>
      <c r="LF199" s="286"/>
      <c r="LG199" s="286"/>
      <c r="LH199" s="286"/>
      <c r="LI199" s="286"/>
      <c r="LJ199" s="286"/>
      <c r="LK199" s="286"/>
    </row>
    <row r="200">
      <c r="A200" s="49" t="s">
        <v>291</v>
      </c>
      <c r="B200" s="85">
        <v>1.144543018E9</v>
      </c>
      <c r="C200" s="86">
        <v>8.18805074E8</v>
      </c>
      <c r="D200" s="249">
        <v>3.25737944E8</v>
      </c>
      <c r="E200" s="85"/>
      <c r="F200" s="85">
        <v>1.70376602E8</v>
      </c>
      <c r="G200" s="86">
        <v>6.9703108E7</v>
      </c>
      <c r="H200" s="86">
        <v>2.4007971E8</v>
      </c>
      <c r="I200" s="249">
        <v>8.5658235E7</v>
      </c>
      <c r="J200" s="85"/>
      <c r="K200" s="85">
        <v>460053.0</v>
      </c>
      <c r="L200" s="86">
        <v>483715.0</v>
      </c>
      <c r="M200" s="262">
        <v>-23661.0</v>
      </c>
      <c r="N200" s="249">
        <v>8.5634573E7</v>
      </c>
      <c r="O200" s="85"/>
      <c r="P200" s="85" t="s">
        <v>295</v>
      </c>
      <c r="Q200" s="85" t="s">
        <v>295</v>
      </c>
      <c r="R200" s="249">
        <v>8.5634573E7</v>
      </c>
      <c r="S200" s="85" t="s">
        <v>295</v>
      </c>
      <c r="T200" s="249">
        <v>8.5634573E7</v>
      </c>
      <c r="U200" s="195"/>
      <c r="V200" s="105"/>
      <c r="W200" s="109"/>
      <c r="X200" s="58"/>
      <c r="Y200" s="195"/>
      <c r="AB200" s="27"/>
      <c r="AC200" s="27"/>
      <c r="AD200" s="28">
        <v>1.641096083E9</v>
      </c>
      <c r="AE200" s="28">
        <v>4.302787999E9</v>
      </c>
      <c r="AF200" s="28"/>
      <c r="AG200" s="28">
        <v>-864888.0</v>
      </c>
      <c r="AH200" s="28">
        <v>2.49945666E8</v>
      </c>
      <c r="AI200" s="27"/>
      <c r="AJ200" s="27"/>
      <c r="AK200" s="28">
        <v>1.629146706E9</v>
      </c>
      <c r="AL200" s="28">
        <v>5.6726876E7</v>
      </c>
      <c r="AM200" s="61">
        <v>1.67530951E8</v>
      </c>
      <c r="AN200" s="62">
        <v>8.046369393E9</v>
      </c>
      <c r="AO200" s="27"/>
      <c r="AP200" s="27"/>
      <c r="AQ200" s="110">
        <v>5.52381626E8</v>
      </c>
      <c r="AR200" s="27"/>
      <c r="AS200" s="61"/>
      <c r="AT200" s="61"/>
      <c r="AU200" s="61">
        <v>1.06142835E8</v>
      </c>
      <c r="AV200" s="61">
        <v>6.58524461E8</v>
      </c>
      <c r="AW200" s="62">
        <v>8.704893855E9</v>
      </c>
      <c r="AY200" s="27"/>
      <c r="AZ200" s="27"/>
      <c r="BA200" s="28">
        <v>3.494720427E9</v>
      </c>
      <c r="BC200" s="27"/>
      <c r="BD200" s="27"/>
      <c r="BE200" s="28">
        <v>4.17701635E8</v>
      </c>
      <c r="BG200" s="110"/>
      <c r="BH200" s="110"/>
      <c r="BI200" s="28">
        <v>1.406789995E9</v>
      </c>
      <c r="BJ200" s="27"/>
      <c r="BK200" s="28"/>
      <c r="BL200" s="62">
        <v>5.319212057E9</v>
      </c>
      <c r="BM200" s="28"/>
      <c r="BN200" s="27"/>
      <c r="BO200" s="27"/>
      <c r="BP200" s="27"/>
      <c r="BQ200" s="28">
        <v>5.55320639E8</v>
      </c>
      <c r="BR200" s="28"/>
      <c r="BS200" s="28">
        <v>5.55320639E8</v>
      </c>
      <c r="BT200" s="62">
        <v>5.874532696E9</v>
      </c>
      <c r="BV200" s="28">
        <v>2.5E8</v>
      </c>
      <c r="BW200" s="27"/>
      <c r="BX200" s="28">
        <v>8.5634573E7</v>
      </c>
      <c r="BY200" s="28">
        <v>2.607957987E9</v>
      </c>
      <c r="BZ200" s="61">
        <v>-1.13231401E8</v>
      </c>
      <c r="CA200" s="111"/>
      <c r="CB200" s="61">
        <v>2.83036116E9</v>
      </c>
      <c r="CC200" s="61">
        <v>8.704893855E9</v>
      </c>
      <c r="CD200" s="62">
        <f t="shared" ref="CD200:CD202" si="31">CC200+BT200</f>
        <v>14579426551</v>
      </c>
      <c r="CF200" s="49" t="s">
        <v>291</v>
      </c>
    </row>
    <row r="201">
      <c r="A201" s="49" t="s">
        <v>296</v>
      </c>
      <c r="B201" s="85">
        <v>2.267191045E9</v>
      </c>
      <c r="C201" s="86">
        <v>1.652036551E9</v>
      </c>
      <c r="D201" s="249">
        <v>6.15154494E8</v>
      </c>
      <c r="E201" s="85"/>
      <c r="F201" s="85">
        <v>2.3334987E8</v>
      </c>
      <c r="G201" s="86">
        <v>2.07595942E8</v>
      </c>
      <c r="H201" s="86">
        <v>4.40945812E8</v>
      </c>
      <c r="I201" s="249">
        <v>1.74208682E8</v>
      </c>
      <c r="J201" s="85"/>
      <c r="K201" s="85">
        <v>529318.0</v>
      </c>
      <c r="L201" s="86">
        <v>420957.0</v>
      </c>
      <c r="M201" s="262">
        <v>108361.0</v>
      </c>
      <c r="N201" s="249">
        <v>1.74317042E8</v>
      </c>
      <c r="O201" s="85"/>
      <c r="P201" s="85" t="s">
        <v>295</v>
      </c>
      <c r="Q201" s="85" t="s">
        <v>295</v>
      </c>
      <c r="R201" s="249">
        <v>1.74317042E8</v>
      </c>
      <c r="S201" s="85" t="s">
        <v>295</v>
      </c>
      <c r="T201" s="249">
        <v>1.74317042E8</v>
      </c>
      <c r="U201" s="195"/>
      <c r="V201" s="105"/>
      <c r="W201" s="109"/>
      <c r="X201" s="58"/>
      <c r="Y201" s="195"/>
      <c r="AB201" s="27"/>
      <c r="AC201" s="27"/>
      <c r="AD201" s="28">
        <v>7.73358345E8</v>
      </c>
      <c r="AE201" s="28">
        <v>4.356416249E9</v>
      </c>
      <c r="AF201" s="28"/>
      <c r="AG201" s="28">
        <v>-864888.0</v>
      </c>
      <c r="AH201" s="28">
        <v>1.255945666E9</v>
      </c>
      <c r="AI201" s="27"/>
      <c r="AJ201" s="27"/>
      <c r="AK201" s="28">
        <v>2.414763355E9</v>
      </c>
      <c r="AL201" s="28">
        <v>1.04598709E8</v>
      </c>
      <c r="AM201" s="61">
        <v>3.61937615E8</v>
      </c>
      <c r="AN201" s="62">
        <v>9.266155051E9</v>
      </c>
      <c r="AO201" s="27"/>
      <c r="AP201" s="27"/>
      <c r="AQ201" s="28">
        <v>5.56483903E8</v>
      </c>
      <c r="AR201" s="27"/>
      <c r="AS201" s="61"/>
      <c r="AT201" s="61"/>
      <c r="AU201" s="61">
        <v>1.06142835E8</v>
      </c>
      <c r="AV201" s="61">
        <v>6.62626738E8</v>
      </c>
      <c r="AW201" s="62">
        <v>9.928781789E9</v>
      </c>
      <c r="AX201" s="15"/>
      <c r="AY201" s="27"/>
      <c r="AZ201" s="27"/>
      <c r="BA201" s="28">
        <v>4.141278902E9</v>
      </c>
      <c r="BB201" s="27"/>
      <c r="BC201" s="27"/>
      <c r="BD201" s="27"/>
      <c r="BE201" s="28">
        <v>5.42039048E8</v>
      </c>
      <c r="BF201" s="27"/>
      <c r="BG201" s="28"/>
      <c r="BH201" s="28"/>
      <c r="BI201" s="28">
        <v>1.685464999E9</v>
      </c>
      <c r="BJ201" s="27"/>
      <c r="BK201" s="27"/>
      <c r="BL201" s="62">
        <v>6.368782949E9</v>
      </c>
      <c r="BM201" s="27"/>
      <c r="BN201" s="27"/>
      <c r="BO201" s="27"/>
      <c r="BP201" s="27"/>
      <c r="BQ201" s="28">
        <v>5.55320639E8</v>
      </c>
      <c r="BR201" s="27"/>
      <c r="BS201" s="28">
        <v>5.55320639E8</v>
      </c>
      <c r="BT201" s="62">
        <v>6.924103588E9</v>
      </c>
      <c r="BU201" s="27"/>
      <c r="BV201" s="28">
        <v>2.5E8</v>
      </c>
      <c r="BW201" s="27"/>
      <c r="BX201" s="28">
        <v>2.59951616E8</v>
      </c>
      <c r="BY201" s="28">
        <v>2.607957987E9</v>
      </c>
      <c r="BZ201" s="61">
        <v>-1.13231401E8</v>
      </c>
      <c r="CA201" s="111"/>
      <c r="CB201" s="61">
        <v>3.004678202E9</v>
      </c>
      <c r="CC201" s="61">
        <v>9.928781789E9</v>
      </c>
      <c r="CD201" s="62">
        <f t="shared" si="31"/>
        <v>16852885377</v>
      </c>
      <c r="CF201" s="49" t="s">
        <v>296</v>
      </c>
    </row>
    <row r="202">
      <c r="A202" s="49" t="s">
        <v>299</v>
      </c>
      <c r="B202" s="85">
        <v>2.638907304E9</v>
      </c>
      <c r="C202" s="86">
        <v>2.250796552E9</v>
      </c>
      <c r="D202" s="249">
        <v>3.88110752E8</v>
      </c>
      <c r="E202" s="85"/>
      <c r="F202" s="85">
        <v>2.30510706E8</v>
      </c>
      <c r="G202" s="86">
        <v>6.1525024E7</v>
      </c>
      <c r="H202" s="86">
        <v>2.9203573E8</v>
      </c>
      <c r="I202" s="249">
        <v>9.6075022E7</v>
      </c>
      <c r="J202" s="85"/>
      <c r="K202" s="85">
        <v>348651.0</v>
      </c>
      <c r="L202" s="86">
        <v>428514.0</v>
      </c>
      <c r="M202" s="262">
        <v>-79863.0</v>
      </c>
      <c r="N202" s="249">
        <v>9.5995159E7</v>
      </c>
      <c r="O202" s="85"/>
      <c r="P202" s="85" t="s">
        <v>295</v>
      </c>
      <c r="Q202" s="85" t="s">
        <v>295</v>
      </c>
      <c r="R202" s="249">
        <v>9.5995159E7</v>
      </c>
      <c r="S202" s="85" t="s">
        <v>295</v>
      </c>
      <c r="T202" s="249">
        <v>9.5995159E7</v>
      </c>
      <c r="U202" s="195"/>
      <c r="V202" s="105"/>
      <c r="W202" s="109"/>
      <c r="X202" s="58"/>
      <c r="Y202" s="195"/>
      <c r="AB202" s="27"/>
      <c r="AC202" s="27"/>
      <c r="AD202" s="28">
        <v>9.34831672E8</v>
      </c>
      <c r="AE202" s="28">
        <v>4.182925356E9</v>
      </c>
      <c r="AF202" s="28"/>
      <c r="AG202" s="28">
        <v>-864888.0</v>
      </c>
      <c r="AH202" s="28">
        <v>1.255345666E9</v>
      </c>
      <c r="AI202" s="27"/>
      <c r="AJ202" s="27"/>
      <c r="AK202" s="28">
        <v>2.588502281E9</v>
      </c>
      <c r="AL202" s="28">
        <v>2.46356718E8</v>
      </c>
      <c r="AM202" s="61">
        <v>4.30438093E8</v>
      </c>
      <c r="AN202" s="62">
        <v>9.637534898E9</v>
      </c>
      <c r="AO202" s="27"/>
      <c r="AP202" s="27"/>
      <c r="AQ202" s="28">
        <v>5.4578318E8</v>
      </c>
      <c r="AR202" s="27"/>
      <c r="AS202" s="61"/>
      <c r="AT202" s="61"/>
      <c r="AU202" s="61">
        <v>1.06142835E8</v>
      </c>
      <c r="AV202" s="61">
        <v>6.51926015E8</v>
      </c>
      <c r="AW202" s="62">
        <v>1.0289460913E10</v>
      </c>
      <c r="AX202" s="15"/>
      <c r="AY202" s="27"/>
      <c r="AZ202" s="27"/>
      <c r="BA202" s="28">
        <v>4.906393564E9</v>
      </c>
      <c r="BB202" s="27"/>
      <c r="BC202" s="27"/>
      <c r="BD202" s="27"/>
      <c r="BE202" s="28">
        <v>5.89608351E8</v>
      </c>
      <c r="BF202" s="27"/>
      <c r="BG202" s="28"/>
      <c r="BH202" s="28"/>
      <c r="BI202" s="28">
        <v>1.137464999E9</v>
      </c>
      <c r="BJ202" s="27"/>
      <c r="BK202" s="27"/>
      <c r="BL202" s="62">
        <v>6.633466914E9</v>
      </c>
      <c r="BM202" s="27"/>
      <c r="BN202" s="27"/>
      <c r="BO202" s="27"/>
      <c r="BP202" s="27"/>
      <c r="BQ202" s="28">
        <v>5.55320639E8</v>
      </c>
      <c r="BR202" s="27"/>
      <c r="BS202" s="28">
        <v>5.55320639E8</v>
      </c>
      <c r="BT202" s="62">
        <v>7.188787553E9</v>
      </c>
      <c r="BU202" s="27"/>
      <c r="BV202" s="28">
        <v>2.5E8</v>
      </c>
      <c r="BW202" s="27"/>
      <c r="BX202" s="28">
        <v>3.55946774E8</v>
      </c>
      <c r="BY202" s="28">
        <v>2.607957987E9</v>
      </c>
      <c r="BZ202" s="61">
        <v>-1.13231401E8</v>
      </c>
      <c r="CA202" s="111"/>
      <c r="CB202" s="61">
        <v>3.100673361E9</v>
      </c>
      <c r="CC202" s="61">
        <v>1.0289460913E10</v>
      </c>
      <c r="CD202" s="62">
        <f t="shared" si="31"/>
        <v>17478248466</v>
      </c>
      <c r="CF202" s="49" t="s">
        <v>299</v>
      </c>
    </row>
    <row r="203">
      <c r="A203" s="49" t="s">
        <v>302</v>
      </c>
      <c r="B203" s="85">
        <v>9.387963682E9</v>
      </c>
      <c r="C203" s="86">
        <v>6.778094011E9</v>
      </c>
      <c r="D203" s="249">
        <v>2.609869672E9</v>
      </c>
      <c r="E203" s="85"/>
      <c r="F203" s="85">
        <v>2.04123465E8</v>
      </c>
      <c r="G203" s="86">
        <v>6.9176309E7</v>
      </c>
      <c r="H203" s="86">
        <v>2.73299774E8</v>
      </c>
      <c r="I203" s="249">
        <v>2.336569897E9</v>
      </c>
      <c r="J203" s="85"/>
      <c r="K203" s="85">
        <v>1508295.0</v>
      </c>
      <c r="L203" s="86">
        <v>584274.0</v>
      </c>
      <c r="M203" s="262">
        <v>924021.0</v>
      </c>
      <c r="N203" s="249">
        <v>2.337493919E9</v>
      </c>
      <c r="O203" s="85"/>
      <c r="P203" s="85" t="s">
        <v>295</v>
      </c>
      <c r="Q203" s="85" t="s">
        <v>295</v>
      </c>
      <c r="R203" s="249">
        <v>2.337493919E9</v>
      </c>
      <c r="S203" s="85" t="s">
        <v>295</v>
      </c>
      <c r="T203" s="249">
        <v>2.337493919E9</v>
      </c>
      <c r="U203" s="195"/>
      <c r="V203" s="105"/>
      <c r="W203" s="104"/>
      <c r="X203" s="58"/>
      <c r="Y203" s="195"/>
      <c r="AB203" s="27"/>
      <c r="AC203" s="27"/>
      <c r="AD203" s="28">
        <v>4.734714452E9</v>
      </c>
      <c r="AE203" s="28">
        <v>7.477838779E9</v>
      </c>
      <c r="AF203" s="28"/>
      <c r="AG203" s="28">
        <v>-7.512846E7</v>
      </c>
      <c r="AH203" s="28">
        <v>5.52745666E8</v>
      </c>
      <c r="AI203" s="27"/>
      <c r="AJ203" s="27"/>
      <c r="AK203" s="28">
        <v>2.528098482E9</v>
      </c>
      <c r="AL203" s="28">
        <v>2.26684144E8</v>
      </c>
      <c r="AM203" s="61">
        <v>9.43449815E8</v>
      </c>
      <c r="AN203" s="62">
        <v>1.6388402877E10</v>
      </c>
      <c r="AO203" s="27"/>
      <c r="AP203" s="27"/>
      <c r="AQ203" s="28">
        <v>5.35082457E8</v>
      </c>
      <c r="AR203" s="27"/>
      <c r="AS203" s="61"/>
      <c r="AT203" s="61"/>
      <c r="AU203" s="61">
        <v>1.81711897E8</v>
      </c>
      <c r="AV203" s="61">
        <v>7.16794354E8</v>
      </c>
      <c r="AW203" s="62">
        <v>1.7105197231E10</v>
      </c>
      <c r="AX203" s="15"/>
      <c r="AY203" s="27"/>
      <c r="AZ203" s="27"/>
      <c r="BA203" s="28">
        <v>8.743332082E9</v>
      </c>
      <c r="BB203" s="27"/>
      <c r="BC203" s="27"/>
      <c r="BD203" s="27"/>
      <c r="BE203" s="28">
        <v>1.105444878E9</v>
      </c>
      <c r="BF203" s="27"/>
      <c r="BG203" s="28"/>
      <c r="BH203" s="28"/>
      <c r="BI203" s="28">
        <v>1.275970476E9</v>
      </c>
      <c r="BJ203" s="27"/>
      <c r="BK203" s="27"/>
      <c r="BL203" s="62">
        <v>1.1124747436E10</v>
      </c>
      <c r="BM203" s="27"/>
      <c r="BN203" s="27"/>
      <c r="BO203" s="27"/>
      <c r="BP203" s="27"/>
      <c r="BQ203" s="28">
        <v>8.245528E8</v>
      </c>
      <c r="BR203" s="27"/>
      <c r="BS203" s="28">
        <v>8.245528E8</v>
      </c>
      <c r="BT203" s="62">
        <v>1.1949300236E10</v>
      </c>
      <c r="BU203" s="27"/>
      <c r="BV203" s="28">
        <v>2.5E8</v>
      </c>
      <c r="BW203" s="27"/>
      <c r="BX203" s="28">
        <v>2.693440693E9</v>
      </c>
      <c r="BY203" s="28">
        <v>2.378731787E9</v>
      </c>
      <c r="BZ203" s="61">
        <v>-1.66275485E8</v>
      </c>
      <c r="CA203" s="111"/>
      <c r="CB203" s="111"/>
      <c r="CC203" s="61">
        <v>5.155896995E9</v>
      </c>
      <c r="CD203" s="62">
        <v>1.7105197231E10</v>
      </c>
      <c r="CF203" s="49" t="s">
        <v>302</v>
      </c>
    </row>
    <row r="204">
      <c r="A204" s="49" t="s">
        <v>304</v>
      </c>
      <c r="B204" s="85">
        <v>6.898387176E9</v>
      </c>
      <c r="C204" s="86">
        <v>5.966708402E9</v>
      </c>
      <c r="D204" s="249">
        <v>9.31678774E8</v>
      </c>
      <c r="E204" s="85"/>
      <c r="F204" s="85">
        <v>2.60335341E8</v>
      </c>
      <c r="G204" s="86">
        <v>1.45831906E8</v>
      </c>
      <c r="H204" s="86">
        <v>4.06167247E8</v>
      </c>
      <c r="I204" s="249">
        <v>5.25511527E8</v>
      </c>
      <c r="J204" s="85"/>
      <c r="K204" s="85">
        <v>2145052.0</v>
      </c>
      <c r="L204" s="86">
        <v>674261.0</v>
      </c>
      <c r="M204" s="262">
        <v>1470791.0</v>
      </c>
      <c r="N204" s="249">
        <v>5.26982318E8</v>
      </c>
      <c r="O204" s="85"/>
      <c r="P204" s="85" t="s">
        <v>295</v>
      </c>
      <c r="Q204" s="85" t="s">
        <v>295</v>
      </c>
      <c r="R204" s="249">
        <v>5.26982318E8</v>
      </c>
      <c r="S204" s="85" t="s">
        <v>295</v>
      </c>
      <c r="T204" s="249">
        <v>5.26982318E8</v>
      </c>
      <c r="U204" s="109"/>
      <c r="V204" s="105"/>
      <c r="W204" s="104"/>
      <c r="X204" s="109"/>
      <c r="Y204" s="109"/>
      <c r="AB204" s="27"/>
      <c r="AC204" s="27"/>
      <c r="AD204" s="28">
        <v>9.53026432E8</v>
      </c>
      <c r="AE204" s="28">
        <v>1.0588712621E10</v>
      </c>
      <c r="AF204" s="28"/>
      <c r="AG204" s="28">
        <v>-7.512846E7</v>
      </c>
      <c r="AH204" s="28">
        <v>4.50145666E8</v>
      </c>
      <c r="AI204" s="27"/>
      <c r="AJ204" s="27"/>
      <c r="AK204" s="28">
        <v>1.3312147276E10</v>
      </c>
      <c r="AL204" s="28">
        <v>6.98335748E8</v>
      </c>
      <c r="AM204" s="61">
        <v>1.878246737E9</v>
      </c>
      <c r="AN204" s="62">
        <v>2.7805486019E10</v>
      </c>
      <c r="AO204" s="27"/>
      <c r="AP204" s="27"/>
      <c r="AQ204" s="28">
        <v>5.24381734E8</v>
      </c>
      <c r="AR204" s="27"/>
      <c r="AS204" s="61"/>
      <c r="AT204" s="61"/>
      <c r="AU204" s="61">
        <v>1.81711897E8</v>
      </c>
      <c r="AV204" s="61">
        <v>7.06093631E8</v>
      </c>
      <c r="AW204" s="63">
        <v>2.851157965E10</v>
      </c>
      <c r="AX204" s="15"/>
      <c r="AY204" s="27"/>
      <c r="AZ204" s="27"/>
      <c r="BA204" s="28">
        <v>2.1165706088E10</v>
      </c>
      <c r="BB204" s="27"/>
      <c r="BC204" s="27"/>
      <c r="BD204" s="27"/>
      <c r="BE204" s="28">
        <v>8.36320974E8</v>
      </c>
      <c r="BF204" s="27"/>
      <c r="BG204" s="28"/>
      <c r="BH204" s="28"/>
      <c r="BI204" s="28">
        <v>2120475.0</v>
      </c>
      <c r="BJ204" s="27"/>
      <c r="BK204" s="27"/>
      <c r="BL204" s="62">
        <v>2.2004147537E10</v>
      </c>
      <c r="BM204" s="27"/>
      <c r="BN204" s="27"/>
      <c r="BO204" s="27"/>
      <c r="BP204" s="27"/>
      <c r="BQ204" s="28">
        <v>8.245528E8</v>
      </c>
      <c r="BR204" s="27"/>
      <c r="BS204" s="28">
        <v>8.245528E8</v>
      </c>
      <c r="BT204" s="62">
        <v>2.2828700337E10</v>
      </c>
      <c r="BU204" s="27"/>
      <c r="BV204" s="28">
        <v>2.5E8</v>
      </c>
      <c r="BW204" s="27"/>
      <c r="BX204" s="28">
        <v>2.378731787E9</v>
      </c>
      <c r="BY204" s="28">
        <v>3.220423011E9</v>
      </c>
      <c r="BZ204" s="61">
        <v>-1.66275485E8</v>
      </c>
      <c r="CA204" s="111"/>
      <c r="CB204" s="111"/>
      <c r="CC204" s="61">
        <v>5.682879313E9</v>
      </c>
      <c r="CD204" s="62">
        <v>2.851157965E10</v>
      </c>
      <c r="CF204" s="49" t="s">
        <v>304</v>
      </c>
    </row>
    <row r="205">
      <c r="A205" s="49" t="s">
        <v>313</v>
      </c>
      <c r="B205" s="50">
        <v>8.870978828E9</v>
      </c>
      <c r="C205" s="52">
        <v>7.432347754E9</v>
      </c>
      <c r="D205" s="53">
        <v>1.438631074E9</v>
      </c>
      <c r="E205" s="50"/>
      <c r="F205" s="50">
        <v>4.03360607E8</v>
      </c>
      <c r="G205" s="52">
        <v>2.12746347E8</v>
      </c>
      <c r="H205" s="52">
        <v>6.16106954E8</v>
      </c>
      <c r="I205" s="53">
        <v>8.2252412E8</v>
      </c>
      <c r="J205" s="50"/>
      <c r="K205" s="50">
        <v>708814.0</v>
      </c>
      <c r="L205" s="52">
        <v>742215.0</v>
      </c>
      <c r="M205" s="54">
        <v>-33401.0</v>
      </c>
      <c r="N205" s="53">
        <v>8.22490719E8</v>
      </c>
      <c r="O205" s="50"/>
      <c r="P205" s="85"/>
      <c r="Q205" s="85"/>
      <c r="R205" s="53">
        <v>8.22490719E8</v>
      </c>
      <c r="S205" s="85"/>
      <c r="T205" s="53">
        <v>8.22490719E8</v>
      </c>
      <c r="U205" s="109"/>
      <c r="V205" s="105"/>
      <c r="W205" s="104"/>
      <c r="X205" s="109"/>
      <c r="Y205" s="109"/>
      <c r="AB205" s="27"/>
      <c r="AC205" s="27"/>
      <c r="AD205" s="28">
        <v>6.98549522E8</v>
      </c>
      <c r="AE205" s="28">
        <v>1.0657385056E10</v>
      </c>
      <c r="AF205" s="28"/>
      <c r="AG205" s="28">
        <v>-7.512846E7</v>
      </c>
      <c r="AH205" s="28">
        <v>3.659209E8</v>
      </c>
      <c r="AI205" s="27"/>
      <c r="AJ205" s="27"/>
      <c r="AK205" s="28">
        <v>1.2602319993E10</v>
      </c>
      <c r="AL205" s="28">
        <v>6.69008632E8</v>
      </c>
      <c r="AM205" s="61">
        <v>2.065073703E9</v>
      </c>
      <c r="AN205" s="62">
        <v>2.6983129345E10</v>
      </c>
      <c r="AO205" s="27"/>
      <c r="AP205" s="27"/>
      <c r="AQ205" s="28">
        <v>5.30998719E8</v>
      </c>
      <c r="AR205" s="27"/>
      <c r="AS205" s="61"/>
      <c r="AT205" s="61"/>
      <c r="AU205" s="61">
        <v>1.81711897E8</v>
      </c>
      <c r="AV205" s="61">
        <v>7.12710616E8</v>
      </c>
      <c r="AW205" s="63">
        <v>2.7695839961E10</v>
      </c>
      <c r="AX205" s="15"/>
      <c r="AY205" s="27"/>
      <c r="AZ205" s="27"/>
      <c r="BA205" s="28">
        <v>1.9174797731E10</v>
      </c>
      <c r="BB205" s="27"/>
      <c r="BC205" s="27"/>
      <c r="BD205" s="27"/>
      <c r="BE205" s="28">
        <v>1.038998922E9</v>
      </c>
      <c r="BF205" s="27"/>
      <c r="BG205" s="28"/>
      <c r="BH205" s="28"/>
      <c r="BI205" s="28">
        <v>1.52120475E8</v>
      </c>
      <c r="BJ205" s="27"/>
      <c r="BK205" s="27"/>
      <c r="BL205" s="62">
        <v>2.0365917129E10</v>
      </c>
      <c r="BM205" s="27"/>
      <c r="BN205" s="27"/>
      <c r="BO205" s="27"/>
      <c r="BP205" s="27"/>
      <c r="BQ205" s="28">
        <v>8.245528E8</v>
      </c>
      <c r="BR205" s="27"/>
      <c r="BS205" s="28">
        <v>8.245528E8</v>
      </c>
      <c r="BT205" s="62">
        <v>2.1190469929E10</v>
      </c>
      <c r="BU205" s="27"/>
      <c r="BV205" s="28">
        <v>2.5E8</v>
      </c>
      <c r="BW205" s="27"/>
      <c r="BX205" s="28">
        <v>4.04291373E9</v>
      </c>
      <c r="BY205" s="28">
        <v>2.378731787E9</v>
      </c>
      <c r="BZ205" s="61">
        <v>-1.66275485E8</v>
      </c>
      <c r="CA205" s="111"/>
      <c r="CB205" s="111"/>
      <c r="CC205" s="61">
        <v>6.505370032E9</v>
      </c>
      <c r="CD205" s="62">
        <v>2.7695839961E10</v>
      </c>
      <c r="CF205" s="49" t="s">
        <v>313</v>
      </c>
    </row>
    <row r="206">
      <c r="A206" s="49" t="s">
        <v>316</v>
      </c>
      <c r="B206" s="50">
        <v>1.1596712948E10</v>
      </c>
      <c r="C206" s="52">
        <v>1.0074108124E10</v>
      </c>
      <c r="D206" s="53">
        <v>1.522604824E9</v>
      </c>
      <c r="E206" s="50"/>
      <c r="F206" s="50">
        <v>2.53100508E8</v>
      </c>
      <c r="G206" s="52">
        <v>1.34143428E8</v>
      </c>
      <c r="H206" s="52">
        <v>3.87243936E8</v>
      </c>
      <c r="I206" s="53">
        <v>1.135360888E9</v>
      </c>
      <c r="J206" s="50"/>
      <c r="K206" s="50">
        <v>666228.0</v>
      </c>
      <c r="L206" s="52">
        <v>631906.0</v>
      </c>
      <c r="M206" s="54">
        <v>34322.0</v>
      </c>
      <c r="N206" s="53">
        <v>1.135395211E9</v>
      </c>
      <c r="O206" s="50"/>
      <c r="P206" s="85"/>
      <c r="Q206" s="85"/>
      <c r="R206" s="53">
        <v>1.135395211E9</v>
      </c>
      <c r="S206" s="50"/>
      <c r="T206" s="53">
        <v>1.135395211E9</v>
      </c>
      <c r="U206" s="109"/>
      <c r="V206" s="105"/>
      <c r="W206" s="104"/>
      <c r="X206" s="109"/>
      <c r="Y206" s="109"/>
      <c r="AB206" s="28"/>
      <c r="AC206" s="28"/>
      <c r="AD206" s="28">
        <v>8.7137352E7</v>
      </c>
      <c r="AE206" s="28">
        <v>1.71176661E10</v>
      </c>
      <c r="AF206" s="28"/>
      <c r="AG206" s="28">
        <v>-7.512846E7</v>
      </c>
      <c r="AH206" s="28">
        <v>1.633209E8</v>
      </c>
      <c r="AI206" s="28"/>
      <c r="AJ206" s="28"/>
      <c r="AK206" s="28">
        <v>1.160468752E10</v>
      </c>
      <c r="AL206" s="28">
        <v>6.07902065E8</v>
      </c>
      <c r="AM206" s="61">
        <v>2.163812842E9</v>
      </c>
      <c r="AN206" s="62">
        <v>3.1669398318E10</v>
      </c>
      <c r="AO206" s="28"/>
      <c r="AP206" s="28"/>
      <c r="AQ206" s="28">
        <v>5.20115704E8</v>
      </c>
      <c r="AR206" s="28"/>
      <c r="AS206" s="61"/>
      <c r="AT206" s="61"/>
      <c r="AU206" s="61">
        <v>1.81711897E8</v>
      </c>
      <c r="AV206" s="61">
        <v>7.01827601E8</v>
      </c>
      <c r="AW206" s="63">
        <v>3.2371225919E10</v>
      </c>
      <c r="AX206" s="62"/>
      <c r="AY206" s="28"/>
      <c r="AZ206" s="28"/>
      <c r="BA206" s="28">
        <v>2.1297693266E10</v>
      </c>
      <c r="BB206" s="28"/>
      <c r="BC206" s="28"/>
      <c r="BD206" s="28"/>
      <c r="BE206" s="110">
        <v>1.336094136E9</v>
      </c>
      <c r="BF206" s="28"/>
      <c r="BG206" s="28"/>
      <c r="BH206" s="28"/>
      <c r="BI206" s="28">
        <v>1.272120475E9</v>
      </c>
      <c r="BJ206" s="28"/>
      <c r="BK206" s="28"/>
      <c r="BL206" s="62">
        <v>2.3905907877E10</v>
      </c>
      <c r="BM206" s="28"/>
      <c r="BN206" s="28"/>
      <c r="BO206" s="28"/>
      <c r="BP206" s="28"/>
      <c r="BQ206" s="28">
        <v>8.245528E8</v>
      </c>
      <c r="BR206" s="28"/>
      <c r="BS206" s="28">
        <v>8.245528E8</v>
      </c>
      <c r="BT206" s="62">
        <v>2.4730460677E10</v>
      </c>
      <c r="BU206" s="28"/>
      <c r="BV206" s="28">
        <v>2.5E8</v>
      </c>
      <c r="BW206" s="28"/>
      <c r="BX206" s="28">
        <v>2.378731787E9</v>
      </c>
      <c r="BY206" s="28">
        <v>5.17830894E9</v>
      </c>
      <c r="BZ206" s="61">
        <v>-1.66275485E8</v>
      </c>
      <c r="CA206" s="61"/>
      <c r="CB206" s="61"/>
      <c r="CC206" s="61">
        <v>7.640765243E9</v>
      </c>
      <c r="CD206" s="62">
        <v>3.2371225919E10</v>
      </c>
      <c r="CF206" s="49" t="s">
        <v>316</v>
      </c>
    </row>
    <row r="207">
      <c r="A207" s="49" t="s">
        <v>318</v>
      </c>
      <c r="B207" s="50">
        <v>1.3304537797E10</v>
      </c>
      <c r="C207" s="52">
        <v>1.1888546527E10</v>
      </c>
      <c r="D207" s="53">
        <v>1.41599127E9</v>
      </c>
      <c r="E207" s="50"/>
      <c r="F207" s="50">
        <v>3.41746808E8</v>
      </c>
      <c r="G207" s="52">
        <v>1.14720885E8</v>
      </c>
      <c r="H207" s="52">
        <v>4.56467693E8</v>
      </c>
      <c r="I207" s="53">
        <v>9.59523578E8</v>
      </c>
      <c r="J207" s="50"/>
      <c r="K207" s="50">
        <v>414893.0</v>
      </c>
      <c r="L207" s="52">
        <v>1.12093398E8</v>
      </c>
      <c r="M207" s="54">
        <v>-1.11678505E8</v>
      </c>
      <c r="N207" s="53">
        <v>8.47845073E8</v>
      </c>
      <c r="O207" s="50"/>
      <c r="P207" s="50"/>
      <c r="Q207" s="50"/>
      <c r="R207" s="53">
        <v>8.47845073E8</v>
      </c>
      <c r="S207" s="50"/>
      <c r="T207" s="53">
        <v>8.47845073E8</v>
      </c>
      <c r="U207" s="109"/>
      <c r="V207" s="105"/>
      <c r="W207" s="104"/>
      <c r="X207" s="109"/>
      <c r="Y207" s="109"/>
      <c r="AB207" s="27"/>
      <c r="AC207" s="27"/>
      <c r="AD207" s="28">
        <v>7.04317696E8</v>
      </c>
      <c r="AE207" s="28">
        <v>1.882741125E10</v>
      </c>
      <c r="AF207" s="27"/>
      <c r="AG207" s="28">
        <v>-7.512846E7</v>
      </c>
      <c r="AH207" s="28">
        <v>1.627209E8</v>
      </c>
      <c r="AI207" s="27"/>
      <c r="AJ207" s="27"/>
      <c r="AK207" s="28">
        <v>7.496621252E9</v>
      </c>
      <c r="AL207" s="28">
        <v>8.34884377E8</v>
      </c>
      <c r="AM207" s="61">
        <v>1.754405381E9</v>
      </c>
      <c r="AN207" s="62">
        <v>2.9705232395E10</v>
      </c>
      <c r="AO207" s="27"/>
      <c r="AP207" s="27"/>
      <c r="AQ207" s="28">
        <v>5.18069555E8</v>
      </c>
      <c r="AR207" s="27"/>
      <c r="AS207" s="111"/>
      <c r="AT207" s="111"/>
      <c r="AU207" s="61">
        <v>1.81711897E8</v>
      </c>
      <c r="AV207" s="61">
        <v>6.99781452E8</v>
      </c>
      <c r="AW207" s="63">
        <v>3.0405013847E10</v>
      </c>
      <c r="AX207" s="15"/>
      <c r="AY207" s="27"/>
      <c r="AZ207" s="27"/>
      <c r="BA207" s="28">
        <v>1.7942632478E10</v>
      </c>
      <c r="BB207" s="27"/>
      <c r="BC207" s="27"/>
      <c r="BD207" s="27"/>
      <c r="BE207" s="28">
        <v>1.532746171E9</v>
      </c>
      <c r="BF207" s="27"/>
      <c r="BG207" s="27"/>
      <c r="BH207" s="27"/>
      <c r="BI207" s="28">
        <v>1.616472083E9</v>
      </c>
      <c r="BJ207" s="27"/>
      <c r="BK207" s="27"/>
      <c r="BL207" s="62">
        <v>2.1091850732E10</v>
      </c>
      <c r="BM207" s="27"/>
      <c r="BN207" s="27"/>
      <c r="BO207" s="27"/>
      <c r="BP207" s="27"/>
      <c r="BQ207" s="28">
        <v>8.245528E8</v>
      </c>
      <c r="BR207" s="27"/>
      <c r="BS207" s="28">
        <v>8.245528E8</v>
      </c>
      <c r="BT207" s="62">
        <v>2.1916403532E10</v>
      </c>
      <c r="BU207" s="27"/>
      <c r="BV207" s="28">
        <v>2.5E8</v>
      </c>
      <c r="BW207" s="27"/>
      <c r="BX207" s="28">
        <v>6.026154013E9</v>
      </c>
      <c r="BY207" s="28">
        <v>2.378731787E9</v>
      </c>
      <c r="BZ207" s="61">
        <v>-1.66275485E8</v>
      </c>
      <c r="CA207" s="111"/>
      <c r="CB207" s="111"/>
      <c r="CC207" s="61">
        <v>8.488610315E9</v>
      </c>
      <c r="CD207" s="62">
        <v>3.0405013847E10</v>
      </c>
      <c r="CF207" s="49" t="s">
        <v>318</v>
      </c>
    </row>
    <row r="208">
      <c r="A208" s="49" t="s">
        <v>3</v>
      </c>
      <c r="B208" s="50">
        <v>7.832946505E9</v>
      </c>
      <c r="C208" s="52">
        <v>7.459020604E9</v>
      </c>
      <c r="D208" s="53">
        <v>3.73925901E8</v>
      </c>
      <c r="E208" s="50"/>
      <c r="F208" s="50">
        <v>2.68807067E8</v>
      </c>
      <c r="G208" s="50">
        <v>2.19913712E8</v>
      </c>
      <c r="H208" s="50">
        <v>4.88720779E8</v>
      </c>
      <c r="I208" s="53">
        <v>-1.14794878E8</v>
      </c>
      <c r="J208" s="50"/>
      <c r="K208" s="50">
        <v>943508.0</v>
      </c>
      <c r="L208" s="50">
        <v>529873.0</v>
      </c>
      <c r="M208" s="50">
        <v>413635.0</v>
      </c>
      <c r="N208" s="50">
        <v>-1.14381243E8</v>
      </c>
      <c r="O208" s="50"/>
      <c r="P208" s="50"/>
      <c r="Q208" s="50"/>
      <c r="R208" s="53">
        <v>-1.14381243E8</v>
      </c>
      <c r="S208" s="50"/>
      <c r="T208" s="53">
        <v>-1.14381243E8</v>
      </c>
      <c r="U208" s="109"/>
      <c r="V208" s="105"/>
      <c r="W208" s="104"/>
      <c r="X208" s="109"/>
      <c r="Y208" s="109"/>
      <c r="AB208" s="27"/>
      <c r="AC208" s="27"/>
      <c r="AD208" s="28">
        <v>2.144437159E9</v>
      </c>
      <c r="AE208" s="28">
        <v>1.4289997451E10</v>
      </c>
      <c r="AF208" s="27"/>
      <c r="AG208" s="28">
        <v>-7.512846E7</v>
      </c>
      <c r="AH208" s="28">
        <v>9800000.0</v>
      </c>
      <c r="AI208" s="27"/>
      <c r="AJ208" s="27"/>
      <c r="AK208" s="28">
        <v>6.607000395E9</v>
      </c>
      <c r="AL208" s="28">
        <v>7.88378814E8</v>
      </c>
      <c r="AM208" s="61">
        <v>1.102863836E9</v>
      </c>
      <c r="AN208" s="62">
        <v>2.4867349194E10</v>
      </c>
      <c r="AO208" s="27"/>
      <c r="AP208" s="27"/>
      <c r="AQ208" s="28">
        <v>5.11653481E8</v>
      </c>
      <c r="AR208" s="27"/>
      <c r="AS208" s="111"/>
      <c r="AT208" s="111"/>
      <c r="AU208" s="61">
        <v>1.81711897E8</v>
      </c>
      <c r="AV208" s="61">
        <v>6.93365378E8</v>
      </c>
      <c r="AW208" s="63">
        <v>2.5560714572E10</v>
      </c>
      <c r="AX208" s="15"/>
      <c r="AY208" s="27"/>
      <c r="AZ208" s="27"/>
      <c r="BA208" s="28">
        <v>1.5353450225E10</v>
      </c>
      <c r="BB208" s="27"/>
      <c r="BC208" s="27"/>
      <c r="BD208" s="27"/>
      <c r="BE208" s="28">
        <v>9.15895892E8</v>
      </c>
      <c r="BF208" s="27"/>
      <c r="BG208" s="27"/>
      <c r="BH208" s="27"/>
      <c r="BI208" s="28">
        <v>9.2586582E7</v>
      </c>
      <c r="BJ208" s="27"/>
      <c r="BK208" s="27"/>
      <c r="BL208" s="62">
        <v>1.63619327E10</v>
      </c>
      <c r="BM208" s="27"/>
      <c r="BN208" s="27"/>
      <c r="BO208" s="27"/>
      <c r="BP208" s="27"/>
      <c r="BQ208" s="28">
        <v>8.245528E8</v>
      </c>
      <c r="BR208" s="27"/>
      <c r="BS208" s="28">
        <v>8.245528E8</v>
      </c>
      <c r="BT208" s="62">
        <v>1.71864855E10</v>
      </c>
      <c r="BU208" s="27"/>
      <c r="BV208" s="28">
        <v>2.5E8</v>
      </c>
      <c r="BW208" s="27"/>
      <c r="BX208" s="28">
        <v>2.378731787E9</v>
      </c>
      <c r="BY208" s="28">
        <v>5.91177277E9</v>
      </c>
      <c r="BZ208" s="61">
        <v>-1.66275485E8</v>
      </c>
      <c r="CA208" s="111"/>
      <c r="CB208" s="111"/>
      <c r="CC208" s="61">
        <v>8.374229072E9</v>
      </c>
      <c r="CD208" s="62">
        <v>2.5560714572E10</v>
      </c>
      <c r="CF208" s="49" t="s">
        <v>3</v>
      </c>
    </row>
    <row r="209">
      <c r="A209" s="49" t="s">
        <v>322</v>
      </c>
      <c r="B209" s="50"/>
      <c r="C209" s="50"/>
      <c r="D209" s="50"/>
      <c r="E209" s="50"/>
      <c r="F209" s="50"/>
      <c r="G209" s="50"/>
      <c r="H209" s="50"/>
      <c r="I209" s="53"/>
      <c r="J209" s="50"/>
      <c r="K209" s="50"/>
      <c r="L209" s="50"/>
      <c r="M209" s="50"/>
      <c r="N209" s="50"/>
      <c r="O209" s="50"/>
      <c r="P209" s="50"/>
      <c r="Q209" s="50"/>
      <c r="R209" s="53"/>
      <c r="S209" s="50"/>
      <c r="T209" s="53"/>
      <c r="U209" s="109"/>
      <c r="V209" s="105"/>
      <c r="W209" s="104"/>
      <c r="X209" s="109"/>
      <c r="Y209" s="109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111"/>
      <c r="AN209" s="15"/>
      <c r="AO209" s="27"/>
      <c r="AP209" s="27"/>
      <c r="AQ209" s="27"/>
      <c r="AR209" s="27"/>
      <c r="AS209" s="111"/>
      <c r="AT209" s="111"/>
      <c r="AU209" s="111"/>
      <c r="AV209" s="111"/>
      <c r="AW209" s="113"/>
      <c r="AX209" s="15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111"/>
      <c r="CA209" s="111"/>
      <c r="CB209" s="111"/>
      <c r="CC209" s="111"/>
      <c r="CD209" s="15"/>
      <c r="CF209" s="49" t="s">
        <v>322</v>
      </c>
    </row>
    <row r="210">
      <c r="A210" s="49" t="s">
        <v>323</v>
      </c>
      <c r="B210" s="50"/>
      <c r="C210" s="50"/>
      <c r="D210" s="50"/>
      <c r="E210" s="50"/>
      <c r="F210" s="50"/>
      <c r="G210" s="50"/>
      <c r="H210" s="50"/>
      <c r="I210" s="53"/>
      <c r="J210" s="50"/>
      <c r="K210" s="50"/>
      <c r="L210" s="50"/>
      <c r="M210" s="50"/>
      <c r="N210" s="50"/>
      <c r="O210" s="50"/>
      <c r="P210" s="50"/>
      <c r="Q210" s="50"/>
      <c r="R210" s="53"/>
      <c r="S210" s="50"/>
      <c r="T210" s="53"/>
      <c r="U210" s="109"/>
      <c r="V210" s="105"/>
      <c r="W210" s="104"/>
      <c r="X210" s="109"/>
      <c r="Y210" s="109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111"/>
      <c r="AN210" s="15"/>
      <c r="AO210" s="27"/>
      <c r="AP210" s="27"/>
      <c r="AQ210" s="27"/>
      <c r="AR210" s="27"/>
      <c r="AS210" s="111"/>
      <c r="AT210" s="111"/>
      <c r="AU210" s="111"/>
      <c r="AV210" s="111"/>
      <c r="AW210" s="113"/>
      <c r="AX210" s="15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111"/>
      <c r="CA210" s="111"/>
      <c r="CB210" s="111"/>
      <c r="CC210" s="111"/>
      <c r="CD210" s="15"/>
      <c r="CF210" s="49" t="s">
        <v>323</v>
      </c>
    </row>
    <row r="211">
      <c r="A211" s="49" t="s">
        <v>324</v>
      </c>
      <c r="B211" s="50"/>
      <c r="C211" s="50"/>
      <c r="D211" s="50"/>
      <c r="E211" s="50"/>
      <c r="F211" s="50"/>
      <c r="G211" s="50"/>
      <c r="H211" s="50"/>
      <c r="I211" s="53"/>
      <c r="J211" s="50"/>
      <c r="K211" s="50"/>
      <c r="L211" s="50"/>
      <c r="M211" s="50"/>
      <c r="N211" s="50"/>
      <c r="O211" s="50"/>
      <c r="P211" s="50"/>
      <c r="Q211" s="50"/>
      <c r="R211" s="53"/>
      <c r="S211" s="50"/>
      <c r="T211" s="53"/>
      <c r="U211" s="109"/>
      <c r="V211" s="105"/>
      <c r="W211" s="104"/>
      <c r="X211" s="109"/>
      <c r="Y211" s="109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111"/>
      <c r="AN211" s="15"/>
      <c r="AO211" s="27"/>
      <c r="AP211" s="27"/>
      <c r="AQ211" s="27"/>
      <c r="AR211" s="27"/>
      <c r="AS211" s="111"/>
      <c r="AT211" s="111"/>
      <c r="AU211" s="111"/>
      <c r="AV211" s="111"/>
      <c r="AW211" s="113"/>
      <c r="AX211" s="15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111"/>
      <c r="CA211" s="111"/>
      <c r="CB211" s="111"/>
      <c r="CC211" s="111"/>
      <c r="CD211" s="15"/>
      <c r="CF211" s="49" t="s">
        <v>324</v>
      </c>
    </row>
    <row r="212">
      <c r="A212" s="116"/>
      <c r="B212" s="117"/>
      <c r="C212" s="117"/>
      <c r="D212" s="117"/>
      <c r="E212" s="117"/>
      <c r="F212" s="117"/>
      <c r="G212" s="117"/>
      <c r="H212" s="117"/>
      <c r="I212" s="287"/>
      <c r="J212" s="117"/>
      <c r="K212" s="117"/>
      <c r="L212" s="117"/>
      <c r="M212" s="117"/>
      <c r="N212" s="117"/>
      <c r="O212" s="117"/>
      <c r="P212" s="117"/>
      <c r="Q212" s="117"/>
      <c r="R212" s="287"/>
      <c r="S212" s="117"/>
      <c r="T212" s="287"/>
      <c r="U212" s="116"/>
      <c r="V212" s="118"/>
      <c r="W212" s="116"/>
      <c r="X212" s="116"/>
      <c r="Y212" s="116"/>
      <c r="Z212" s="116"/>
      <c r="AA212" s="116"/>
      <c r="AB212" s="116"/>
      <c r="AC212" s="116"/>
      <c r="AD212" s="116"/>
      <c r="AE212" s="119"/>
      <c r="AF212" s="116"/>
      <c r="AG212" s="116"/>
      <c r="AH212" s="116"/>
      <c r="AI212" s="116"/>
      <c r="AJ212" s="116"/>
      <c r="AK212" s="116"/>
      <c r="AL212" s="116"/>
      <c r="AM212" s="120"/>
      <c r="AN212" s="121"/>
      <c r="AO212" s="116"/>
      <c r="AP212" s="116"/>
      <c r="AQ212" s="116"/>
      <c r="AR212" s="116"/>
      <c r="AS212" s="116"/>
      <c r="AT212" s="116"/>
      <c r="AU212" s="116"/>
      <c r="AV212" s="116"/>
      <c r="AW212" s="116"/>
      <c r="AX212" s="116"/>
      <c r="AY212" s="116"/>
      <c r="AZ212" s="116"/>
      <c r="BA212" s="116"/>
      <c r="BB212" s="116"/>
      <c r="BC212" s="116"/>
      <c r="BD212" s="116"/>
      <c r="BE212" s="116"/>
      <c r="BF212" s="116"/>
      <c r="BG212" s="116"/>
      <c r="BH212" s="116"/>
      <c r="BI212" s="116"/>
      <c r="BJ212" s="116"/>
      <c r="BK212" s="116"/>
      <c r="BL212" s="116"/>
      <c r="BM212" s="116"/>
      <c r="BN212" s="116"/>
      <c r="BO212" s="116"/>
      <c r="BP212" s="116"/>
      <c r="BQ212" s="116"/>
      <c r="BR212" s="116"/>
      <c r="BS212" s="116"/>
      <c r="BT212" s="121"/>
      <c r="BU212" s="116"/>
      <c r="BV212" s="116"/>
      <c r="BW212" s="116"/>
      <c r="BX212" s="116"/>
      <c r="BY212" s="116"/>
      <c r="BZ212" s="116"/>
      <c r="CA212" s="116"/>
      <c r="CB212" s="116"/>
      <c r="CC212" s="122"/>
      <c r="CD212" s="122"/>
      <c r="CE212" s="116"/>
      <c r="CF212" s="116"/>
      <c r="CG212" s="116"/>
      <c r="CH212" s="116"/>
      <c r="CI212" s="116"/>
      <c r="CJ212" s="116"/>
      <c r="CK212" s="116"/>
      <c r="CL212" s="116"/>
      <c r="CM212" s="116"/>
      <c r="CN212" s="116"/>
      <c r="CO212" s="116"/>
      <c r="CP212" s="116"/>
      <c r="CQ212" s="116"/>
      <c r="CR212" s="116"/>
      <c r="CS212" s="116"/>
      <c r="CT212" s="116"/>
      <c r="CU212" s="116"/>
      <c r="CV212" s="116"/>
      <c r="CW212" s="116"/>
      <c r="CX212" s="116"/>
      <c r="CY212" s="116"/>
      <c r="CZ212" s="116"/>
      <c r="DA212" s="116"/>
      <c r="DB212" s="116"/>
      <c r="DC212" s="116"/>
      <c r="DD212" s="116"/>
      <c r="DE212" s="116"/>
      <c r="DF212" s="116"/>
      <c r="DG212" s="116"/>
      <c r="DH212" s="116"/>
      <c r="DI212" s="116"/>
      <c r="DJ212" s="116"/>
      <c r="DK212" s="116"/>
      <c r="DL212" s="116"/>
      <c r="DM212" s="116"/>
      <c r="DN212" s="116"/>
      <c r="DO212" s="116"/>
      <c r="DP212" s="116"/>
      <c r="DQ212" s="116"/>
      <c r="DR212" s="116"/>
      <c r="DS212" s="116"/>
      <c r="DT212" s="116"/>
      <c r="DU212" s="116"/>
      <c r="DV212" s="116"/>
      <c r="DW212" s="116"/>
      <c r="DX212" s="116"/>
      <c r="DY212" s="116"/>
      <c r="DZ212" s="116"/>
      <c r="EA212" s="116"/>
      <c r="EB212" s="116"/>
      <c r="EC212" s="116"/>
      <c r="ED212" s="116"/>
      <c r="EE212" s="116"/>
      <c r="EF212" s="116"/>
      <c r="EG212" s="116"/>
      <c r="EH212" s="116"/>
      <c r="EI212" s="116"/>
      <c r="EJ212" s="116"/>
      <c r="EK212" s="116"/>
      <c r="EL212" s="116"/>
      <c r="EM212" s="116"/>
      <c r="EN212" s="116"/>
      <c r="EO212" s="116"/>
      <c r="EP212" s="116"/>
      <c r="EQ212" s="116"/>
      <c r="ER212" s="116"/>
      <c r="ES212" s="116"/>
      <c r="ET212" s="116"/>
      <c r="EU212" s="116"/>
      <c r="EV212" s="116"/>
      <c r="EW212" s="116"/>
      <c r="EX212" s="116"/>
      <c r="EY212" s="116"/>
      <c r="EZ212" s="116"/>
      <c r="FA212" s="116"/>
      <c r="FB212" s="116"/>
      <c r="FC212" s="116"/>
      <c r="FD212" s="116"/>
      <c r="FE212" s="116"/>
      <c r="FF212" s="116"/>
      <c r="FG212" s="116"/>
      <c r="FH212" s="116"/>
      <c r="FI212" s="116"/>
      <c r="FJ212" s="116"/>
      <c r="FK212" s="116"/>
      <c r="FL212" s="116"/>
      <c r="FM212" s="116"/>
      <c r="FN212" s="116"/>
      <c r="FO212" s="116"/>
      <c r="FP212" s="116"/>
      <c r="FQ212" s="116"/>
      <c r="FR212" s="116"/>
      <c r="FS212" s="116"/>
      <c r="FT212" s="116"/>
      <c r="FU212" s="116"/>
      <c r="FV212" s="116"/>
      <c r="FW212" s="116"/>
      <c r="FX212" s="116"/>
      <c r="FY212" s="116"/>
      <c r="FZ212" s="116"/>
      <c r="GA212" s="116"/>
      <c r="GB212" s="116"/>
      <c r="GC212" s="116"/>
      <c r="GD212" s="116"/>
      <c r="GE212" s="116"/>
      <c r="GF212" s="116"/>
      <c r="GG212" s="116"/>
      <c r="GH212" s="116"/>
      <c r="GI212" s="116"/>
      <c r="GJ212" s="116"/>
      <c r="GK212" s="116"/>
      <c r="GL212" s="116"/>
      <c r="GM212" s="118"/>
      <c r="GN212" s="116"/>
      <c r="GO212" s="116"/>
      <c r="GP212" s="116"/>
      <c r="GQ212" s="116"/>
      <c r="GR212" s="116"/>
      <c r="GS212" s="116"/>
      <c r="GT212" s="116"/>
      <c r="GU212" s="116"/>
      <c r="GV212" s="116"/>
      <c r="GW212" s="116"/>
      <c r="GX212" s="116"/>
      <c r="GY212" s="116"/>
      <c r="GZ212" s="116"/>
      <c r="HA212" s="116"/>
      <c r="HB212" s="116"/>
      <c r="HC212" s="116"/>
      <c r="HD212" s="116"/>
      <c r="HE212" s="116"/>
      <c r="HF212" s="116"/>
      <c r="HG212" s="116"/>
      <c r="HH212" s="116"/>
      <c r="HI212" s="116"/>
      <c r="HJ212" s="116"/>
      <c r="HK212" s="116"/>
      <c r="HL212" s="116"/>
      <c r="HM212" s="116"/>
      <c r="HN212" s="116"/>
      <c r="HO212" s="116"/>
      <c r="HP212" s="116"/>
      <c r="HQ212" s="116"/>
      <c r="HR212" s="116"/>
      <c r="HS212" s="116"/>
      <c r="HT212" s="116"/>
      <c r="HU212" s="116"/>
      <c r="HV212" s="116"/>
      <c r="HW212" s="116"/>
      <c r="HX212" s="116"/>
      <c r="HY212" s="116"/>
      <c r="HZ212" s="116"/>
      <c r="IA212" s="116"/>
      <c r="IB212" s="116"/>
      <c r="IC212" s="116"/>
      <c r="ID212" s="116"/>
      <c r="IE212" s="116"/>
      <c r="IF212" s="116"/>
      <c r="IG212" s="116"/>
      <c r="IH212" s="116"/>
      <c r="II212" s="116"/>
      <c r="IJ212" s="116"/>
      <c r="IK212" s="116"/>
      <c r="IL212" s="116"/>
      <c r="IM212" s="116"/>
      <c r="IN212" s="116"/>
      <c r="IO212" s="116"/>
      <c r="IP212" s="116"/>
      <c r="IQ212" s="116"/>
      <c r="IR212" s="116"/>
      <c r="IS212" s="116"/>
      <c r="IT212" s="116"/>
      <c r="IU212" s="116"/>
      <c r="IV212" s="116"/>
      <c r="IW212" s="116"/>
      <c r="IX212" s="116"/>
      <c r="IY212" s="116"/>
      <c r="IZ212" s="116"/>
      <c r="JA212" s="116"/>
      <c r="JB212" s="116"/>
      <c r="JC212" s="116"/>
      <c r="JD212" s="116"/>
      <c r="JE212" s="116"/>
      <c r="JF212" s="116"/>
      <c r="JG212" s="116"/>
      <c r="JH212" s="116"/>
      <c r="JI212" s="116"/>
      <c r="JJ212" s="116"/>
      <c r="JK212" s="116"/>
      <c r="JL212" s="116"/>
      <c r="JM212" s="116"/>
      <c r="JN212" s="116"/>
      <c r="JO212" s="116"/>
      <c r="JP212" s="116"/>
      <c r="JQ212" s="116"/>
      <c r="JR212" s="116"/>
      <c r="JS212" s="116"/>
      <c r="JT212" s="123"/>
      <c r="JU212" s="116"/>
      <c r="JV212" s="116"/>
      <c r="JW212" s="116"/>
      <c r="JX212" s="116"/>
      <c r="JY212" s="116"/>
      <c r="JZ212" s="116"/>
      <c r="KA212" s="116"/>
      <c r="KB212" s="116"/>
      <c r="KC212" s="116"/>
      <c r="KD212" s="116"/>
      <c r="KE212" s="116"/>
      <c r="KF212" s="116"/>
      <c r="KG212" s="116"/>
      <c r="KH212" s="116"/>
      <c r="KI212" s="116"/>
      <c r="KJ212" s="116"/>
      <c r="KK212" s="116"/>
      <c r="KL212" s="116"/>
      <c r="KM212" s="116"/>
      <c r="KN212" s="116"/>
      <c r="KO212" s="116"/>
      <c r="KP212" s="116"/>
      <c r="KQ212" s="116"/>
      <c r="KR212" s="116"/>
      <c r="KS212" s="116"/>
      <c r="KT212" s="116"/>
      <c r="KU212" s="116"/>
      <c r="KV212" s="116"/>
      <c r="KW212" s="116"/>
      <c r="KX212" s="116"/>
      <c r="KY212" s="116"/>
      <c r="KZ212" s="116"/>
      <c r="LA212" s="116"/>
      <c r="LB212" s="116"/>
      <c r="LC212" s="116"/>
      <c r="LD212" s="116"/>
      <c r="LE212" s="116"/>
      <c r="LF212" s="116"/>
      <c r="LG212" s="116"/>
      <c r="LH212" s="116"/>
      <c r="LI212" s="116"/>
      <c r="LJ212" s="116"/>
      <c r="LK212" s="116"/>
    </row>
    <row r="213">
      <c r="A213" s="116"/>
      <c r="B213" s="117"/>
      <c r="C213" s="117"/>
      <c r="D213" s="117"/>
      <c r="E213" s="117"/>
      <c r="F213" s="117"/>
      <c r="G213" s="117"/>
      <c r="H213" s="117"/>
      <c r="I213" s="287"/>
      <c r="J213" s="117"/>
      <c r="K213" s="117"/>
      <c r="L213" s="117"/>
      <c r="M213" s="117"/>
      <c r="N213" s="117"/>
      <c r="O213" s="117"/>
      <c r="P213" s="117"/>
      <c r="Q213" s="117"/>
      <c r="R213" s="287"/>
      <c r="S213" s="117"/>
      <c r="T213" s="287"/>
      <c r="U213" s="116"/>
      <c r="V213" s="118"/>
      <c r="W213" s="116"/>
      <c r="X213" s="116"/>
      <c r="Y213" s="116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20"/>
      <c r="AN213" s="121"/>
      <c r="AO213" s="116"/>
      <c r="AP213" s="116"/>
      <c r="AQ213" s="116"/>
      <c r="AR213" s="116"/>
      <c r="AS213" s="116"/>
      <c r="AT213" s="116"/>
      <c r="AU213" s="116"/>
      <c r="AV213" s="116"/>
      <c r="AW213" s="116"/>
      <c r="AX213" s="116"/>
      <c r="AY213" s="116"/>
      <c r="AZ213" s="116"/>
      <c r="BA213" s="116"/>
      <c r="BB213" s="116"/>
      <c r="BC213" s="116"/>
      <c r="BD213" s="116"/>
      <c r="BE213" s="116"/>
      <c r="BF213" s="116"/>
      <c r="BG213" s="116"/>
      <c r="BH213" s="116"/>
      <c r="BI213" s="116"/>
      <c r="BJ213" s="116"/>
      <c r="BK213" s="116"/>
      <c r="BL213" s="116"/>
      <c r="BM213" s="116"/>
      <c r="BN213" s="116"/>
      <c r="BO213" s="116"/>
      <c r="BP213" s="116"/>
      <c r="BQ213" s="116"/>
      <c r="BR213" s="116"/>
      <c r="BS213" s="116"/>
      <c r="BT213" s="121"/>
      <c r="BU213" s="116"/>
      <c r="BV213" s="116"/>
      <c r="BW213" s="116"/>
      <c r="BX213" s="116"/>
      <c r="BY213" s="116"/>
      <c r="BZ213" s="116"/>
      <c r="CA213" s="116"/>
      <c r="CB213" s="116"/>
      <c r="CC213" s="122"/>
      <c r="CD213" s="122"/>
      <c r="CE213" s="116"/>
      <c r="CF213" s="116"/>
      <c r="CG213" s="116"/>
      <c r="CH213" s="116"/>
      <c r="CI213" s="116"/>
      <c r="CJ213" s="116"/>
      <c r="CK213" s="116"/>
      <c r="CL213" s="116"/>
      <c r="CM213" s="116"/>
      <c r="CN213" s="116"/>
      <c r="CO213" s="116"/>
      <c r="CP213" s="116"/>
      <c r="CQ213" s="116"/>
      <c r="CR213" s="116"/>
      <c r="CS213" s="116"/>
      <c r="CT213" s="116"/>
      <c r="CU213" s="116"/>
      <c r="CV213" s="116"/>
      <c r="CW213" s="116"/>
      <c r="CX213" s="116"/>
      <c r="CY213" s="116"/>
      <c r="CZ213" s="116"/>
      <c r="DA213" s="116"/>
      <c r="DB213" s="116"/>
      <c r="DC213" s="116"/>
      <c r="DD213" s="116"/>
      <c r="DE213" s="116"/>
      <c r="DF213" s="116"/>
      <c r="DG213" s="116"/>
      <c r="DH213" s="116"/>
      <c r="DI213" s="116"/>
      <c r="DJ213" s="116"/>
      <c r="DK213" s="116"/>
      <c r="DL213" s="116"/>
      <c r="DM213" s="116"/>
      <c r="DN213" s="116"/>
      <c r="DO213" s="116"/>
      <c r="DP213" s="116"/>
      <c r="DQ213" s="116"/>
      <c r="DR213" s="116"/>
      <c r="DS213" s="116"/>
      <c r="DT213" s="116"/>
      <c r="DU213" s="116"/>
      <c r="DV213" s="116"/>
      <c r="DW213" s="116"/>
      <c r="DX213" s="116"/>
      <c r="DY213" s="116"/>
      <c r="DZ213" s="116"/>
      <c r="EA213" s="116"/>
      <c r="EB213" s="116"/>
      <c r="EC213" s="116"/>
      <c r="ED213" s="116"/>
      <c r="EE213" s="116"/>
      <c r="EF213" s="116"/>
      <c r="EG213" s="116"/>
      <c r="EH213" s="116"/>
      <c r="EI213" s="116"/>
      <c r="EJ213" s="116"/>
      <c r="EK213" s="116"/>
      <c r="EL213" s="116"/>
      <c r="EM213" s="116"/>
      <c r="EN213" s="116"/>
      <c r="EO213" s="116"/>
      <c r="EP213" s="116"/>
      <c r="EQ213" s="116"/>
      <c r="ER213" s="116"/>
      <c r="ES213" s="116"/>
      <c r="ET213" s="116"/>
      <c r="EU213" s="116"/>
      <c r="EV213" s="116"/>
      <c r="EW213" s="116"/>
      <c r="EX213" s="116"/>
      <c r="EY213" s="116"/>
      <c r="EZ213" s="116"/>
      <c r="FA213" s="116"/>
      <c r="FB213" s="116"/>
      <c r="FC213" s="116"/>
      <c r="FD213" s="116"/>
      <c r="FE213" s="116"/>
      <c r="FF213" s="116"/>
      <c r="FG213" s="116"/>
      <c r="FH213" s="116"/>
      <c r="FI213" s="116"/>
      <c r="FJ213" s="116"/>
      <c r="FK213" s="116"/>
      <c r="FL213" s="116"/>
      <c r="FM213" s="116"/>
      <c r="FN213" s="116"/>
      <c r="FO213" s="116"/>
      <c r="FP213" s="116"/>
      <c r="FQ213" s="116"/>
      <c r="FR213" s="116"/>
      <c r="FS213" s="116"/>
      <c r="FT213" s="116"/>
      <c r="FU213" s="116"/>
      <c r="FV213" s="116"/>
      <c r="FW213" s="116"/>
      <c r="FX213" s="116"/>
      <c r="FY213" s="116"/>
      <c r="FZ213" s="116"/>
      <c r="GA213" s="116"/>
      <c r="GB213" s="116"/>
      <c r="GC213" s="116"/>
      <c r="GD213" s="116"/>
      <c r="GE213" s="116"/>
      <c r="GF213" s="116"/>
      <c r="GG213" s="116"/>
      <c r="GH213" s="116"/>
      <c r="GI213" s="116"/>
      <c r="GJ213" s="116"/>
      <c r="GK213" s="116"/>
      <c r="GL213" s="116"/>
      <c r="GM213" s="118"/>
      <c r="GN213" s="116"/>
      <c r="GO213" s="116"/>
      <c r="GP213" s="116"/>
      <c r="GQ213" s="116"/>
      <c r="GR213" s="116"/>
      <c r="GS213" s="116"/>
      <c r="GT213" s="116"/>
      <c r="GU213" s="116"/>
      <c r="GV213" s="116"/>
      <c r="GW213" s="116"/>
      <c r="GX213" s="116"/>
      <c r="GY213" s="116"/>
      <c r="GZ213" s="116"/>
      <c r="HA213" s="116"/>
      <c r="HB213" s="116"/>
      <c r="HC213" s="116"/>
      <c r="HD213" s="116"/>
      <c r="HE213" s="116"/>
      <c r="HF213" s="116"/>
      <c r="HG213" s="116"/>
      <c r="HH213" s="116"/>
      <c r="HI213" s="116"/>
      <c r="HJ213" s="116"/>
      <c r="HK213" s="116"/>
      <c r="HL213" s="116"/>
      <c r="HM213" s="116"/>
      <c r="HN213" s="116"/>
      <c r="HO213" s="116"/>
      <c r="HP213" s="116"/>
      <c r="HQ213" s="116"/>
      <c r="HR213" s="116"/>
      <c r="HS213" s="116"/>
      <c r="HT213" s="116"/>
      <c r="HU213" s="116"/>
      <c r="HV213" s="116"/>
      <c r="HW213" s="116"/>
      <c r="HX213" s="116"/>
      <c r="HY213" s="116"/>
      <c r="HZ213" s="116"/>
      <c r="IA213" s="116"/>
      <c r="IB213" s="116"/>
      <c r="IC213" s="116"/>
      <c r="ID213" s="116"/>
      <c r="IE213" s="116"/>
      <c r="IF213" s="116"/>
      <c r="IG213" s="116"/>
      <c r="IH213" s="116"/>
      <c r="II213" s="116"/>
      <c r="IJ213" s="116"/>
      <c r="IK213" s="116"/>
      <c r="IL213" s="116"/>
      <c r="IM213" s="116"/>
      <c r="IN213" s="116"/>
      <c r="IO213" s="116"/>
      <c r="IP213" s="116"/>
      <c r="IQ213" s="116"/>
      <c r="IR213" s="116"/>
      <c r="IS213" s="116"/>
      <c r="IT213" s="116"/>
      <c r="IU213" s="116"/>
      <c r="IV213" s="116"/>
      <c r="IW213" s="116"/>
      <c r="IX213" s="116"/>
      <c r="IY213" s="116"/>
      <c r="IZ213" s="116"/>
      <c r="JA213" s="116"/>
      <c r="JB213" s="116"/>
      <c r="JC213" s="116"/>
      <c r="JD213" s="116"/>
      <c r="JE213" s="116"/>
      <c r="JF213" s="116"/>
      <c r="JG213" s="116"/>
      <c r="JH213" s="116"/>
      <c r="JI213" s="116"/>
      <c r="JJ213" s="116"/>
      <c r="JK213" s="116"/>
      <c r="JL213" s="116"/>
      <c r="JM213" s="116"/>
      <c r="JN213" s="116"/>
      <c r="JO213" s="116"/>
      <c r="JP213" s="116"/>
      <c r="JQ213" s="116"/>
      <c r="JR213" s="116"/>
      <c r="JS213" s="116"/>
      <c r="JT213" s="123"/>
      <c r="JU213" s="116"/>
      <c r="JV213" s="116"/>
      <c r="JW213" s="116"/>
      <c r="JX213" s="116"/>
      <c r="JY213" s="116"/>
      <c r="JZ213" s="116"/>
      <c r="KA213" s="116"/>
      <c r="KB213" s="116"/>
      <c r="KC213" s="116"/>
      <c r="KD213" s="116"/>
      <c r="KE213" s="116"/>
      <c r="KF213" s="116"/>
      <c r="KG213" s="116"/>
      <c r="KH213" s="116"/>
      <c r="KI213" s="116"/>
      <c r="KJ213" s="116"/>
      <c r="KK213" s="116"/>
      <c r="KL213" s="116"/>
      <c r="KM213" s="116"/>
      <c r="KN213" s="116"/>
      <c r="KO213" s="116"/>
      <c r="KP213" s="116"/>
      <c r="KQ213" s="116"/>
      <c r="KR213" s="116"/>
      <c r="KS213" s="116"/>
      <c r="KT213" s="116"/>
      <c r="KU213" s="116"/>
      <c r="KV213" s="116"/>
      <c r="KW213" s="116"/>
      <c r="KX213" s="116"/>
      <c r="KY213" s="116"/>
      <c r="KZ213" s="116"/>
      <c r="LA213" s="116"/>
      <c r="LB213" s="116"/>
      <c r="LC213" s="116"/>
      <c r="LD213" s="116"/>
      <c r="LE213" s="116"/>
      <c r="LF213" s="116"/>
      <c r="LG213" s="116"/>
      <c r="LH213" s="116"/>
      <c r="LI213" s="116"/>
      <c r="LJ213" s="116"/>
      <c r="LK213" s="116"/>
    </row>
    <row r="214">
      <c r="A214" s="3" t="s">
        <v>426</v>
      </c>
      <c r="B214" s="177"/>
      <c r="C214" s="177"/>
      <c r="D214" s="177"/>
      <c r="E214" s="177"/>
      <c r="F214" s="177"/>
      <c r="G214" s="177"/>
      <c r="H214" s="177"/>
      <c r="I214" s="199"/>
      <c r="J214" s="177"/>
      <c r="K214" s="177"/>
      <c r="L214" s="177"/>
      <c r="M214" s="177"/>
      <c r="N214" s="177"/>
      <c r="O214" s="177"/>
      <c r="P214" s="177"/>
      <c r="Q214" s="177"/>
      <c r="R214" s="199"/>
      <c r="S214" s="177"/>
      <c r="T214" s="199"/>
      <c r="V214" s="110"/>
      <c r="AB214" s="3" t="s">
        <v>427</v>
      </c>
      <c r="AN214" s="3"/>
    </row>
    <row r="215" ht="55.5" customHeight="1">
      <c r="A215" s="277"/>
      <c r="B215" s="278" t="s">
        <v>19</v>
      </c>
      <c r="C215" s="279" t="s">
        <v>413</v>
      </c>
      <c r="D215" s="280" t="s">
        <v>21</v>
      </c>
      <c r="E215" s="279" t="s">
        <v>22</v>
      </c>
      <c r="F215" s="279" t="s">
        <v>23</v>
      </c>
      <c r="G215" s="279" t="s">
        <v>24</v>
      </c>
      <c r="H215" s="279" t="s">
        <v>414</v>
      </c>
      <c r="I215" s="280" t="s">
        <v>27</v>
      </c>
      <c r="J215" s="279" t="s">
        <v>415</v>
      </c>
      <c r="K215" s="279" t="s">
        <v>268</v>
      </c>
      <c r="L215" s="279" t="s">
        <v>282</v>
      </c>
      <c r="M215" s="279" t="s">
        <v>416</v>
      </c>
      <c r="N215" s="280" t="s">
        <v>417</v>
      </c>
      <c r="O215" s="279" t="s">
        <v>418</v>
      </c>
      <c r="P215" s="279" t="s">
        <v>33</v>
      </c>
      <c r="Q215" s="279" t="s">
        <v>35</v>
      </c>
      <c r="R215" s="280" t="s">
        <v>406</v>
      </c>
      <c r="S215" s="278" t="s">
        <v>424</v>
      </c>
      <c r="T215" s="281" t="s">
        <v>408</v>
      </c>
      <c r="U215" s="277"/>
      <c r="V215" s="282"/>
      <c r="W215" s="277"/>
      <c r="X215" s="277"/>
      <c r="Y215" s="283"/>
      <c r="AB215" s="288" t="s">
        <v>41</v>
      </c>
      <c r="AC215" s="288" t="s">
        <v>42</v>
      </c>
      <c r="AD215" s="288" t="s">
        <v>43</v>
      </c>
      <c r="AE215" s="288" t="s">
        <v>44</v>
      </c>
      <c r="AF215" s="288"/>
      <c r="AG215" s="288" t="s">
        <v>46</v>
      </c>
      <c r="AH215" s="288" t="s">
        <v>47</v>
      </c>
      <c r="AI215" s="288" t="s">
        <v>48</v>
      </c>
      <c r="AJ215" s="288" t="s">
        <v>49</v>
      </c>
      <c r="AK215" s="288" t="s">
        <v>50</v>
      </c>
      <c r="AL215" s="288" t="s">
        <v>51</v>
      </c>
      <c r="AM215" s="288" t="s">
        <v>52</v>
      </c>
      <c r="AN215" s="289" t="s">
        <v>53</v>
      </c>
      <c r="AO215" s="288" t="s">
        <v>54</v>
      </c>
      <c r="AP215" s="288" t="s">
        <v>55</v>
      </c>
      <c r="AQ215" s="288" t="s">
        <v>56</v>
      </c>
      <c r="AR215" s="288" t="s">
        <v>57</v>
      </c>
      <c r="AS215" s="288"/>
      <c r="AT215" s="288"/>
      <c r="AU215" s="288" t="s">
        <v>58</v>
      </c>
      <c r="AV215" s="288" t="s">
        <v>59</v>
      </c>
      <c r="AW215" s="289" t="s">
        <v>60</v>
      </c>
      <c r="AX215" s="288"/>
      <c r="AY215" s="288" t="s">
        <v>61</v>
      </c>
      <c r="AZ215" s="288" t="s">
        <v>62</v>
      </c>
      <c r="BA215" s="288" t="s">
        <v>63</v>
      </c>
      <c r="BB215" s="288"/>
      <c r="BC215" s="288" t="s">
        <v>64</v>
      </c>
      <c r="BD215" s="290" t="s">
        <v>65</v>
      </c>
      <c r="BE215" s="288" t="s">
        <v>66</v>
      </c>
      <c r="BF215" s="288" t="s">
        <v>67</v>
      </c>
      <c r="BG215" s="288"/>
      <c r="BH215" s="288"/>
      <c r="BI215" s="288" t="s">
        <v>68</v>
      </c>
      <c r="BJ215" s="288" t="s">
        <v>69</v>
      </c>
      <c r="BK215" s="288" t="s">
        <v>70</v>
      </c>
      <c r="BL215" s="288" t="s">
        <v>71</v>
      </c>
      <c r="BM215" s="288" t="s">
        <v>72</v>
      </c>
      <c r="BN215" s="288" t="s">
        <v>73</v>
      </c>
      <c r="BO215" s="288" t="s">
        <v>74</v>
      </c>
      <c r="BP215" s="288" t="s">
        <v>75</v>
      </c>
      <c r="BQ215" s="288" t="s">
        <v>76</v>
      </c>
      <c r="BR215" s="288" t="s">
        <v>77</v>
      </c>
      <c r="BS215" s="288" t="s">
        <v>78</v>
      </c>
      <c r="BT215" s="288" t="s">
        <v>79</v>
      </c>
      <c r="BU215" s="288" t="s">
        <v>80</v>
      </c>
      <c r="BV215" s="288" t="s">
        <v>81</v>
      </c>
      <c r="BW215" s="288" t="s">
        <v>82</v>
      </c>
      <c r="BX215" s="288" t="s">
        <v>83</v>
      </c>
      <c r="BY215" s="288" t="s">
        <v>84</v>
      </c>
      <c r="BZ215" s="288" t="s">
        <v>85</v>
      </c>
      <c r="CA215" s="286" t="s">
        <v>86</v>
      </c>
      <c r="CB215" s="286" t="s">
        <v>87</v>
      </c>
      <c r="CC215" s="286" t="s">
        <v>88</v>
      </c>
      <c r="CD215" s="286" t="s">
        <v>89</v>
      </c>
      <c r="CE215" s="286"/>
      <c r="CF215" s="277"/>
      <c r="CG215" s="286"/>
      <c r="CH215" s="286"/>
      <c r="CI215" s="286"/>
      <c r="CJ215" s="286"/>
      <c r="CK215" s="286"/>
      <c r="CL215" s="286"/>
      <c r="CM215" s="286"/>
      <c r="CN215" s="286"/>
      <c r="CO215" s="286"/>
      <c r="CP215" s="286"/>
      <c r="CQ215" s="286"/>
      <c r="CR215" s="286"/>
      <c r="CS215" s="286"/>
      <c r="CT215" s="286"/>
      <c r="CU215" s="286"/>
      <c r="CV215" s="286"/>
      <c r="CW215" s="286"/>
      <c r="CX215" s="286"/>
      <c r="CY215" s="286"/>
      <c r="CZ215" s="286"/>
      <c r="DA215" s="286"/>
      <c r="DB215" s="286"/>
      <c r="DC215" s="286"/>
      <c r="DD215" s="286"/>
      <c r="DE215" s="286"/>
      <c r="DF215" s="286"/>
      <c r="DG215" s="286"/>
      <c r="DH215" s="286"/>
      <c r="DI215" s="286"/>
      <c r="DJ215" s="286"/>
      <c r="DK215" s="286"/>
      <c r="DL215" s="286"/>
      <c r="DM215" s="286"/>
      <c r="DN215" s="286"/>
      <c r="DO215" s="286"/>
      <c r="DP215" s="286"/>
      <c r="DQ215" s="286"/>
      <c r="DR215" s="286"/>
      <c r="DS215" s="286"/>
      <c r="DT215" s="286"/>
      <c r="DU215" s="286"/>
      <c r="DV215" s="286"/>
      <c r="DW215" s="286"/>
      <c r="DX215" s="286"/>
      <c r="DY215" s="286"/>
      <c r="DZ215" s="286"/>
      <c r="EA215" s="286"/>
      <c r="EB215" s="286"/>
      <c r="EC215" s="286"/>
      <c r="ED215" s="286"/>
      <c r="EE215" s="286"/>
      <c r="EF215" s="286"/>
      <c r="EG215" s="286"/>
      <c r="EH215" s="286"/>
      <c r="EI215" s="286"/>
      <c r="EJ215" s="286"/>
      <c r="EK215" s="286"/>
      <c r="EL215" s="286"/>
      <c r="EM215" s="286"/>
      <c r="EN215" s="286"/>
      <c r="EO215" s="286"/>
      <c r="EP215" s="286"/>
      <c r="EQ215" s="286"/>
      <c r="ER215" s="286"/>
      <c r="ES215" s="286"/>
      <c r="ET215" s="286"/>
      <c r="EU215" s="286"/>
      <c r="EV215" s="286"/>
      <c r="EW215" s="286"/>
      <c r="EX215" s="286"/>
      <c r="EY215" s="286"/>
      <c r="EZ215" s="286"/>
      <c r="FA215" s="286"/>
      <c r="FB215" s="286"/>
      <c r="FC215" s="286"/>
      <c r="FD215" s="286"/>
      <c r="FE215" s="286"/>
      <c r="FF215" s="286"/>
      <c r="FG215" s="286"/>
      <c r="FH215" s="286"/>
      <c r="FI215" s="286"/>
      <c r="FJ215" s="286"/>
      <c r="FK215" s="286"/>
      <c r="FL215" s="286"/>
      <c r="FM215" s="286"/>
      <c r="FN215" s="286"/>
      <c r="FO215" s="286"/>
      <c r="FP215" s="286"/>
      <c r="FQ215" s="286"/>
      <c r="FR215" s="286"/>
      <c r="FS215" s="286"/>
      <c r="FT215" s="286"/>
      <c r="FU215" s="286"/>
      <c r="FV215" s="286"/>
      <c r="FW215" s="286"/>
      <c r="FX215" s="286"/>
      <c r="FY215" s="286"/>
      <c r="FZ215" s="286"/>
      <c r="GA215" s="286"/>
      <c r="GB215" s="286"/>
      <c r="GC215" s="286"/>
      <c r="GD215" s="286"/>
      <c r="GE215" s="286"/>
      <c r="GF215" s="286"/>
      <c r="GG215" s="286"/>
      <c r="GH215" s="286"/>
      <c r="GI215" s="286"/>
      <c r="GJ215" s="286"/>
      <c r="GK215" s="286"/>
      <c r="GL215" s="286"/>
      <c r="GM215" s="286"/>
      <c r="GN215" s="286"/>
      <c r="GO215" s="286"/>
      <c r="GP215" s="286"/>
      <c r="GQ215" s="286"/>
      <c r="GR215" s="286"/>
      <c r="GS215" s="286"/>
      <c r="GT215" s="286"/>
      <c r="GU215" s="286"/>
      <c r="GV215" s="286"/>
      <c r="GW215" s="286"/>
      <c r="GX215" s="286"/>
      <c r="GY215" s="286"/>
      <c r="GZ215" s="286"/>
      <c r="HA215" s="286"/>
      <c r="HB215" s="286"/>
      <c r="HC215" s="286"/>
      <c r="HD215" s="286"/>
      <c r="HE215" s="286"/>
      <c r="HF215" s="286"/>
      <c r="HG215" s="286"/>
      <c r="HH215" s="286"/>
      <c r="HI215" s="286"/>
      <c r="HJ215" s="286"/>
      <c r="HK215" s="286"/>
      <c r="HL215" s="286"/>
      <c r="HM215" s="286"/>
      <c r="HN215" s="286"/>
      <c r="HO215" s="286"/>
      <c r="HP215" s="286"/>
      <c r="HQ215" s="286"/>
      <c r="HR215" s="286"/>
      <c r="HS215" s="286"/>
      <c r="HT215" s="286"/>
      <c r="HU215" s="286"/>
      <c r="HV215" s="286"/>
      <c r="HW215" s="286"/>
      <c r="HX215" s="286"/>
      <c r="HY215" s="286"/>
      <c r="HZ215" s="286"/>
      <c r="IA215" s="286"/>
      <c r="IB215" s="286"/>
      <c r="IC215" s="286"/>
      <c r="ID215" s="286"/>
      <c r="IE215" s="286"/>
      <c r="IF215" s="286"/>
      <c r="IG215" s="286"/>
      <c r="IH215" s="286"/>
      <c r="II215" s="286"/>
      <c r="IJ215" s="286"/>
      <c r="IK215" s="286"/>
      <c r="IL215" s="286"/>
      <c r="IM215" s="286"/>
      <c r="IN215" s="286"/>
      <c r="IO215" s="286"/>
      <c r="IP215" s="286"/>
      <c r="IQ215" s="286"/>
      <c r="IR215" s="286"/>
      <c r="IS215" s="286"/>
      <c r="IT215" s="286"/>
      <c r="IU215" s="286"/>
      <c r="IV215" s="286"/>
      <c r="IW215" s="286"/>
      <c r="IX215" s="286"/>
      <c r="IY215" s="286"/>
      <c r="IZ215" s="286"/>
      <c r="JA215" s="286"/>
      <c r="JB215" s="286"/>
      <c r="JC215" s="286"/>
      <c r="JD215" s="286"/>
      <c r="JE215" s="286"/>
      <c r="JF215" s="286"/>
      <c r="JG215" s="286"/>
      <c r="JH215" s="286"/>
      <c r="JI215" s="286"/>
      <c r="JJ215" s="286"/>
      <c r="JK215" s="286"/>
      <c r="JL215" s="286"/>
      <c r="JM215" s="286"/>
      <c r="JN215" s="286"/>
      <c r="JO215" s="286"/>
      <c r="JP215" s="286"/>
      <c r="JQ215" s="286"/>
      <c r="JR215" s="286"/>
      <c r="JS215" s="286"/>
      <c r="JT215" s="286"/>
      <c r="JU215" s="286"/>
      <c r="JV215" s="286"/>
      <c r="JW215" s="286"/>
      <c r="JX215" s="286"/>
      <c r="JY215" s="286"/>
      <c r="JZ215" s="286"/>
      <c r="KA215" s="286"/>
      <c r="KB215" s="286"/>
      <c r="KC215" s="286"/>
      <c r="KD215" s="286"/>
      <c r="KE215" s="286"/>
      <c r="KF215" s="286"/>
      <c r="KG215" s="286"/>
      <c r="KH215" s="286"/>
      <c r="KI215" s="286"/>
      <c r="KJ215" s="286"/>
      <c r="KK215" s="286"/>
      <c r="KL215" s="286"/>
      <c r="KM215" s="286"/>
      <c r="KN215" s="286"/>
      <c r="KO215" s="286"/>
      <c r="KP215" s="286"/>
      <c r="KQ215" s="286"/>
      <c r="KR215" s="286"/>
      <c r="KS215" s="286"/>
      <c r="KT215" s="286"/>
      <c r="KU215" s="286"/>
      <c r="KV215" s="286"/>
      <c r="KW215" s="286"/>
      <c r="KX215" s="286"/>
      <c r="KY215" s="286"/>
      <c r="KZ215" s="286"/>
      <c r="LA215" s="286"/>
      <c r="LB215" s="286"/>
      <c r="LC215" s="286"/>
      <c r="LD215" s="286"/>
      <c r="LE215" s="286"/>
      <c r="LF215" s="286"/>
      <c r="LG215" s="286"/>
      <c r="LH215" s="286"/>
      <c r="LI215" s="286"/>
      <c r="LJ215" s="286"/>
      <c r="LK215" s="286"/>
    </row>
    <row r="216">
      <c r="A216" s="49" t="s">
        <v>291</v>
      </c>
      <c r="B216" s="85">
        <v>1.144543018E9</v>
      </c>
      <c r="C216" s="86">
        <v>8.18805074E8</v>
      </c>
      <c r="D216" s="249">
        <v>3.25737944E8</v>
      </c>
      <c r="E216" s="85"/>
      <c r="F216" s="85">
        <v>1.70376602E8</v>
      </c>
      <c r="G216" s="86">
        <v>6.9703108E7</v>
      </c>
      <c r="H216" s="86">
        <v>2.4007971E8</v>
      </c>
      <c r="I216" s="249">
        <v>8.5658235E7</v>
      </c>
      <c r="J216" s="85"/>
      <c r="K216" s="85">
        <v>460053.0</v>
      </c>
      <c r="L216" s="86">
        <v>483715.0</v>
      </c>
      <c r="M216" s="262">
        <v>-23661.0</v>
      </c>
      <c r="N216" s="249">
        <v>8.5634573E7</v>
      </c>
      <c r="O216" s="85"/>
      <c r="P216" s="85" t="s">
        <v>295</v>
      </c>
      <c r="Q216" s="85" t="s">
        <v>295</v>
      </c>
      <c r="R216" s="249">
        <v>8.5634573E7</v>
      </c>
      <c r="S216" s="85" t="s">
        <v>295</v>
      </c>
      <c r="T216" s="249">
        <v>8.5634573E7</v>
      </c>
      <c r="U216" s="109"/>
      <c r="V216" s="105"/>
      <c r="W216" s="58"/>
      <c r="X216" s="195"/>
      <c r="Y216" s="195"/>
      <c r="AB216" s="27"/>
      <c r="AC216" s="27"/>
      <c r="AD216" s="28">
        <v>2.98908187E8</v>
      </c>
      <c r="AE216" s="28">
        <v>2.585010122E9</v>
      </c>
      <c r="AF216" s="28"/>
      <c r="AG216" s="28">
        <v>-5815451.0</v>
      </c>
      <c r="AH216" s="28">
        <v>2.89765666E8</v>
      </c>
      <c r="AI216" s="27"/>
      <c r="AJ216" s="27"/>
      <c r="AK216" s="28">
        <v>7.22226092E8</v>
      </c>
      <c r="AL216" s="28">
        <v>1.69088998E8</v>
      </c>
      <c r="AM216" s="61">
        <v>6.1316648E8</v>
      </c>
      <c r="AN216" s="291">
        <v>4.672350094E9</v>
      </c>
      <c r="AO216" s="27"/>
      <c r="AP216" s="27"/>
      <c r="AQ216" s="28">
        <v>6.52790435E8</v>
      </c>
      <c r="AR216" s="27"/>
      <c r="AS216" s="61"/>
      <c r="AT216" s="61"/>
      <c r="AU216" s="61">
        <v>7.4918622E7</v>
      </c>
      <c r="AV216" s="61">
        <v>7.27709057E8</v>
      </c>
      <c r="AW216" s="62">
        <v>5.400059152E9</v>
      </c>
      <c r="AX216" s="27"/>
      <c r="AY216" s="27"/>
      <c r="AZ216" s="27"/>
      <c r="BA216" s="28">
        <v>3.088197845E9</v>
      </c>
      <c r="BB216" s="27"/>
      <c r="BC216" s="27"/>
      <c r="BD216" s="27"/>
      <c r="BE216" s="28">
        <v>3.21361375E8</v>
      </c>
      <c r="BF216" s="27"/>
      <c r="BG216" s="28"/>
      <c r="BH216" s="28"/>
      <c r="BI216" s="28">
        <v>1.14405999E8</v>
      </c>
      <c r="BJ216" s="27"/>
      <c r="BK216" s="111"/>
      <c r="BL216" s="62">
        <v>3.523965218E9</v>
      </c>
      <c r="BM216" s="27"/>
      <c r="BN216" s="27"/>
      <c r="BO216" s="28">
        <v>9929000.0</v>
      </c>
      <c r="BP216" s="27"/>
      <c r="BQ216" s="28">
        <v>5.55320639E8</v>
      </c>
      <c r="BR216" s="27"/>
      <c r="BS216" s="292">
        <v>5.65249639E8</v>
      </c>
      <c r="BT216" s="293">
        <v>4.089214857E9</v>
      </c>
      <c r="BU216" s="27"/>
      <c r="BV216" s="28">
        <v>2.5E8</v>
      </c>
      <c r="BW216" s="27"/>
      <c r="BX216" s="28">
        <v>-7.5505008E7</v>
      </c>
      <c r="BY216" s="28">
        <v>1.249796629E9</v>
      </c>
      <c r="BZ216" s="61">
        <v>-1.13447326E8</v>
      </c>
      <c r="CA216" s="27"/>
      <c r="CB216" s="27"/>
      <c r="CC216" s="61">
        <v>1.310844295E9</v>
      </c>
      <c r="CD216" s="62">
        <v>5.400059152E9</v>
      </c>
      <c r="CF216" s="49" t="s">
        <v>291</v>
      </c>
    </row>
    <row r="217">
      <c r="A217" s="49" t="s">
        <v>296</v>
      </c>
      <c r="B217" s="146">
        <v>3.411734063E9</v>
      </c>
      <c r="C217" s="146">
        <v>2.470841625E9</v>
      </c>
      <c r="D217" s="147">
        <v>9.40892438E8</v>
      </c>
      <c r="E217" s="146"/>
      <c r="F217" s="146">
        <v>4.03726472E8</v>
      </c>
      <c r="G217" s="146">
        <v>2.7729905E8</v>
      </c>
      <c r="H217" s="146">
        <v>6.81025522E8</v>
      </c>
      <c r="I217" s="147">
        <v>2.59866916E8</v>
      </c>
      <c r="J217" s="146"/>
      <c r="K217" s="146">
        <v>989371.0</v>
      </c>
      <c r="L217" s="146">
        <v>904672.12</v>
      </c>
      <c r="M217" s="147">
        <v>84699.0</v>
      </c>
      <c r="N217" s="263">
        <v>2.59951616E8</v>
      </c>
      <c r="O217" s="146"/>
      <c r="P217" s="146"/>
      <c r="Q217" s="146"/>
      <c r="R217" s="271">
        <v>2.59951616E8</v>
      </c>
      <c r="S217" s="146"/>
      <c r="T217" s="271">
        <v>2.59951616E8</v>
      </c>
      <c r="U217" s="109"/>
      <c r="V217" s="28"/>
      <c r="W217" s="27"/>
      <c r="X217" s="27"/>
      <c r="Y217" s="27"/>
      <c r="AB217" s="27"/>
      <c r="AC217" s="27"/>
      <c r="AD217" s="28">
        <v>1.03319322E8</v>
      </c>
      <c r="AE217" s="28">
        <v>4.014123487E9</v>
      </c>
      <c r="AF217" s="28"/>
      <c r="AG217" s="28">
        <v>-5815451.0</v>
      </c>
      <c r="AH217" s="28">
        <v>2.89765666E8</v>
      </c>
      <c r="AI217" s="27"/>
      <c r="AJ217" s="27"/>
      <c r="AK217" s="28">
        <v>2.012668668E9</v>
      </c>
      <c r="AL217" s="28">
        <v>1.53335664E8</v>
      </c>
      <c r="AM217" s="61">
        <v>8.47128059E8</v>
      </c>
      <c r="AN217" s="291">
        <v>7.414525415E9</v>
      </c>
      <c r="AO217" s="27"/>
      <c r="AP217" s="27"/>
      <c r="AQ217" s="28">
        <v>6.47760205E8</v>
      </c>
      <c r="AR217" s="27"/>
      <c r="AS217" s="61"/>
      <c r="AT217" s="61"/>
      <c r="AU217" s="61">
        <v>6.47760205E8</v>
      </c>
      <c r="AV217" s="61">
        <v>7.22678827E8</v>
      </c>
      <c r="AW217" s="62">
        <v>8.137204242E9</v>
      </c>
      <c r="AX217" s="27"/>
      <c r="AY217" s="27"/>
      <c r="AZ217" s="27"/>
      <c r="BA217" s="28">
        <v>5.45899577E9</v>
      </c>
      <c r="BB217" s="27"/>
      <c r="BC217" s="27"/>
      <c r="BD217" s="27"/>
      <c r="BE217" s="110">
        <v>4.50289967E8</v>
      </c>
      <c r="BF217" s="27"/>
      <c r="BG217" s="28"/>
      <c r="BH217" s="28"/>
      <c r="BI217" s="28">
        <v>2.52199998E8</v>
      </c>
      <c r="BJ217" s="27"/>
      <c r="BK217" s="27"/>
      <c r="BL217" s="62">
        <v>6.161485735E9</v>
      </c>
      <c r="BM217" s="27"/>
      <c r="BN217" s="27"/>
      <c r="BO217" s="28">
        <v>4930500.0</v>
      </c>
      <c r="BP217" s="27"/>
      <c r="BQ217" s="28">
        <v>5.55320639E8</v>
      </c>
      <c r="BR217" s="27"/>
      <c r="BS217" s="292">
        <v>5.60251139E8</v>
      </c>
      <c r="BT217" s="293">
        <v>6.721736874E9</v>
      </c>
      <c r="BU217" s="27"/>
      <c r="BV217" s="28">
        <v>2.5E8</v>
      </c>
      <c r="BW217" s="27"/>
      <c r="BX217" s="28">
        <v>2.9118065E7</v>
      </c>
      <c r="BY217" s="28">
        <v>1.249796629E9</v>
      </c>
      <c r="BZ217" s="61">
        <v>-1.13447326E8</v>
      </c>
      <c r="CA217" s="27"/>
      <c r="CB217" s="27"/>
      <c r="CC217" s="61">
        <v>1.415467368E9</v>
      </c>
      <c r="CD217" s="62">
        <v>8.137204242E9</v>
      </c>
      <c r="CF217" s="49" t="s">
        <v>296</v>
      </c>
    </row>
    <row r="218">
      <c r="A218" s="49" t="s">
        <v>299</v>
      </c>
      <c r="B218" s="50">
        <v>6.050641367E9</v>
      </c>
      <c r="C218" s="52">
        <v>4.721638176E9</v>
      </c>
      <c r="D218" s="53">
        <v>1.32900319E9</v>
      </c>
      <c r="E218" s="50"/>
      <c r="F218" s="50">
        <v>6.34237178E8</v>
      </c>
      <c r="G218" s="50">
        <v>3.38824074E8</v>
      </c>
      <c r="H218" s="52">
        <v>9.73061252E8</v>
      </c>
      <c r="I218" s="53">
        <v>3.55941938E8</v>
      </c>
      <c r="J218" s="53"/>
      <c r="K218" s="50">
        <v>1338022.0</v>
      </c>
      <c r="L218" s="50">
        <v>1333186.0</v>
      </c>
      <c r="M218" s="54">
        <v>4836.0</v>
      </c>
      <c r="N218" s="54">
        <v>3.55946774E8</v>
      </c>
      <c r="O218" s="50"/>
      <c r="P218" s="53"/>
      <c r="Q218" s="50"/>
      <c r="R218" s="54">
        <v>3.55946774E8</v>
      </c>
      <c r="S218" s="54"/>
      <c r="T218" s="54">
        <v>3.55946774E8</v>
      </c>
      <c r="U218" s="109"/>
      <c r="V218" s="105"/>
      <c r="W218" s="58"/>
      <c r="X218" s="195"/>
      <c r="Y218" s="195"/>
      <c r="AB218" s="27"/>
      <c r="AC218" s="27"/>
      <c r="AD218" s="28">
        <v>2.27234085E8</v>
      </c>
      <c r="AE218" s="28">
        <v>3.405831429E9</v>
      </c>
      <c r="AF218" s="28"/>
      <c r="AG218" s="28">
        <v>-5815451.0</v>
      </c>
      <c r="AH218" s="28">
        <v>2.89765666E8</v>
      </c>
      <c r="AI218" s="27"/>
      <c r="AJ218" s="27"/>
      <c r="AK218" s="28">
        <v>1.848627352E9</v>
      </c>
      <c r="AL218" s="28">
        <v>1.59687997E8</v>
      </c>
      <c r="AM218" s="61">
        <v>6.54047461E8</v>
      </c>
      <c r="AN218" s="291">
        <v>6.579378538E9</v>
      </c>
      <c r="AO218" s="27"/>
      <c r="AP218" s="27"/>
      <c r="AQ218" s="28">
        <v>6.37632739E8</v>
      </c>
      <c r="AR218" s="27"/>
      <c r="AS218" s="61"/>
      <c r="AT218" s="61"/>
      <c r="AU218" s="61">
        <v>7.4918622E7</v>
      </c>
      <c r="AV218" s="61">
        <v>7.12551361E8</v>
      </c>
      <c r="AW218" s="62">
        <v>7.2919299E9</v>
      </c>
      <c r="AX218" s="27"/>
      <c r="AY218" s="27"/>
      <c r="AZ218" s="27"/>
      <c r="BA218" s="28">
        <v>5.032733617E9</v>
      </c>
      <c r="BB218" s="27"/>
      <c r="BC218" s="27"/>
      <c r="BD218" s="27"/>
      <c r="BE218" s="28">
        <v>2.85749999E8</v>
      </c>
      <c r="BF218" s="27"/>
      <c r="BG218" s="28"/>
      <c r="BH218" s="28"/>
      <c r="BI218" s="28">
        <v>2.7745039E8</v>
      </c>
      <c r="BJ218" s="27"/>
      <c r="BK218" s="111"/>
      <c r="BL218" s="62">
        <v>5.595934006E9</v>
      </c>
      <c r="BM218" s="27"/>
      <c r="BN218" s="27"/>
      <c r="BO218" s="27"/>
      <c r="BP218" s="27"/>
      <c r="BQ218" s="28">
        <v>5.55320639E8</v>
      </c>
      <c r="BR218" s="27"/>
      <c r="BS218" s="292">
        <v>5.55320639E8</v>
      </c>
      <c r="BT218" s="293">
        <v>6.151254645E9</v>
      </c>
      <c r="BU218" s="27"/>
      <c r="BV218" s="28">
        <v>2.5E8</v>
      </c>
      <c r="BW218" s="27"/>
      <c r="BX218" s="28">
        <v>-2.45674048E8</v>
      </c>
      <c r="BY218" s="28">
        <v>1.249796629E9</v>
      </c>
      <c r="BZ218" s="61">
        <v>-1.13447326E8</v>
      </c>
      <c r="CA218" s="27"/>
      <c r="CB218" s="27"/>
      <c r="CC218" s="61">
        <v>1.140675254E9</v>
      </c>
      <c r="CD218" s="62">
        <v>7.2919299E9</v>
      </c>
      <c r="CF218" s="49" t="s">
        <v>299</v>
      </c>
    </row>
    <row r="219">
      <c r="A219" s="49" t="s">
        <v>302</v>
      </c>
      <c r="B219" s="85">
        <v>1.5438605049E10</v>
      </c>
      <c r="C219" s="86">
        <v>1.1499732187E10</v>
      </c>
      <c r="D219" s="147">
        <f t="shared" ref="D219:D221" si="32">B219-C219</f>
        <v>3938872862</v>
      </c>
      <c r="E219" s="85"/>
      <c r="F219" s="85">
        <v>8.38360643E8</v>
      </c>
      <c r="G219" s="86">
        <v>4.08000383E8</v>
      </c>
      <c r="H219" s="146">
        <f t="shared" ref="H219:H221" si="33">SUM(F219:G219)</f>
        <v>1246361026</v>
      </c>
      <c r="I219" s="249">
        <v>2.692511835E9</v>
      </c>
      <c r="J219" s="85"/>
      <c r="K219" s="85">
        <v>2846317.0</v>
      </c>
      <c r="L219" s="86">
        <v>1917460.0</v>
      </c>
      <c r="M219" s="262">
        <v>928858.0</v>
      </c>
      <c r="N219" s="249">
        <v>2.693440693E9</v>
      </c>
      <c r="O219" s="85"/>
      <c r="P219" s="85" t="s">
        <v>295</v>
      </c>
      <c r="Q219" s="85" t="s">
        <v>295</v>
      </c>
      <c r="R219" s="249">
        <v>2.693440693E9</v>
      </c>
      <c r="S219" s="85" t="s">
        <v>295</v>
      </c>
      <c r="T219" s="249">
        <v>2.693440693E9</v>
      </c>
      <c r="U219" s="294"/>
      <c r="V219" s="105"/>
      <c r="W219" s="104"/>
      <c r="X219" s="58"/>
      <c r="Y219" s="195"/>
      <c r="AB219" s="27"/>
      <c r="AC219" s="27"/>
      <c r="AD219" s="28">
        <v>1.42381188E8</v>
      </c>
      <c r="AE219" s="28">
        <v>2.003368517E9</v>
      </c>
      <c r="AF219" s="28"/>
      <c r="AG219" s="28">
        <v>-5815451.0</v>
      </c>
      <c r="AH219" s="28">
        <v>2.89765666E8</v>
      </c>
      <c r="AI219" s="27"/>
      <c r="AJ219" s="27"/>
      <c r="AK219" s="28">
        <v>1.3744364261E10</v>
      </c>
      <c r="AL219" s="28">
        <v>1.4176333E8</v>
      </c>
      <c r="AM219" s="61">
        <v>1.848644894E9</v>
      </c>
      <c r="AN219" s="291">
        <v>1.8164472404E10</v>
      </c>
      <c r="AO219" s="27"/>
      <c r="AP219" s="27"/>
      <c r="AQ219" s="28">
        <v>6.27505273E8</v>
      </c>
      <c r="AR219" s="27"/>
      <c r="AS219" s="61"/>
      <c r="AT219" s="61"/>
      <c r="AU219" s="61">
        <v>7.4918622E7</v>
      </c>
      <c r="AV219" s="61">
        <v>7.02423895E8</v>
      </c>
      <c r="AW219" s="62">
        <v>1.88668963E10</v>
      </c>
      <c r="AX219" s="27"/>
      <c r="AY219" s="27"/>
      <c r="AZ219" s="27"/>
      <c r="BA219" s="28">
        <v>1.5718032419E10</v>
      </c>
      <c r="BB219" s="27"/>
      <c r="BC219" s="27"/>
      <c r="BD219" s="27"/>
      <c r="BE219" s="28">
        <v>1.145749998E9</v>
      </c>
      <c r="BF219" s="27"/>
      <c r="BG219" s="28"/>
      <c r="BH219" s="28"/>
      <c r="BI219" s="28">
        <v>2.11394067E8</v>
      </c>
      <c r="BJ219" s="27"/>
      <c r="BK219" s="111"/>
      <c r="BL219" s="62">
        <v>1.7075176484E10</v>
      </c>
      <c r="BM219" s="27"/>
      <c r="BN219" s="27"/>
      <c r="BO219" s="27"/>
      <c r="BP219" s="27"/>
      <c r="BQ219" s="28">
        <v>5.55320639E8</v>
      </c>
      <c r="BR219" s="27"/>
      <c r="BS219" s="292">
        <v>5.55320639E8</v>
      </c>
      <c r="BT219" s="293">
        <v>1.7630497123E10</v>
      </c>
      <c r="BU219" s="27"/>
      <c r="BV219" s="28">
        <v>2.5E8</v>
      </c>
      <c r="BW219" s="27"/>
      <c r="BX219" s="28">
        <v>-1.49950126E8</v>
      </c>
      <c r="BY219" s="28">
        <v>1.249796629E9</v>
      </c>
      <c r="BZ219" s="61">
        <v>-1.13447326E8</v>
      </c>
      <c r="CA219" s="27"/>
      <c r="CB219" s="27"/>
      <c r="CC219" s="61">
        <v>1.236399177E9</v>
      </c>
      <c r="CD219" s="62">
        <v>1.88668963E10</v>
      </c>
      <c r="CF219" s="49" t="s">
        <v>302</v>
      </c>
    </row>
    <row r="220">
      <c r="A220" s="49" t="s">
        <v>304</v>
      </c>
      <c r="B220" s="85">
        <v>2.2336992225E10</v>
      </c>
      <c r="C220" s="86">
        <v>1.7466440589E10</v>
      </c>
      <c r="D220" s="147">
        <f t="shared" si="32"/>
        <v>4870551636</v>
      </c>
      <c r="E220" s="85"/>
      <c r="F220" s="85">
        <v>1.098695985E9</v>
      </c>
      <c r="G220" s="86">
        <v>5.53832289E8</v>
      </c>
      <c r="H220" s="146">
        <f t="shared" si="33"/>
        <v>1652528274</v>
      </c>
      <c r="I220" s="249">
        <v>3.218023363E9</v>
      </c>
      <c r="J220" s="85"/>
      <c r="K220" s="85">
        <v>4991369.0</v>
      </c>
      <c r="L220" s="86">
        <v>2591721.0</v>
      </c>
      <c r="M220" s="262">
        <v>2399648.0</v>
      </c>
      <c r="N220" s="249">
        <v>3.220423011E9</v>
      </c>
      <c r="O220" s="85"/>
      <c r="P220" s="85" t="s">
        <v>295</v>
      </c>
      <c r="Q220" s="85" t="s">
        <v>295</v>
      </c>
      <c r="R220" s="249">
        <v>3.220423011E9</v>
      </c>
      <c r="S220" s="85" t="s">
        <v>295</v>
      </c>
      <c r="T220" s="249">
        <v>3.220423011E9</v>
      </c>
      <c r="U220" s="109"/>
      <c r="V220" s="28"/>
      <c r="W220" s="27"/>
      <c r="X220" s="27"/>
      <c r="Y220" s="27"/>
      <c r="AB220" s="27"/>
      <c r="AC220" s="27"/>
      <c r="AD220" s="273">
        <v>1.16013019E9</v>
      </c>
      <c r="AE220" s="273">
        <v>6.677645854E9</v>
      </c>
      <c r="AF220" s="273"/>
      <c r="AG220" s="273">
        <v>-864888.0</v>
      </c>
      <c r="AH220" s="273">
        <v>2.49765666E8</v>
      </c>
      <c r="AI220" s="273"/>
      <c r="AJ220" s="273"/>
      <c r="AK220" s="273">
        <v>1.2073645238E10</v>
      </c>
      <c r="AL220" s="273">
        <v>3.90822362E8</v>
      </c>
      <c r="AM220" s="274">
        <v>2.105675788E9</v>
      </c>
      <c r="AN220" s="295">
        <v>2.265682021E10</v>
      </c>
      <c r="AO220" s="272"/>
      <c r="AP220" s="272"/>
      <c r="AQ220" s="273">
        <v>6.21707445E8</v>
      </c>
      <c r="AR220" s="273"/>
      <c r="AS220" s="274"/>
      <c r="AT220" s="274"/>
      <c r="AU220" s="274">
        <v>1.06142835E8</v>
      </c>
      <c r="AV220" s="274">
        <v>7.2785028E8</v>
      </c>
      <c r="AW220" s="238">
        <v>2.338467049E10</v>
      </c>
      <c r="AX220" s="272"/>
      <c r="AY220" s="272"/>
      <c r="AZ220" s="272"/>
      <c r="BA220" s="273">
        <v>1.7390397044E10</v>
      </c>
      <c r="BB220" s="273"/>
      <c r="BC220" s="273"/>
      <c r="BD220" s="273"/>
      <c r="BE220" s="273">
        <v>7.85509642E8</v>
      </c>
      <c r="BF220" s="273"/>
      <c r="BG220" s="273"/>
      <c r="BH220" s="273"/>
      <c r="BI220" s="273">
        <v>2.483745499E9</v>
      </c>
      <c r="BJ220" s="236"/>
      <c r="BK220" s="275"/>
      <c r="BL220" s="296">
        <v>2.0659652186E10</v>
      </c>
      <c r="BM220" s="272"/>
      <c r="BN220" s="237"/>
      <c r="BO220" s="273"/>
      <c r="BP220" s="273"/>
      <c r="BQ220" s="273">
        <v>5.55320639E8</v>
      </c>
      <c r="BR220" s="272"/>
      <c r="BS220" s="297">
        <v>5.55320639E8</v>
      </c>
      <c r="BT220" s="151">
        <v>2.1214972825E10</v>
      </c>
      <c r="BU220" s="273"/>
      <c r="BV220" s="273">
        <v>2.5E8</v>
      </c>
      <c r="BW220" s="274"/>
      <c r="BX220" s="274">
        <v>7.45947158E8</v>
      </c>
      <c r="BY220" s="237">
        <v>1.286981908E9</v>
      </c>
      <c r="BZ220" s="240">
        <v>-1.13231401E8</v>
      </c>
      <c r="CA220" s="27"/>
      <c r="CB220" s="27"/>
      <c r="CC220" s="61">
        <v>2.169697665E9</v>
      </c>
      <c r="CD220" s="62">
        <v>2.338467049E10</v>
      </c>
      <c r="CF220" s="49" t="s">
        <v>304</v>
      </c>
    </row>
    <row r="221">
      <c r="A221" s="49" t="s">
        <v>313</v>
      </c>
      <c r="B221" s="85">
        <v>3.1207971053E10</v>
      </c>
      <c r="C221" s="86">
        <v>2.48987883431806E10</v>
      </c>
      <c r="D221" s="147">
        <f t="shared" si="32"/>
        <v>6309182710</v>
      </c>
      <c r="E221" s="146"/>
      <c r="F221" s="146">
        <v>1.50205659141E9</v>
      </c>
      <c r="G221" s="174">
        <v>7.66578636E8</v>
      </c>
      <c r="H221" s="146">
        <f t="shared" si="33"/>
        <v>2268635227</v>
      </c>
      <c r="I221" s="147">
        <f>D221-H221</f>
        <v>4040547482</v>
      </c>
      <c r="J221" s="146"/>
      <c r="K221" s="85">
        <v>5700183.34</v>
      </c>
      <c r="L221" s="86">
        <v>3333936.18</v>
      </c>
      <c r="M221" s="268">
        <f>K221-L221</f>
        <v>2366247.16</v>
      </c>
      <c r="N221" s="147">
        <f>I221+M221</f>
        <v>4042913730</v>
      </c>
      <c r="O221" s="146"/>
      <c r="P221" s="85" t="s">
        <v>295</v>
      </c>
      <c r="Q221" s="85" t="s">
        <v>295</v>
      </c>
      <c r="R221" s="147">
        <v>4.042913729569401E9</v>
      </c>
      <c r="S221" s="85" t="s">
        <v>295</v>
      </c>
      <c r="T221" s="147">
        <v>4.042913729569401E9</v>
      </c>
      <c r="U221" s="109"/>
      <c r="V221" s="28"/>
      <c r="W221" s="27"/>
      <c r="X221" s="27"/>
      <c r="Y221" s="27"/>
      <c r="AB221" s="27"/>
      <c r="AC221" s="27"/>
      <c r="AD221" s="28">
        <v>4.23956495E8</v>
      </c>
      <c r="AE221" s="28">
        <v>1.6444925032E10</v>
      </c>
      <c r="AF221" s="28"/>
      <c r="AG221" s="28">
        <v>-864888.0</v>
      </c>
      <c r="AH221" s="28">
        <v>2.49765666E8</v>
      </c>
      <c r="AI221" s="27"/>
      <c r="AJ221" s="27"/>
      <c r="AK221" s="28">
        <v>2.89728481E9</v>
      </c>
      <c r="AL221" s="28">
        <v>3.72164609E8</v>
      </c>
      <c r="AM221" s="61">
        <v>1.695007155E9</v>
      </c>
      <c r="AN221" s="291">
        <v>2.2082238879E10</v>
      </c>
      <c r="AO221" s="27"/>
      <c r="AP221" s="27"/>
      <c r="AQ221" s="28">
        <v>6.16128959E8</v>
      </c>
      <c r="AR221" s="27"/>
      <c r="AS221" s="61"/>
      <c r="AT221" s="61"/>
      <c r="AU221" s="61">
        <v>1.06142835E8</v>
      </c>
      <c r="AV221" s="61">
        <v>7.22271794E8</v>
      </c>
      <c r="AW221" s="62">
        <v>2.2804510673E10</v>
      </c>
      <c r="AX221" s="27"/>
      <c r="AY221" s="27"/>
      <c r="AZ221" s="27"/>
      <c r="BA221" s="28">
        <v>1.4800820794E10</v>
      </c>
      <c r="BB221" s="27"/>
      <c r="BC221" s="27"/>
      <c r="BD221" s="27"/>
      <c r="BE221" s="28">
        <v>2.563745499E9</v>
      </c>
      <c r="BF221" s="27"/>
      <c r="BG221" s="28"/>
      <c r="BH221" s="28"/>
      <c r="BI221" s="28">
        <v>1.637764155E9</v>
      </c>
      <c r="BJ221" s="27"/>
      <c r="BK221" s="111"/>
      <c r="BL221" s="62">
        <v>1.9002330448E10</v>
      </c>
      <c r="BM221" s="27"/>
      <c r="BN221" s="27"/>
      <c r="BO221" s="27"/>
      <c r="BP221" s="27"/>
      <c r="BQ221" s="28">
        <v>5.55320639E8</v>
      </c>
      <c r="BR221" s="27"/>
      <c r="BS221" s="292">
        <v>5.55320639E8</v>
      </c>
      <c r="BT221" s="293">
        <v>1.9557651087E10</v>
      </c>
      <c r="BU221" s="27"/>
      <c r="BV221" s="28">
        <v>2.5E8</v>
      </c>
      <c r="BW221" s="27"/>
      <c r="BX221" s="28">
        <v>1.286981908E9</v>
      </c>
      <c r="BY221" s="28">
        <v>1.823109045E9</v>
      </c>
      <c r="BZ221" s="61">
        <v>-1.13231401E8</v>
      </c>
      <c r="CA221" s="27"/>
      <c r="CB221" s="27"/>
      <c r="CC221" s="61">
        <v>3.246859552E9</v>
      </c>
      <c r="CD221" s="62">
        <v>2.2804510639E10</v>
      </c>
      <c r="CF221" s="49" t="s">
        <v>313</v>
      </c>
    </row>
    <row r="222">
      <c r="A222" s="49" t="s">
        <v>316</v>
      </c>
      <c r="B222" s="146">
        <v>4.2804684002E10</v>
      </c>
      <c r="C222" s="84">
        <v>3.4972896467E10</v>
      </c>
      <c r="D222" s="147">
        <v>7.831787534E9</v>
      </c>
      <c r="E222" s="146"/>
      <c r="F222" s="146">
        <v>1.755157099E9</v>
      </c>
      <c r="G222" s="174">
        <v>9.00722064E8</v>
      </c>
      <c r="H222" s="146">
        <v>2.655879163E9</v>
      </c>
      <c r="I222" s="147">
        <v>5.175908371E9</v>
      </c>
      <c r="J222" s="146"/>
      <c r="K222" s="146">
        <v>6366412.0</v>
      </c>
      <c r="L222" s="174">
        <v>3965842.0</v>
      </c>
      <c r="M222" s="268">
        <v>2400570.0</v>
      </c>
      <c r="N222" s="147">
        <v>5.17830894E9</v>
      </c>
      <c r="O222" s="146"/>
      <c r="P222" s="146"/>
      <c r="Q222" s="146"/>
      <c r="R222" s="147">
        <v>5.17830894E9</v>
      </c>
      <c r="S222" s="146"/>
      <c r="T222" s="147">
        <v>5.17830894E9</v>
      </c>
      <c r="U222" s="109"/>
      <c r="V222" s="28"/>
      <c r="W222" s="27"/>
      <c r="X222" s="27"/>
      <c r="Y222" s="27"/>
      <c r="AB222" s="27"/>
      <c r="AC222" s="27"/>
      <c r="AD222" s="28">
        <v>7.04123034E8</v>
      </c>
      <c r="AE222" s="28">
        <v>1.6738133315E10</v>
      </c>
      <c r="AF222" s="28"/>
      <c r="AG222" s="28">
        <v>-864888.0</v>
      </c>
      <c r="AH222" s="28">
        <v>2.49765666E8</v>
      </c>
      <c r="AI222" s="27"/>
      <c r="AJ222" s="27"/>
      <c r="AK222" s="28">
        <v>2.596623888E9</v>
      </c>
      <c r="AL222" s="28">
        <v>3.65959813E8</v>
      </c>
      <c r="AM222" s="61">
        <v>3.73487285E8</v>
      </c>
      <c r="AN222" s="291">
        <v>2.1027228113E10</v>
      </c>
      <c r="AO222" s="27"/>
      <c r="AP222" s="27"/>
      <c r="AQ222" s="28">
        <v>6.05906424E8</v>
      </c>
      <c r="AR222" s="27"/>
      <c r="AS222" s="61"/>
      <c r="AT222" s="61"/>
      <c r="AU222" s="61">
        <v>1.06142835E8</v>
      </c>
      <c r="AV222" s="61">
        <v>7.12049259E8</v>
      </c>
      <c r="AW222" s="62">
        <v>2.1739277372E10</v>
      </c>
      <c r="AX222" s="27"/>
      <c r="AY222" s="27"/>
      <c r="AZ222" s="27"/>
      <c r="BA222" s="28">
        <v>1.5489391639E10</v>
      </c>
      <c r="BB222" s="27"/>
      <c r="BC222" s="27"/>
      <c r="BD222" s="27"/>
      <c r="BE222" s="28">
        <v>2.94646794E8</v>
      </c>
      <c r="BF222" s="27"/>
      <c r="BG222" s="28"/>
      <c r="BH222" s="28"/>
      <c r="BI222" s="28">
        <v>2.537521766E9</v>
      </c>
      <c r="BJ222" s="27"/>
      <c r="BK222" s="111"/>
      <c r="BL222" s="62">
        <v>1.83215602E10</v>
      </c>
      <c r="BM222" s="27"/>
      <c r="BN222" s="27"/>
      <c r="BO222" s="27"/>
      <c r="BP222" s="27"/>
      <c r="BQ222" s="28">
        <v>5.55320639E8</v>
      </c>
      <c r="BR222" s="27"/>
      <c r="BS222" s="292">
        <v>5.55320639E8</v>
      </c>
      <c r="BT222" s="293">
        <v>1.8876880839E10</v>
      </c>
      <c r="BU222" s="27"/>
      <c r="BV222" s="28">
        <v>2.5E8</v>
      </c>
      <c r="BW222" s="27"/>
      <c r="BX222" s="28">
        <v>1.286981908E9</v>
      </c>
      <c r="BY222" s="28">
        <v>1.438646027E9</v>
      </c>
      <c r="BZ222" s="61">
        <v>-1.13231401E8</v>
      </c>
      <c r="CA222" s="27"/>
      <c r="CB222" s="27"/>
      <c r="CC222" s="61">
        <v>2.862396534E9</v>
      </c>
      <c r="CD222" s="62">
        <v>2.1739277373E10</v>
      </c>
      <c r="CF222" s="49" t="s">
        <v>316</v>
      </c>
    </row>
    <row r="223">
      <c r="A223" s="49" t="s">
        <v>318</v>
      </c>
      <c r="B223" s="298">
        <v>5.6109221799E10</v>
      </c>
      <c r="C223" s="84">
        <v>4.6861442994E10</v>
      </c>
      <c r="D223" s="299">
        <v>9.247778805E9</v>
      </c>
      <c r="E223" s="146"/>
      <c r="F223" s="146">
        <v>2.096903907E9</v>
      </c>
      <c r="G223" s="174">
        <v>1.015442949E9</v>
      </c>
      <c r="H223" s="174">
        <v>3.112346856E9</v>
      </c>
      <c r="I223" s="147">
        <v>6.135431949E9</v>
      </c>
      <c r="J223" s="146"/>
      <c r="K223" s="146">
        <v>6781305.0</v>
      </c>
      <c r="L223" s="174">
        <v>1.1605924E8</v>
      </c>
      <c r="M223" s="268">
        <v>-1.09277936E8</v>
      </c>
      <c r="N223" s="147">
        <v>6.026154013E9</v>
      </c>
      <c r="O223" s="146"/>
      <c r="P223" s="146"/>
      <c r="Q223" s="146"/>
      <c r="R223" s="147">
        <v>6.026154013E9</v>
      </c>
      <c r="S223" s="147"/>
      <c r="T223" s="147">
        <v>6.026154013E9</v>
      </c>
      <c r="U223" s="109"/>
      <c r="V223" s="28"/>
      <c r="W223" s="27"/>
      <c r="X223" s="27"/>
      <c r="Y223" s="27"/>
      <c r="AB223" s="27"/>
      <c r="AC223" s="27"/>
      <c r="AD223" s="28">
        <v>3.56784006E8</v>
      </c>
      <c r="AE223" s="28">
        <v>1.631157001E10</v>
      </c>
      <c r="AF223" s="28"/>
      <c r="AG223" s="28">
        <v>-864888.0</v>
      </c>
      <c r="AH223" s="28">
        <v>-1.150229834E9</v>
      </c>
      <c r="AI223" s="27"/>
      <c r="AJ223" s="27"/>
      <c r="AK223" s="28">
        <v>4.246666741E9</v>
      </c>
      <c r="AL223" s="28">
        <v>2.79563549E8</v>
      </c>
      <c r="AM223" s="61">
        <v>7.23656804E8</v>
      </c>
      <c r="AN223" s="291">
        <v>2.0767146388E10</v>
      </c>
      <c r="AO223" s="27"/>
      <c r="AP223" s="27"/>
      <c r="AQ223" s="28">
        <v>5.95683888E8</v>
      </c>
      <c r="AR223" s="27"/>
      <c r="AS223" s="61"/>
      <c r="AT223" s="61"/>
      <c r="AU223" s="61">
        <v>1.06142835E8</v>
      </c>
      <c r="AV223" s="61">
        <v>7.01826723E8</v>
      </c>
      <c r="AW223" s="62">
        <v>2.1468973111E10</v>
      </c>
      <c r="AX223" s="27"/>
      <c r="AY223" s="27"/>
      <c r="AZ223" s="27"/>
      <c r="BA223" s="28">
        <v>1.7116993341E10</v>
      </c>
      <c r="BB223" s="27"/>
      <c r="BC223" s="27"/>
      <c r="BD223" s="27"/>
      <c r="BE223" s="28">
        <v>4.67049563E8</v>
      </c>
      <c r="BF223" s="27"/>
      <c r="BG223" s="28"/>
      <c r="BH223" s="28"/>
      <c r="BI223" s="28">
        <v>1.435745498E9</v>
      </c>
      <c r="BJ223" s="27"/>
      <c r="BK223" s="111"/>
      <c r="BL223" s="62">
        <v>1.9019788402E10</v>
      </c>
      <c r="BM223" s="27"/>
      <c r="BN223" s="27"/>
      <c r="BO223" s="27"/>
      <c r="BP223" s="27"/>
      <c r="BQ223" s="28">
        <v>5.55320639E8</v>
      </c>
      <c r="BR223" s="27"/>
      <c r="BS223" s="292">
        <v>5.55320639E8</v>
      </c>
      <c r="BT223" s="293">
        <v>1.8174766646E10</v>
      </c>
      <c r="BU223" s="27"/>
      <c r="BV223" s="28">
        <v>2.5E8</v>
      </c>
      <c r="BW223" s="27"/>
      <c r="BX223" s="28">
        <v>1.870455959E9</v>
      </c>
      <c r="BY223" s="28">
        <v>1.286981908E9</v>
      </c>
      <c r="BZ223" s="61">
        <v>-1.13231401E8</v>
      </c>
      <c r="CA223" s="27"/>
      <c r="CB223" s="27"/>
      <c r="CC223" s="61">
        <v>3.294206466E9</v>
      </c>
      <c r="CD223" s="62">
        <v>2.1468973112E10</v>
      </c>
      <c r="CF223" s="49" t="s">
        <v>318</v>
      </c>
    </row>
    <row r="224">
      <c r="A224" s="49" t="s">
        <v>3</v>
      </c>
      <c r="B224" s="146">
        <v>6.3942168304E10</v>
      </c>
      <c r="C224" s="174">
        <v>5.4320463598E10</v>
      </c>
      <c r="D224" s="147">
        <v>9.621704705E9</v>
      </c>
      <c r="E224" s="146"/>
      <c r="F224" s="146">
        <v>2.365710974E9</v>
      </c>
      <c r="G224" s="146">
        <v>1.235356661E9</v>
      </c>
      <c r="H224" s="146">
        <v>3.601067635E9</v>
      </c>
      <c r="I224" s="147">
        <v>6.02063707E9</v>
      </c>
      <c r="J224" s="146"/>
      <c r="K224" s="146">
        <v>7724812.0</v>
      </c>
      <c r="L224" s="146">
        <v>1.16589113E8</v>
      </c>
      <c r="M224" s="146">
        <v>-1.08864301E8</v>
      </c>
      <c r="N224" s="146">
        <v>5.91177277E9</v>
      </c>
      <c r="O224" s="146"/>
      <c r="P224" s="146"/>
      <c r="Q224" s="146"/>
      <c r="R224" s="147">
        <v>5.91177277E9</v>
      </c>
      <c r="S224" s="146"/>
      <c r="T224" s="147">
        <v>5.91177277E9</v>
      </c>
      <c r="U224" s="109"/>
      <c r="V224" s="28"/>
      <c r="W224" s="27"/>
      <c r="X224" s="27"/>
      <c r="Y224" s="27"/>
      <c r="AB224" s="27"/>
      <c r="AC224" s="27"/>
      <c r="AD224" s="28">
        <v>4.51010069E8</v>
      </c>
      <c r="AE224" s="28">
        <v>1.9147212423E10</v>
      </c>
      <c r="AF224" s="28"/>
      <c r="AG224" s="28">
        <v>-864888.0</v>
      </c>
      <c r="AH224" s="28">
        <v>-1.199995499E9</v>
      </c>
      <c r="AI224" s="27"/>
      <c r="AJ224" s="27"/>
      <c r="AK224" s="28">
        <v>2.207365085E9</v>
      </c>
      <c r="AL224" s="28">
        <v>1.98161882E8</v>
      </c>
      <c r="AM224" s="61">
        <v>6.4764066E8</v>
      </c>
      <c r="AN224" s="291">
        <v>2.1700295397E10</v>
      </c>
      <c r="AO224" s="27"/>
      <c r="AP224" s="27"/>
      <c r="AQ224" s="28">
        <v>5.85461352E8</v>
      </c>
      <c r="AR224" s="27"/>
      <c r="AS224" s="61"/>
      <c r="AT224" s="61"/>
      <c r="AU224" s="61">
        <v>1.06142835E8</v>
      </c>
      <c r="AV224" s="61">
        <v>6.91604187E8</v>
      </c>
      <c r="AW224" s="62">
        <v>2.2391899584E10</v>
      </c>
      <c r="AX224" s="27"/>
      <c r="AY224" s="27"/>
      <c r="AZ224" s="27"/>
      <c r="BA224" s="28">
        <v>1.8203375232E10</v>
      </c>
      <c r="BB224" s="27"/>
      <c r="BC224" s="27"/>
      <c r="BD224" s="27"/>
      <c r="BE224" s="28">
        <v>5.19809382E8</v>
      </c>
      <c r="BF224" s="27"/>
      <c r="BG224" s="28"/>
      <c r="BH224" s="28"/>
      <c r="BI224" s="28">
        <v>2.49765666E8</v>
      </c>
      <c r="BJ224" s="27"/>
      <c r="BK224" s="111"/>
      <c r="BL224" s="62">
        <v>1.8723184611E10</v>
      </c>
      <c r="BM224" s="27"/>
      <c r="BN224" s="27"/>
      <c r="BO224" s="27"/>
      <c r="BP224" s="27"/>
      <c r="BQ224" s="28">
        <v>5.55320639E8</v>
      </c>
      <c r="BR224" s="27"/>
      <c r="BS224" s="292">
        <v>5.55320639E8</v>
      </c>
      <c r="BT224" s="293">
        <v>1.927850525E10</v>
      </c>
      <c r="BU224" s="27"/>
      <c r="BV224" s="28">
        <v>2.5E8</v>
      </c>
      <c r="BW224" s="27"/>
      <c r="BX224" s="28">
        <v>1.286981908E9</v>
      </c>
      <c r="BY224" s="28">
        <v>1.689643828E9</v>
      </c>
      <c r="BZ224" s="61">
        <v>-1.13231401E8</v>
      </c>
      <c r="CA224" s="27"/>
      <c r="CB224" s="27"/>
      <c r="CC224" s="61">
        <v>3.113394335E9</v>
      </c>
      <c r="CD224" s="62">
        <v>2.2391899585E10</v>
      </c>
      <c r="CF224" s="49" t="s">
        <v>3</v>
      </c>
    </row>
    <row r="225">
      <c r="A225" s="49" t="s">
        <v>322</v>
      </c>
      <c r="B225" s="146"/>
      <c r="C225" s="146"/>
      <c r="D225" s="146"/>
      <c r="E225" s="146"/>
      <c r="F225" s="146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09"/>
      <c r="V225" s="28"/>
      <c r="W225" s="27"/>
      <c r="X225" s="27"/>
      <c r="Y225" s="27"/>
      <c r="AB225" s="27"/>
      <c r="AC225" s="27"/>
      <c r="AD225" s="28">
        <v>1.493634562E9</v>
      </c>
      <c r="AE225" s="28">
        <v>1.0387467993E10</v>
      </c>
      <c r="AF225" s="28"/>
      <c r="AG225" s="28">
        <v>-864888.0</v>
      </c>
      <c r="AH225" s="28">
        <v>2.49765666E8</v>
      </c>
      <c r="AI225" s="27"/>
      <c r="AJ225" s="27"/>
      <c r="AK225" s="28">
        <v>3.09183335E9</v>
      </c>
      <c r="AL225" s="28">
        <v>1.27498955E8</v>
      </c>
      <c r="AM225" s="61">
        <v>8.72937764E8</v>
      </c>
      <c r="AN225" s="291">
        <v>1.6222273403E10</v>
      </c>
      <c r="AO225" s="27"/>
      <c r="AP225" s="27"/>
      <c r="AQ225" s="28">
        <v>5.75238817E8</v>
      </c>
      <c r="AR225" s="27"/>
      <c r="AS225" s="61"/>
      <c r="AT225" s="61"/>
      <c r="AU225" s="61">
        <v>1.06142835E8</v>
      </c>
      <c r="AV225" s="61">
        <v>6.81381652E8</v>
      </c>
      <c r="AW225" s="62">
        <v>1.6903655055E10</v>
      </c>
      <c r="AX225" s="27"/>
      <c r="AY225" s="27"/>
      <c r="AZ225" s="27"/>
      <c r="BA225" s="28">
        <v>1.2513598408E10</v>
      </c>
      <c r="BB225" s="27"/>
      <c r="BC225" s="27"/>
      <c r="BD225" s="27"/>
      <c r="BE225" s="28">
        <v>5412796.0</v>
      </c>
      <c r="BF225" s="27"/>
      <c r="BG225" s="28"/>
      <c r="BH225" s="28"/>
      <c r="BI225" s="28">
        <v>5.9838965E8</v>
      </c>
      <c r="BJ225" s="27"/>
      <c r="BK225" s="111"/>
      <c r="BL225" s="62">
        <v>1.3117400854E10</v>
      </c>
      <c r="BM225" s="27"/>
      <c r="BN225" s="27"/>
      <c r="BO225" s="27"/>
      <c r="BP225" s="27"/>
      <c r="BQ225" s="28">
        <v>5.55320639E8</v>
      </c>
      <c r="BR225" s="27"/>
      <c r="BS225" s="292">
        <v>5.55320639E8</v>
      </c>
      <c r="BT225" s="293">
        <v>1.3672721493E10</v>
      </c>
      <c r="BU225" s="27"/>
      <c r="BV225" s="28">
        <v>2.5E8</v>
      </c>
      <c r="BW225" s="27"/>
      <c r="BX225" s="28">
        <v>1.286981908E9</v>
      </c>
      <c r="BY225" s="28">
        <v>1.807183055E9</v>
      </c>
      <c r="BZ225" s="61">
        <v>-1.13231401E8</v>
      </c>
      <c r="CA225" s="27"/>
      <c r="CB225" s="27"/>
      <c r="CC225" s="61">
        <v>3.230933562E9</v>
      </c>
      <c r="CD225" s="62">
        <v>1.6903655055E10</v>
      </c>
      <c r="CF225" s="49" t="s">
        <v>322</v>
      </c>
    </row>
    <row r="226">
      <c r="A226" s="49" t="s">
        <v>323</v>
      </c>
      <c r="B226" s="146"/>
      <c r="C226" s="146"/>
      <c r="D226" s="146"/>
      <c r="E226" s="146"/>
      <c r="F226" s="146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09"/>
      <c r="V226" s="28"/>
      <c r="W226" s="27"/>
      <c r="X226" s="27"/>
      <c r="Y226" s="27"/>
      <c r="AB226" s="27"/>
      <c r="AC226" s="27"/>
      <c r="AD226" s="28">
        <v>8.9307444E8</v>
      </c>
      <c r="AE226" s="28">
        <v>5.523019199E9</v>
      </c>
      <c r="AF226" s="28"/>
      <c r="AG226" s="28">
        <v>-864888.0</v>
      </c>
      <c r="AH226" s="28">
        <v>2.49765666E8</v>
      </c>
      <c r="AI226" s="27"/>
      <c r="AJ226" s="27"/>
      <c r="AK226" s="28">
        <v>2.032467824E9</v>
      </c>
      <c r="AL226" s="28">
        <v>8.8248638E7</v>
      </c>
      <c r="AM226" s="61">
        <v>6.7313911E8</v>
      </c>
      <c r="AN226" s="291">
        <v>9.45884999E9</v>
      </c>
      <c r="AO226" s="27"/>
      <c r="AP226" s="27"/>
      <c r="AQ226" s="28">
        <v>5.73166281E8</v>
      </c>
      <c r="AR226" s="27"/>
      <c r="AS226" s="61"/>
      <c r="AT226" s="61"/>
      <c r="AU226" s="61">
        <v>1.06142835E8</v>
      </c>
      <c r="AV226" s="61">
        <v>6.79309116E8</v>
      </c>
      <c r="AW226" s="62">
        <v>1.0138159106E10</v>
      </c>
      <c r="AX226" s="27"/>
      <c r="AY226" s="27"/>
      <c r="AZ226" s="27"/>
      <c r="BA226" s="28">
        <v>7.088421269E9</v>
      </c>
      <c r="BB226" s="27"/>
      <c r="BC226" s="27"/>
      <c r="BD226" s="27"/>
      <c r="BE226" s="28">
        <v>7189063.0</v>
      </c>
      <c r="BF226" s="27"/>
      <c r="BG226" s="28"/>
      <c r="BH226" s="28"/>
      <c r="BI226" s="28">
        <v>4.18555381E8</v>
      </c>
      <c r="BJ226" s="27"/>
      <c r="BK226" s="111"/>
      <c r="BL226" s="62">
        <v>7.514165713E9</v>
      </c>
      <c r="BM226" s="27"/>
      <c r="BN226" s="27"/>
      <c r="BO226" s="27"/>
      <c r="BP226" s="27"/>
      <c r="BQ226" s="28">
        <v>5.55320639E8</v>
      </c>
      <c r="BR226" s="27"/>
      <c r="BS226" s="292">
        <v>5.55320639E8</v>
      </c>
      <c r="BT226" s="293">
        <v>8.069486352E9</v>
      </c>
      <c r="BU226" s="27"/>
      <c r="BV226" s="28">
        <v>2.5E8</v>
      </c>
      <c r="BW226" s="27"/>
      <c r="BX226" s="28">
        <v>6.44922248E8</v>
      </c>
      <c r="BY226" s="28">
        <v>1.286981908E9</v>
      </c>
      <c r="BZ226" s="61">
        <v>-1.13231401E8</v>
      </c>
      <c r="CA226" s="27"/>
      <c r="CB226" s="27"/>
      <c r="CC226" s="61">
        <v>2.068672755E9</v>
      </c>
      <c r="CD226" s="62">
        <v>1.0138159107E10</v>
      </c>
      <c r="CF226" s="49" t="s">
        <v>323</v>
      </c>
    </row>
    <row r="227">
      <c r="A227" s="49" t="s">
        <v>324</v>
      </c>
      <c r="B227" s="146"/>
      <c r="C227" s="146"/>
      <c r="D227" s="146"/>
      <c r="E227" s="146"/>
      <c r="F227" s="146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09"/>
      <c r="V227" s="28"/>
      <c r="W227" s="27"/>
      <c r="X227" s="27"/>
      <c r="Y227" s="27"/>
      <c r="AB227" s="27"/>
      <c r="AC227" s="27"/>
      <c r="AD227" s="28">
        <v>1.084099188E9</v>
      </c>
      <c r="AE227" s="28">
        <v>9.357716749E9</v>
      </c>
      <c r="AF227" s="28"/>
      <c r="AG227" s="28">
        <v>-864888.0</v>
      </c>
      <c r="AH227" s="28">
        <v>2.49765666E8</v>
      </c>
      <c r="AI227" s="27"/>
      <c r="AJ227" s="27"/>
      <c r="AK227" s="28">
        <v>6.42507529E8</v>
      </c>
      <c r="AL227" s="28">
        <v>2.5894044E7</v>
      </c>
      <c r="AM227" s="111"/>
      <c r="AN227" s="291">
        <v>1.1359118289E10</v>
      </c>
      <c r="AO227" s="27"/>
      <c r="AP227" s="27"/>
      <c r="AQ227" s="28">
        <v>5.62773954E8</v>
      </c>
      <c r="AR227" s="27"/>
      <c r="AS227" s="61"/>
      <c r="AT227" s="61"/>
      <c r="AU227" s="61">
        <v>1.06142835E8</v>
      </c>
      <c r="AV227" s="61">
        <v>6.68916789E8</v>
      </c>
      <c r="AW227" s="62">
        <v>1.2028035078E10</v>
      </c>
      <c r="AX227" s="27"/>
      <c r="AY227" s="27"/>
      <c r="AZ227" s="27"/>
      <c r="BA227" s="28">
        <v>6.515399077E9</v>
      </c>
      <c r="BB227" s="27"/>
      <c r="BC227" s="27"/>
      <c r="BD227" s="27"/>
      <c r="BE227" s="28">
        <v>5.74022512E8</v>
      </c>
      <c r="BF227" s="27"/>
      <c r="BG227" s="28"/>
      <c r="BH227" s="28"/>
      <c r="BI227" s="28">
        <v>1.638566263E9</v>
      </c>
      <c r="BJ227" s="27"/>
      <c r="BK227" s="111"/>
      <c r="BL227" s="62">
        <v>8.727987853E9</v>
      </c>
      <c r="BM227" s="27"/>
      <c r="BN227" s="27"/>
      <c r="BO227" s="27"/>
      <c r="BP227" s="27"/>
      <c r="BQ227" s="28">
        <v>5.55320639E8</v>
      </c>
      <c r="BR227" s="27"/>
      <c r="BS227" s="292">
        <v>5.55320639E8</v>
      </c>
      <c r="BT227" s="293">
        <v>9.283308492E9</v>
      </c>
      <c r="BU227" s="27"/>
      <c r="BV227" s="28">
        <v>2.5E8</v>
      </c>
      <c r="BW227" s="27"/>
      <c r="BX227" s="28">
        <v>1.32097608E9</v>
      </c>
      <c r="BY227" s="28">
        <v>1.286981908E9</v>
      </c>
      <c r="BZ227" s="61">
        <v>-1.13231401E8</v>
      </c>
      <c r="CA227" s="27"/>
      <c r="CB227" s="27"/>
      <c r="CC227" s="61">
        <v>2.744726587E9</v>
      </c>
      <c r="CD227" s="62">
        <v>1.2028035078E10</v>
      </c>
      <c r="CF227" s="49" t="s">
        <v>324</v>
      </c>
    </row>
    <row r="228">
      <c r="A228" s="116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6"/>
      <c r="V228" s="118"/>
      <c r="W228" s="116"/>
      <c r="X228" s="116"/>
      <c r="Y228" s="116"/>
      <c r="Z228" s="116"/>
      <c r="AA228" s="116"/>
      <c r="AB228" s="116"/>
      <c r="AC228" s="116"/>
      <c r="AD228" s="116"/>
      <c r="AE228" s="119"/>
      <c r="AF228" s="116"/>
      <c r="AG228" s="116"/>
      <c r="AH228" s="116"/>
      <c r="AI228" s="116"/>
      <c r="AJ228" s="116"/>
      <c r="AK228" s="116"/>
      <c r="AL228" s="116"/>
      <c r="AM228" s="120"/>
      <c r="AN228" s="121"/>
      <c r="AO228" s="116"/>
      <c r="AP228" s="116"/>
      <c r="AQ228" s="116"/>
      <c r="AR228" s="116"/>
      <c r="AS228" s="116"/>
      <c r="AT228" s="116"/>
      <c r="AU228" s="116"/>
      <c r="AV228" s="116"/>
      <c r="AW228" s="116"/>
      <c r="AX228" s="116"/>
      <c r="AY228" s="116"/>
      <c r="AZ228" s="116"/>
      <c r="BA228" s="116"/>
      <c r="BB228" s="116"/>
      <c r="BC228" s="116"/>
      <c r="BD228" s="116"/>
      <c r="BE228" s="116"/>
      <c r="BF228" s="116"/>
      <c r="BG228" s="116"/>
      <c r="BH228" s="116"/>
      <c r="BI228" s="116"/>
      <c r="BJ228" s="116"/>
      <c r="BK228" s="116"/>
      <c r="BL228" s="116"/>
      <c r="BM228" s="116"/>
      <c r="BN228" s="116"/>
      <c r="BO228" s="116"/>
      <c r="BP228" s="116"/>
      <c r="BQ228" s="116"/>
      <c r="BR228" s="116"/>
      <c r="BS228" s="116"/>
      <c r="BT228" s="121"/>
      <c r="BU228" s="116"/>
      <c r="BV228" s="116"/>
      <c r="BW228" s="116"/>
      <c r="BX228" s="116"/>
      <c r="BY228" s="116"/>
      <c r="BZ228" s="116"/>
      <c r="CA228" s="116"/>
      <c r="CB228" s="116"/>
      <c r="CC228" s="122"/>
      <c r="CD228" s="122"/>
      <c r="CE228" s="116"/>
      <c r="CF228" s="116"/>
      <c r="CG228" s="116"/>
      <c r="CH228" s="116"/>
      <c r="CI228" s="116"/>
      <c r="CJ228" s="116"/>
      <c r="CK228" s="116"/>
      <c r="CL228" s="116"/>
      <c r="CM228" s="116"/>
      <c r="CN228" s="116"/>
      <c r="CO228" s="116"/>
      <c r="CP228" s="116"/>
      <c r="CQ228" s="116"/>
      <c r="CR228" s="116"/>
      <c r="CS228" s="116"/>
      <c r="CT228" s="116"/>
      <c r="CU228" s="116"/>
      <c r="CV228" s="116"/>
      <c r="CW228" s="116"/>
      <c r="CX228" s="116"/>
      <c r="CY228" s="116"/>
      <c r="CZ228" s="116"/>
      <c r="DA228" s="116"/>
      <c r="DB228" s="116"/>
      <c r="DC228" s="116"/>
      <c r="DD228" s="116"/>
      <c r="DE228" s="116"/>
      <c r="DF228" s="116"/>
      <c r="DG228" s="116"/>
      <c r="DH228" s="116"/>
      <c r="DI228" s="116"/>
      <c r="DJ228" s="116"/>
      <c r="DK228" s="116"/>
      <c r="DL228" s="116"/>
      <c r="DM228" s="116"/>
      <c r="DN228" s="116"/>
      <c r="DO228" s="116"/>
      <c r="DP228" s="116"/>
      <c r="DQ228" s="116"/>
      <c r="DR228" s="116"/>
      <c r="DS228" s="116"/>
      <c r="DT228" s="116"/>
      <c r="DU228" s="116"/>
      <c r="DV228" s="116"/>
      <c r="DW228" s="116"/>
      <c r="DX228" s="116"/>
      <c r="DY228" s="116"/>
      <c r="DZ228" s="116"/>
      <c r="EA228" s="116"/>
      <c r="EB228" s="116"/>
      <c r="EC228" s="116"/>
      <c r="ED228" s="116"/>
      <c r="EE228" s="116"/>
      <c r="EF228" s="116"/>
      <c r="EG228" s="116"/>
      <c r="EH228" s="116"/>
      <c r="EI228" s="116"/>
      <c r="EJ228" s="116"/>
      <c r="EK228" s="116"/>
      <c r="EL228" s="116"/>
      <c r="EM228" s="116"/>
      <c r="EN228" s="116"/>
      <c r="EO228" s="116"/>
      <c r="EP228" s="116"/>
      <c r="EQ228" s="116"/>
      <c r="ER228" s="116"/>
      <c r="ES228" s="116"/>
      <c r="ET228" s="116"/>
      <c r="EU228" s="116"/>
      <c r="EV228" s="116"/>
      <c r="EW228" s="116"/>
      <c r="EX228" s="116"/>
      <c r="EY228" s="116"/>
      <c r="EZ228" s="116"/>
      <c r="FA228" s="116"/>
      <c r="FB228" s="116"/>
      <c r="FC228" s="116"/>
      <c r="FD228" s="116"/>
      <c r="FE228" s="116"/>
      <c r="FF228" s="116"/>
      <c r="FG228" s="116"/>
      <c r="FH228" s="116"/>
      <c r="FI228" s="116"/>
      <c r="FJ228" s="116"/>
      <c r="FK228" s="116"/>
      <c r="FL228" s="116"/>
      <c r="FM228" s="116"/>
      <c r="FN228" s="116"/>
      <c r="FO228" s="116"/>
      <c r="FP228" s="116"/>
      <c r="FQ228" s="116"/>
      <c r="FR228" s="116"/>
      <c r="FS228" s="116"/>
      <c r="FT228" s="116"/>
      <c r="FU228" s="116"/>
      <c r="FV228" s="116"/>
      <c r="FW228" s="116"/>
      <c r="FX228" s="116"/>
      <c r="FY228" s="116"/>
      <c r="FZ228" s="116"/>
      <c r="GA228" s="116"/>
      <c r="GB228" s="116"/>
      <c r="GC228" s="116"/>
      <c r="GD228" s="116"/>
      <c r="GE228" s="116"/>
      <c r="GF228" s="116"/>
      <c r="GG228" s="116"/>
      <c r="GH228" s="116"/>
      <c r="GI228" s="116"/>
      <c r="GJ228" s="116"/>
      <c r="GK228" s="116"/>
      <c r="GL228" s="116"/>
      <c r="GM228" s="118"/>
      <c r="GN228" s="116"/>
      <c r="GO228" s="116"/>
      <c r="GP228" s="116"/>
      <c r="GQ228" s="116"/>
      <c r="GR228" s="116"/>
      <c r="GS228" s="116"/>
      <c r="GT228" s="116"/>
      <c r="GU228" s="116"/>
      <c r="GV228" s="116"/>
      <c r="GW228" s="116"/>
      <c r="GX228" s="116"/>
      <c r="GY228" s="116"/>
      <c r="GZ228" s="116"/>
      <c r="HA228" s="116"/>
      <c r="HB228" s="116"/>
      <c r="HC228" s="116"/>
      <c r="HD228" s="116"/>
      <c r="HE228" s="116"/>
      <c r="HF228" s="116"/>
      <c r="HG228" s="116"/>
      <c r="HH228" s="116"/>
      <c r="HI228" s="116"/>
      <c r="HJ228" s="116"/>
      <c r="HK228" s="116"/>
      <c r="HL228" s="116"/>
      <c r="HM228" s="116"/>
      <c r="HN228" s="116"/>
      <c r="HO228" s="116"/>
      <c r="HP228" s="116"/>
      <c r="HQ228" s="116"/>
      <c r="HR228" s="116"/>
      <c r="HS228" s="116"/>
      <c r="HT228" s="116"/>
      <c r="HU228" s="116"/>
      <c r="HV228" s="116"/>
      <c r="HW228" s="116"/>
      <c r="HX228" s="116"/>
      <c r="HY228" s="116"/>
      <c r="HZ228" s="116"/>
      <c r="IA228" s="116"/>
      <c r="IB228" s="116"/>
      <c r="IC228" s="116"/>
      <c r="ID228" s="116"/>
      <c r="IE228" s="116"/>
      <c r="IF228" s="116"/>
      <c r="IG228" s="116"/>
      <c r="IH228" s="116"/>
      <c r="II228" s="116"/>
      <c r="IJ228" s="116"/>
      <c r="IK228" s="116"/>
      <c r="IL228" s="116"/>
      <c r="IM228" s="116"/>
      <c r="IN228" s="116"/>
      <c r="IO228" s="116"/>
      <c r="IP228" s="116"/>
      <c r="IQ228" s="116"/>
      <c r="IR228" s="116"/>
      <c r="IS228" s="116"/>
      <c r="IT228" s="116"/>
      <c r="IU228" s="116"/>
      <c r="IV228" s="116"/>
      <c r="IW228" s="116"/>
      <c r="IX228" s="116"/>
      <c r="IY228" s="116"/>
      <c r="IZ228" s="116"/>
      <c r="JA228" s="116"/>
      <c r="JB228" s="116"/>
      <c r="JC228" s="116"/>
      <c r="JD228" s="116"/>
      <c r="JE228" s="116"/>
      <c r="JF228" s="116"/>
      <c r="JG228" s="116"/>
      <c r="JH228" s="116"/>
      <c r="JI228" s="116"/>
      <c r="JJ228" s="116"/>
      <c r="JK228" s="116"/>
      <c r="JL228" s="116"/>
      <c r="JM228" s="116"/>
      <c r="JN228" s="116"/>
      <c r="JO228" s="116"/>
      <c r="JP228" s="116"/>
      <c r="JQ228" s="116"/>
      <c r="JR228" s="116"/>
      <c r="JS228" s="116"/>
      <c r="JT228" s="123"/>
      <c r="JU228" s="116"/>
      <c r="JV228" s="116"/>
      <c r="JW228" s="116"/>
      <c r="JX228" s="116"/>
      <c r="JY228" s="116"/>
      <c r="JZ228" s="116"/>
      <c r="KA228" s="116"/>
      <c r="KB228" s="116"/>
      <c r="KC228" s="116"/>
      <c r="KD228" s="116"/>
      <c r="KE228" s="116"/>
      <c r="KF228" s="116"/>
      <c r="KG228" s="116"/>
      <c r="KH228" s="116"/>
      <c r="KI228" s="116"/>
      <c r="KJ228" s="116"/>
      <c r="KK228" s="116"/>
      <c r="KL228" s="116"/>
      <c r="KM228" s="116"/>
      <c r="KN228" s="116"/>
      <c r="KO228" s="116"/>
      <c r="KP228" s="116"/>
      <c r="KQ228" s="116"/>
      <c r="KR228" s="116"/>
      <c r="KS228" s="116"/>
      <c r="KT228" s="116"/>
      <c r="KU228" s="116"/>
      <c r="KV228" s="116"/>
      <c r="KW228" s="116"/>
      <c r="KX228" s="116"/>
      <c r="KY228" s="116"/>
      <c r="KZ228" s="116"/>
      <c r="LA228" s="116"/>
      <c r="LB228" s="116"/>
      <c r="LC228" s="116"/>
      <c r="LD228" s="116"/>
      <c r="LE228" s="116"/>
      <c r="LF228" s="116"/>
      <c r="LG228" s="116"/>
      <c r="LH228" s="116"/>
      <c r="LI228" s="116"/>
      <c r="LJ228" s="116"/>
      <c r="LK228" s="116"/>
    </row>
    <row r="229">
      <c r="A229" s="116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6"/>
      <c r="V229" s="118"/>
      <c r="W229" s="116"/>
      <c r="X229" s="116"/>
      <c r="Y229" s="116"/>
      <c r="Z229" s="116"/>
      <c r="AA229" s="116"/>
      <c r="AB229" s="116"/>
      <c r="AC229" s="116"/>
      <c r="AD229" s="116"/>
      <c r="AE229" s="116"/>
      <c r="AF229" s="116"/>
      <c r="AG229" s="116"/>
      <c r="AH229" s="116"/>
      <c r="AI229" s="116"/>
      <c r="AJ229" s="116"/>
      <c r="AK229" s="116"/>
      <c r="AL229" s="116"/>
      <c r="AM229" s="120"/>
      <c r="AN229" s="121"/>
      <c r="AO229" s="116"/>
      <c r="AP229" s="116"/>
      <c r="AQ229" s="116"/>
      <c r="AR229" s="116"/>
      <c r="AS229" s="116"/>
      <c r="AT229" s="116"/>
      <c r="AU229" s="116"/>
      <c r="AV229" s="116"/>
      <c r="AW229" s="116"/>
      <c r="AX229" s="116"/>
      <c r="AY229" s="116"/>
      <c r="AZ229" s="116"/>
      <c r="BA229" s="116"/>
      <c r="BB229" s="116"/>
      <c r="BC229" s="116"/>
      <c r="BD229" s="116"/>
      <c r="BE229" s="116"/>
      <c r="BF229" s="116"/>
      <c r="BG229" s="116"/>
      <c r="BH229" s="116"/>
      <c r="BI229" s="116"/>
      <c r="BJ229" s="116"/>
      <c r="BK229" s="116"/>
      <c r="BL229" s="116"/>
      <c r="BM229" s="116"/>
      <c r="BN229" s="116"/>
      <c r="BO229" s="116"/>
      <c r="BP229" s="116"/>
      <c r="BQ229" s="116"/>
      <c r="BR229" s="116"/>
      <c r="BS229" s="116"/>
      <c r="BT229" s="121"/>
      <c r="BU229" s="116"/>
      <c r="BV229" s="116"/>
      <c r="BW229" s="116"/>
      <c r="BX229" s="116"/>
      <c r="BY229" s="116"/>
      <c r="BZ229" s="116"/>
      <c r="CA229" s="116"/>
      <c r="CB229" s="116"/>
      <c r="CC229" s="122"/>
      <c r="CD229" s="122"/>
      <c r="CE229" s="116"/>
      <c r="CF229" s="116"/>
      <c r="CG229" s="116"/>
      <c r="CH229" s="116"/>
      <c r="CI229" s="116"/>
      <c r="CJ229" s="116"/>
      <c r="CK229" s="116"/>
      <c r="CL229" s="116"/>
      <c r="CM229" s="116"/>
      <c r="CN229" s="116"/>
      <c r="CO229" s="116"/>
      <c r="CP229" s="116"/>
      <c r="CQ229" s="116"/>
      <c r="CR229" s="116"/>
      <c r="CS229" s="116"/>
      <c r="CT229" s="116"/>
      <c r="CU229" s="116"/>
      <c r="CV229" s="116"/>
      <c r="CW229" s="116"/>
      <c r="CX229" s="116"/>
      <c r="CY229" s="116"/>
      <c r="CZ229" s="116"/>
      <c r="DA229" s="116"/>
      <c r="DB229" s="116"/>
      <c r="DC229" s="116"/>
      <c r="DD229" s="116"/>
      <c r="DE229" s="116"/>
      <c r="DF229" s="116"/>
      <c r="DG229" s="116"/>
      <c r="DH229" s="116"/>
      <c r="DI229" s="116"/>
      <c r="DJ229" s="116"/>
      <c r="DK229" s="116"/>
      <c r="DL229" s="116"/>
      <c r="DM229" s="116"/>
      <c r="DN229" s="116"/>
      <c r="DO229" s="116"/>
      <c r="DP229" s="116"/>
      <c r="DQ229" s="116"/>
      <c r="DR229" s="116"/>
      <c r="DS229" s="116"/>
      <c r="DT229" s="116"/>
      <c r="DU229" s="116"/>
      <c r="DV229" s="116"/>
      <c r="DW229" s="116"/>
      <c r="DX229" s="116"/>
      <c r="DY229" s="116"/>
      <c r="DZ229" s="116"/>
      <c r="EA229" s="116"/>
      <c r="EB229" s="116"/>
      <c r="EC229" s="116"/>
      <c r="ED229" s="116"/>
      <c r="EE229" s="116"/>
      <c r="EF229" s="116"/>
      <c r="EG229" s="116"/>
      <c r="EH229" s="116"/>
      <c r="EI229" s="116"/>
      <c r="EJ229" s="116"/>
      <c r="EK229" s="116"/>
      <c r="EL229" s="116"/>
      <c r="EM229" s="116"/>
      <c r="EN229" s="116"/>
      <c r="EO229" s="116"/>
      <c r="EP229" s="116"/>
      <c r="EQ229" s="116"/>
      <c r="ER229" s="116"/>
      <c r="ES229" s="116"/>
      <c r="ET229" s="116"/>
      <c r="EU229" s="116"/>
      <c r="EV229" s="116"/>
      <c r="EW229" s="116"/>
      <c r="EX229" s="116"/>
      <c r="EY229" s="116"/>
      <c r="EZ229" s="116"/>
      <c r="FA229" s="116"/>
      <c r="FB229" s="116"/>
      <c r="FC229" s="116"/>
      <c r="FD229" s="116"/>
      <c r="FE229" s="116"/>
      <c r="FF229" s="116"/>
      <c r="FG229" s="116"/>
      <c r="FH229" s="116"/>
      <c r="FI229" s="116"/>
      <c r="FJ229" s="116"/>
      <c r="FK229" s="116"/>
      <c r="FL229" s="116"/>
      <c r="FM229" s="116"/>
      <c r="FN229" s="116"/>
      <c r="FO229" s="116"/>
      <c r="FP229" s="116"/>
      <c r="FQ229" s="116"/>
      <c r="FR229" s="116"/>
      <c r="FS229" s="116"/>
      <c r="FT229" s="116"/>
      <c r="FU229" s="116"/>
      <c r="FV229" s="116"/>
      <c r="FW229" s="116"/>
      <c r="FX229" s="116"/>
      <c r="FY229" s="116"/>
      <c r="FZ229" s="116"/>
      <c r="GA229" s="116"/>
      <c r="GB229" s="116"/>
      <c r="GC229" s="116"/>
      <c r="GD229" s="116"/>
      <c r="GE229" s="116"/>
      <c r="GF229" s="116"/>
      <c r="GG229" s="116"/>
      <c r="GH229" s="116"/>
      <c r="GI229" s="116"/>
      <c r="GJ229" s="116"/>
      <c r="GK229" s="116"/>
      <c r="GL229" s="116"/>
      <c r="GM229" s="118"/>
      <c r="GN229" s="116"/>
      <c r="GO229" s="116"/>
      <c r="GP229" s="116"/>
      <c r="GQ229" s="116"/>
      <c r="GR229" s="116"/>
      <c r="GS229" s="116"/>
      <c r="GT229" s="116"/>
      <c r="GU229" s="116"/>
      <c r="GV229" s="116"/>
      <c r="GW229" s="116"/>
      <c r="GX229" s="116"/>
      <c r="GY229" s="116"/>
      <c r="GZ229" s="116"/>
      <c r="HA229" s="116"/>
      <c r="HB229" s="116"/>
      <c r="HC229" s="116"/>
      <c r="HD229" s="116"/>
      <c r="HE229" s="116"/>
      <c r="HF229" s="116"/>
      <c r="HG229" s="116"/>
      <c r="HH229" s="116"/>
      <c r="HI229" s="116"/>
      <c r="HJ229" s="116"/>
      <c r="HK229" s="116"/>
      <c r="HL229" s="116"/>
      <c r="HM229" s="116"/>
      <c r="HN229" s="116"/>
      <c r="HO229" s="116"/>
      <c r="HP229" s="116"/>
      <c r="HQ229" s="116"/>
      <c r="HR229" s="116"/>
      <c r="HS229" s="116"/>
      <c r="HT229" s="116"/>
      <c r="HU229" s="116"/>
      <c r="HV229" s="116"/>
      <c r="HW229" s="116"/>
      <c r="HX229" s="116"/>
      <c r="HY229" s="116"/>
      <c r="HZ229" s="116"/>
      <c r="IA229" s="116"/>
      <c r="IB229" s="116"/>
      <c r="IC229" s="116"/>
      <c r="ID229" s="116"/>
      <c r="IE229" s="116"/>
      <c r="IF229" s="116"/>
      <c r="IG229" s="116"/>
      <c r="IH229" s="116"/>
      <c r="II229" s="116"/>
      <c r="IJ229" s="116"/>
      <c r="IK229" s="116"/>
      <c r="IL229" s="116"/>
      <c r="IM229" s="116"/>
      <c r="IN229" s="116"/>
      <c r="IO229" s="116"/>
      <c r="IP229" s="116"/>
      <c r="IQ229" s="116"/>
      <c r="IR229" s="116"/>
      <c r="IS229" s="116"/>
      <c r="IT229" s="116"/>
      <c r="IU229" s="116"/>
      <c r="IV229" s="116"/>
      <c r="IW229" s="116"/>
      <c r="IX229" s="116"/>
      <c r="IY229" s="116"/>
      <c r="IZ229" s="116"/>
      <c r="JA229" s="116"/>
      <c r="JB229" s="116"/>
      <c r="JC229" s="116"/>
      <c r="JD229" s="116"/>
      <c r="JE229" s="116"/>
      <c r="JF229" s="116"/>
      <c r="JG229" s="116"/>
      <c r="JH229" s="116"/>
      <c r="JI229" s="116"/>
      <c r="JJ229" s="116"/>
      <c r="JK229" s="116"/>
      <c r="JL229" s="116"/>
      <c r="JM229" s="116"/>
      <c r="JN229" s="116"/>
      <c r="JO229" s="116"/>
      <c r="JP229" s="116"/>
      <c r="JQ229" s="116"/>
      <c r="JR229" s="116"/>
      <c r="JS229" s="116"/>
      <c r="JT229" s="123"/>
      <c r="JU229" s="116"/>
      <c r="JV229" s="116"/>
      <c r="JW229" s="116"/>
      <c r="JX229" s="116"/>
      <c r="JY229" s="116"/>
      <c r="JZ229" s="116"/>
      <c r="KA229" s="116"/>
      <c r="KB229" s="116"/>
      <c r="KC229" s="116"/>
      <c r="KD229" s="116"/>
      <c r="KE229" s="116"/>
      <c r="KF229" s="116"/>
      <c r="KG229" s="116"/>
      <c r="KH229" s="116"/>
      <c r="KI229" s="116"/>
      <c r="KJ229" s="116"/>
      <c r="KK229" s="116"/>
      <c r="KL229" s="116"/>
      <c r="KM229" s="116"/>
      <c r="KN229" s="116"/>
      <c r="KO229" s="116"/>
      <c r="KP229" s="116"/>
      <c r="KQ229" s="116"/>
      <c r="KR229" s="116"/>
      <c r="KS229" s="116"/>
      <c r="KT229" s="116"/>
      <c r="KU229" s="116"/>
      <c r="KV229" s="116"/>
      <c r="KW229" s="116"/>
      <c r="KX229" s="116"/>
      <c r="KY229" s="116"/>
      <c r="KZ229" s="116"/>
      <c r="LA229" s="116"/>
      <c r="LB229" s="116"/>
      <c r="LC229" s="116"/>
      <c r="LD229" s="116"/>
      <c r="LE229" s="116"/>
      <c r="LF229" s="116"/>
      <c r="LG229" s="116"/>
      <c r="LH229" s="116"/>
      <c r="LI229" s="116"/>
      <c r="LJ229" s="116"/>
      <c r="LK229" s="116"/>
    </row>
    <row r="230">
      <c r="V230" s="110"/>
    </row>
    <row r="231">
      <c r="V231" s="110"/>
    </row>
    <row r="232">
      <c r="V232" s="110"/>
    </row>
    <row r="233">
      <c r="V233" s="110"/>
    </row>
    <row r="234">
      <c r="V234" s="110"/>
    </row>
    <row r="235">
      <c r="V235" s="110"/>
    </row>
    <row r="236">
      <c r="V236" s="110"/>
    </row>
    <row r="237">
      <c r="V237" s="110"/>
    </row>
    <row r="238">
      <c r="V238" s="110"/>
    </row>
    <row r="239">
      <c r="V239" s="110"/>
    </row>
    <row r="240">
      <c r="V240" s="110"/>
    </row>
    <row r="241">
      <c r="V241" s="110"/>
    </row>
    <row r="242">
      <c r="V242" s="110"/>
    </row>
    <row r="243">
      <c r="V243" s="110"/>
    </row>
    <row r="244">
      <c r="V244" s="110"/>
    </row>
    <row r="245">
      <c r="V245" s="110"/>
    </row>
    <row r="246">
      <c r="V246" s="110"/>
    </row>
    <row r="247">
      <c r="V247" s="110"/>
    </row>
    <row r="248">
      <c r="V248" s="110"/>
    </row>
    <row r="249">
      <c r="V249" s="110"/>
    </row>
    <row r="250">
      <c r="V250" s="110"/>
    </row>
    <row r="251">
      <c r="V251" s="110"/>
    </row>
    <row r="252">
      <c r="V252" s="110"/>
    </row>
    <row r="253">
      <c r="V253" s="110"/>
    </row>
    <row r="254">
      <c r="V254" s="110"/>
    </row>
    <row r="255">
      <c r="V255" s="110"/>
    </row>
    <row r="256">
      <c r="V256" s="110"/>
    </row>
    <row r="257">
      <c r="V257" s="110"/>
    </row>
    <row r="258">
      <c r="V258" s="110"/>
    </row>
    <row r="259">
      <c r="V259" s="110"/>
    </row>
    <row r="260">
      <c r="V260" s="110"/>
    </row>
    <row r="261">
      <c r="V261" s="110"/>
    </row>
    <row r="262">
      <c r="V262" s="110"/>
    </row>
    <row r="263">
      <c r="V263" s="110"/>
    </row>
    <row r="264">
      <c r="V264" s="110"/>
    </row>
    <row r="265">
      <c r="V265" s="110"/>
    </row>
    <row r="266">
      <c r="V266" s="110"/>
    </row>
    <row r="267">
      <c r="V267" s="110"/>
    </row>
    <row r="268">
      <c r="V268" s="110"/>
    </row>
    <row r="269">
      <c r="V269" s="110"/>
    </row>
    <row r="270">
      <c r="V270" s="110"/>
    </row>
    <row r="271">
      <c r="V271" s="110"/>
    </row>
    <row r="272">
      <c r="V272" s="110"/>
    </row>
    <row r="273">
      <c r="V273" s="110"/>
    </row>
    <row r="274">
      <c r="V274" s="110"/>
    </row>
    <row r="275">
      <c r="V275" s="110"/>
    </row>
    <row r="276">
      <c r="V276" s="110"/>
    </row>
    <row r="277">
      <c r="V277" s="110"/>
    </row>
    <row r="278">
      <c r="V278" s="110"/>
    </row>
    <row r="279">
      <c r="V279" s="110"/>
    </row>
    <row r="280">
      <c r="V280" s="110"/>
    </row>
    <row r="281">
      <c r="V281" s="110"/>
    </row>
    <row r="282">
      <c r="V282" s="110"/>
    </row>
    <row r="283">
      <c r="V283" s="110"/>
    </row>
    <row r="284">
      <c r="V284" s="110"/>
    </row>
    <row r="285">
      <c r="V285" s="110"/>
    </row>
    <row r="286">
      <c r="V286" s="110"/>
    </row>
    <row r="287">
      <c r="V287" s="110"/>
    </row>
    <row r="288">
      <c r="V288" s="110"/>
    </row>
    <row r="289">
      <c r="V289" s="110"/>
    </row>
    <row r="290">
      <c r="V290" s="110"/>
    </row>
    <row r="291">
      <c r="V291" s="110"/>
    </row>
    <row r="292">
      <c r="V292" s="110"/>
    </row>
    <row r="293">
      <c r="V293" s="110"/>
    </row>
    <row r="294">
      <c r="V294" s="110"/>
    </row>
    <row r="295">
      <c r="V295" s="110"/>
    </row>
    <row r="296">
      <c r="V296" s="110"/>
    </row>
    <row r="297">
      <c r="V297" s="110"/>
    </row>
    <row r="298">
      <c r="V298" s="110"/>
    </row>
    <row r="299">
      <c r="V299" s="110"/>
    </row>
    <row r="300">
      <c r="V300" s="110"/>
    </row>
    <row r="301">
      <c r="V301" s="110"/>
    </row>
    <row r="302">
      <c r="V302" s="110"/>
    </row>
    <row r="303">
      <c r="V303" s="110"/>
    </row>
    <row r="304">
      <c r="V304" s="110"/>
    </row>
    <row r="305">
      <c r="V305" s="110"/>
    </row>
    <row r="306">
      <c r="V306" s="110"/>
    </row>
    <row r="307">
      <c r="V307" s="110"/>
    </row>
    <row r="308">
      <c r="V308" s="110"/>
    </row>
    <row r="309">
      <c r="V309" s="110"/>
    </row>
    <row r="310">
      <c r="V310" s="110"/>
    </row>
    <row r="311">
      <c r="V311" s="110"/>
    </row>
    <row r="312">
      <c r="V312" s="110"/>
    </row>
    <row r="313">
      <c r="V313" s="110"/>
    </row>
    <row r="314">
      <c r="V314" s="110"/>
    </row>
    <row r="315">
      <c r="V315" s="110"/>
    </row>
    <row r="316">
      <c r="V316" s="110"/>
    </row>
    <row r="317">
      <c r="V317" s="110"/>
    </row>
    <row r="318">
      <c r="V318" s="110"/>
    </row>
    <row r="319">
      <c r="V319" s="110"/>
    </row>
    <row r="320">
      <c r="V320" s="110"/>
    </row>
    <row r="321">
      <c r="V321" s="110"/>
    </row>
    <row r="322">
      <c r="V322" s="110"/>
    </row>
    <row r="323">
      <c r="V323" s="110"/>
    </row>
    <row r="324">
      <c r="V324" s="110"/>
    </row>
    <row r="325">
      <c r="V325" s="110"/>
    </row>
    <row r="326">
      <c r="V326" s="110"/>
    </row>
    <row r="327">
      <c r="V327" s="110"/>
    </row>
    <row r="328">
      <c r="V328" s="110"/>
    </row>
    <row r="329">
      <c r="V329" s="110"/>
    </row>
    <row r="330">
      <c r="V330" s="110"/>
    </row>
    <row r="331">
      <c r="V331" s="110"/>
    </row>
    <row r="332">
      <c r="V332" s="110"/>
    </row>
    <row r="333">
      <c r="V333" s="110"/>
    </row>
    <row r="334">
      <c r="V334" s="110"/>
    </row>
    <row r="335">
      <c r="V335" s="110"/>
    </row>
    <row r="336">
      <c r="V336" s="110"/>
    </row>
    <row r="337">
      <c r="V337" s="110"/>
    </row>
    <row r="338">
      <c r="V338" s="110"/>
    </row>
    <row r="339">
      <c r="V339" s="110"/>
    </row>
    <row r="340">
      <c r="V340" s="110"/>
    </row>
    <row r="341">
      <c r="V341" s="110"/>
    </row>
    <row r="342">
      <c r="V342" s="110"/>
    </row>
    <row r="343">
      <c r="V343" s="110"/>
    </row>
    <row r="344">
      <c r="V344" s="110"/>
    </row>
    <row r="345">
      <c r="V345" s="110"/>
    </row>
    <row r="346">
      <c r="V346" s="110"/>
    </row>
    <row r="347">
      <c r="V347" s="110"/>
    </row>
    <row r="348">
      <c r="V348" s="110"/>
    </row>
    <row r="349">
      <c r="V349" s="110"/>
    </row>
    <row r="350">
      <c r="V350" s="110"/>
    </row>
    <row r="351">
      <c r="V351" s="110"/>
    </row>
    <row r="352">
      <c r="V352" s="110"/>
    </row>
    <row r="353">
      <c r="V353" s="110"/>
    </row>
    <row r="354">
      <c r="V354" s="110"/>
    </row>
    <row r="355">
      <c r="V355" s="110"/>
    </row>
    <row r="356">
      <c r="V356" s="110"/>
    </row>
    <row r="357">
      <c r="V357" s="110"/>
    </row>
    <row r="358">
      <c r="V358" s="110"/>
    </row>
    <row r="359">
      <c r="V359" s="110"/>
    </row>
    <row r="360">
      <c r="V360" s="110"/>
    </row>
    <row r="361">
      <c r="V361" s="110"/>
    </row>
    <row r="362">
      <c r="V362" s="110"/>
    </row>
    <row r="363">
      <c r="V363" s="110"/>
    </row>
    <row r="364">
      <c r="V364" s="110"/>
    </row>
    <row r="365">
      <c r="V365" s="110"/>
    </row>
    <row r="366">
      <c r="V366" s="110"/>
    </row>
    <row r="367">
      <c r="V367" s="110"/>
    </row>
    <row r="368">
      <c r="V368" s="110"/>
    </row>
    <row r="369">
      <c r="V369" s="110"/>
    </row>
    <row r="370">
      <c r="V370" s="110"/>
    </row>
    <row r="371">
      <c r="V371" s="110"/>
    </row>
    <row r="372">
      <c r="V372" s="110"/>
    </row>
    <row r="373">
      <c r="V373" s="110"/>
    </row>
    <row r="374">
      <c r="V374" s="110"/>
    </row>
    <row r="375">
      <c r="V375" s="110"/>
    </row>
    <row r="376">
      <c r="V376" s="110"/>
    </row>
    <row r="377">
      <c r="V377" s="110"/>
    </row>
    <row r="378">
      <c r="V378" s="110"/>
    </row>
    <row r="379">
      <c r="V379" s="110"/>
    </row>
    <row r="380">
      <c r="V380" s="110"/>
    </row>
    <row r="381">
      <c r="V381" s="110"/>
    </row>
    <row r="382">
      <c r="V382" s="110"/>
    </row>
    <row r="383">
      <c r="V383" s="110"/>
    </row>
    <row r="384">
      <c r="V384" s="110"/>
    </row>
    <row r="385">
      <c r="V385" s="110"/>
    </row>
    <row r="386">
      <c r="V386" s="110"/>
    </row>
    <row r="387">
      <c r="V387" s="110"/>
    </row>
    <row r="388">
      <c r="V388" s="110"/>
    </row>
    <row r="389">
      <c r="V389" s="110"/>
    </row>
    <row r="390">
      <c r="V390" s="110"/>
    </row>
    <row r="391">
      <c r="V391" s="110"/>
    </row>
    <row r="392">
      <c r="V392" s="110"/>
    </row>
    <row r="393">
      <c r="V393" s="110"/>
    </row>
    <row r="394">
      <c r="V394" s="110"/>
    </row>
    <row r="395">
      <c r="V395" s="110"/>
    </row>
    <row r="396">
      <c r="V396" s="110"/>
    </row>
    <row r="397">
      <c r="V397" s="110"/>
    </row>
    <row r="398">
      <c r="V398" s="110"/>
    </row>
    <row r="399">
      <c r="V399" s="110"/>
    </row>
    <row r="400">
      <c r="V400" s="110"/>
    </row>
    <row r="401">
      <c r="V401" s="110"/>
    </row>
    <row r="402">
      <c r="V402" s="110"/>
    </row>
    <row r="403">
      <c r="V403" s="110"/>
    </row>
    <row r="404">
      <c r="V404" s="110"/>
    </row>
    <row r="405">
      <c r="V405" s="110"/>
    </row>
    <row r="406">
      <c r="V406" s="110"/>
    </row>
    <row r="407">
      <c r="V407" s="110"/>
    </row>
    <row r="408">
      <c r="V408" s="110"/>
    </row>
    <row r="409">
      <c r="V409" s="110"/>
    </row>
    <row r="410">
      <c r="V410" s="110"/>
    </row>
    <row r="411">
      <c r="V411" s="110"/>
    </row>
    <row r="412">
      <c r="V412" s="110"/>
    </row>
    <row r="413">
      <c r="V413" s="110"/>
    </row>
    <row r="414">
      <c r="V414" s="110"/>
    </row>
    <row r="415">
      <c r="V415" s="110"/>
    </row>
    <row r="416">
      <c r="V416" s="110"/>
    </row>
    <row r="417">
      <c r="V417" s="110"/>
    </row>
    <row r="418">
      <c r="V418" s="110"/>
    </row>
    <row r="419">
      <c r="V419" s="110"/>
    </row>
    <row r="420">
      <c r="V420" s="110"/>
    </row>
    <row r="421">
      <c r="V421" s="110"/>
    </row>
    <row r="422">
      <c r="V422" s="110"/>
    </row>
    <row r="423">
      <c r="V423" s="110"/>
    </row>
    <row r="424">
      <c r="V424" s="110"/>
    </row>
    <row r="425">
      <c r="V425" s="110"/>
    </row>
    <row r="426">
      <c r="V426" s="110"/>
    </row>
    <row r="427">
      <c r="V427" s="110"/>
    </row>
    <row r="428">
      <c r="V428" s="110"/>
    </row>
    <row r="429">
      <c r="V429" s="110"/>
    </row>
    <row r="430">
      <c r="V430" s="110"/>
    </row>
    <row r="431">
      <c r="V431" s="110"/>
    </row>
    <row r="432">
      <c r="V432" s="110"/>
    </row>
    <row r="433">
      <c r="V433" s="110"/>
    </row>
    <row r="434">
      <c r="V434" s="110"/>
    </row>
    <row r="435">
      <c r="V435" s="110"/>
    </row>
    <row r="436">
      <c r="V436" s="110"/>
    </row>
    <row r="437">
      <c r="V437" s="110"/>
    </row>
    <row r="438">
      <c r="V438" s="110"/>
    </row>
    <row r="439">
      <c r="V439" s="110"/>
    </row>
    <row r="440">
      <c r="V440" s="110"/>
    </row>
    <row r="441">
      <c r="V441" s="110"/>
    </row>
    <row r="442">
      <c r="V442" s="110"/>
    </row>
    <row r="443">
      <c r="V443" s="110"/>
    </row>
    <row r="444">
      <c r="V444" s="110"/>
    </row>
    <row r="445">
      <c r="V445" s="110"/>
    </row>
    <row r="446">
      <c r="V446" s="110"/>
    </row>
    <row r="447">
      <c r="V447" s="110"/>
    </row>
    <row r="448">
      <c r="V448" s="110"/>
    </row>
    <row r="449">
      <c r="V449" s="110"/>
    </row>
    <row r="450">
      <c r="V450" s="110"/>
    </row>
    <row r="451">
      <c r="V451" s="110"/>
    </row>
    <row r="452">
      <c r="V452" s="110"/>
    </row>
    <row r="453">
      <c r="V453" s="110"/>
    </row>
    <row r="454">
      <c r="V454" s="110"/>
    </row>
    <row r="455">
      <c r="V455" s="110"/>
    </row>
    <row r="456">
      <c r="V456" s="110"/>
    </row>
    <row r="457">
      <c r="V457" s="110"/>
    </row>
    <row r="458">
      <c r="V458" s="110"/>
    </row>
    <row r="459">
      <c r="V459" s="110"/>
    </row>
    <row r="460">
      <c r="V460" s="110"/>
    </row>
    <row r="461">
      <c r="V461" s="110"/>
    </row>
    <row r="462">
      <c r="V462" s="110"/>
    </row>
    <row r="463">
      <c r="V463" s="110"/>
    </row>
    <row r="464">
      <c r="V464" s="110"/>
    </row>
    <row r="465">
      <c r="V465" s="110"/>
    </row>
    <row r="466">
      <c r="V466" s="110"/>
    </row>
    <row r="467">
      <c r="V467" s="110"/>
    </row>
    <row r="468">
      <c r="V468" s="110"/>
    </row>
    <row r="469">
      <c r="V469" s="110"/>
    </row>
    <row r="470">
      <c r="V470" s="110"/>
    </row>
    <row r="471">
      <c r="V471" s="110"/>
    </row>
    <row r="472">
      <c r="V472" s="110"/>
    </row>
    <row r="473">
      <c r="V473" s="110"/>
    </row>
    <row r="474">
      <c r="V474" s="110"/>
    </row>
    <row r="475">
      <c r="V475" s="110"/>
    </row>
    <row r="476">
      <c r="V476" s="110"/>
    </row>
    <row r="477">
      <c r="V477" s="110"/>
    </row>
    <row r="478">
      <c r="V478" s="110"/>
    </row>
    <row r="479">
      <c r="V479" s="110"/>
    </row>
    <row r="480">
      <c r="V480" s="110"/>
    </row>
    <row r="481">
      <c r="V481" s="110"/>
    </row>
    <row r="482">
      <c r="V482" s="110"/>
    </row>
    <row r="483">
      <c r="V483" s="110"/>
    </row>
    <row r="484">
      <c r="V484" s="110"/>
    </row>
    <row r="485">
      <c r="V485" s="110"/>
    </row>
    <row r="486">
      <c r="V486" s="110"/>
    </row>
    <row r="487">
      <c r="V487" s="110"/>
    </row>
    <row r="488">
      <c r="V488" s="110"/>
    </row>
    <row r="489">
      <c r="V489" s="110"/>
    </row>
    <row r="490">
      <c r="V490" s="110"/>
    </row>
    <row r="491">
      <c r="V491" s="110"/>
    </row>
    <row r="492">
      <c r="V492" s="110"/>
    </row>
    <row r="493">
      <c r="V493" s="110"/>
    </row>
    <row r="494">
      <c r="V494" s="110"/>
    </row>
    <row r="495">
      <c r="V495" s="110"/>
    </row>
    <row r="496">
      <c r="V496" s="110"/>
    </row>
    <row r="497">
      <c r="V497" s="110"/>
    </row>
    <row r="498">
      <c r="V498" s="110"/>
    </row>
    <row r="499">
      <c r="V499" s="110"/>
    </row>
    <row r="500">
      <c r="V500" s="110"/>
    </row>
    <row r="501">
      <c r="V501" s="110"/>
    </row>
    <row r="502">
      <c r="V502" s="110"/>
    </row>
    <row r="503">
      <c r="V503" s="110"/>
    </row>
    <row r="504">
      <c r="V504" s="110"/>
    </row>
    <row r="505">
      <c r="V505" s="110"/>
    </row>
    <row r="506">
      <c r="V506" s="110"/>
    </row>
    <row r="507">
      <c r="V507" s="110"/>
    </row>
    <row r="508">
      <c r="V508" s="110"/>
    </row>
    <row r="509">
      <c r="V509" s="110"/>
    </row>
    <row r="510">
      <c r="V510" s="110"/>
    </row>
    <row r="511">
      <c r="V511" s="110"/>
    </row>
    <row r="512">
      <c r="V512" s="110"/>
    </row>
    <row r="513">
      <c r="V513" s="110"/>
    </row>
    <row r="514">
      <c r="V514" s="110"/>
    </row>
    <row r="515">
      <c r="V515" s="110"/>
    </row>
    <row r="516">
      <c r="V516" s="110"/>
    </row>
    <row r="517">
      <c r="V517" s="110"/>
    </row>
    <row r="518">
      <c r="V518" s="110"/>
    </row>
    <row r="519">
      <c r="V519" s="110"/>
    </row>
    <row r="520">
      <c r="V520" s="110"/>
    </row>
    <row r="521">
      <c r="V521" s="110"/>
    </row>
    <row r="522">
      <c r="V522" s="110"/>
    </row>
    <row r="523">
      <c r="V523" s="110"/>
    </row>
    <row r="524">
      <c r="V524" s="110"/>
    </row>
    <row r="525">
      <c r="V525" s="110"/>
    </row>
    <row r="526">
      <c r="V526" s="110"/>
    </row>
    <row r="527">
      <c r="V527" s="110"/>
    </row>
    <row r="528">
      <c r="V528" s="110"/>
    </row>
    <row r="529">
      <c r="V529" s="110"/>
    </row>
    <row r="530">
      <c r="V530" s="110"/>
    </row>
    <row r="531">
      <c r="V531" s="110"/>
    </row>
    <row r="532">
      <c r="V532" s="110"/>
    </row>
    <row r="533">
      <c r="V533" s="110"/>
    </row>
    <row r="534">
      <c r="V534" s="110"/>
    </row>
    <row r="535">
      <c r="V535" s="110"/>
    </row>
    <row r="536">
      <c r="V536" s="110"/>
    </row>
    <row r="537">
      <c r="V537" s="110"/>
    </row>
    <row r="538">
      <c r="V538" s="110"/>
    </row>
    <row r="539">
      <c r="V539" s="110"/>
    </row>
    <row r="540">
      <c r="V540" s="110"/>
    </row>
    <row r="541">
      <c r="V541" s="110"/>
    </row>
    <row r="542">
      <c r="V542" s="110"/>
    </row>
    <row r="543">
      <c r="V543" s="110"/>
    </row>
    <row r="544">
      <c r="V544" s="110"/>
    </row>
    <row r="545">
      <c r="V545" s="110"/>
    </row>
    <row r="546">
      <c r="V546" s="110"/>
    </row>
    <row r="547">
      <c r="V547" s="110"/>
    </row>
    <row r="548">
      <c r="V548" s="110"/>
    </row>
    <row r="549">
      <c r="V549" s="110"/>
    </row>
    <row r="550">
      <c r="V550" s="110"/>
    </row>
    <row r="551">
      <c r="V551" s="110"/>
    </row>
    <row r="552">
      <c r="V552" s="110"/>
    </row>
    <row r="553">
      <c r="V553" s="110"/>
    </row>
    <row r="554">
      <c r="V554" s="110"/>
    </row>
    <row r="555">
      <c r="V555" s="110"/>
    </row>
    <row r="556">
      <c r="V556" s="110"/>
    </row>
    <row r="557">
      <c r="V557" s="110"/>
    </row>
    <row r="558">
      <c r="V558" s="110"/>
    </row>
    <row r="559">
      <c r="V559" s="110"/>
    </row>
    <row r="560">
      <c r="V560" s="110"/>
    </row>
    <row r="561">
      <c r="V561" s="110"/>
    </row>
    <row r="562">
      <c r="V562" s="110"/>
    </row>
    <row r="563">
      <c r="V563" s="110"/>
    </row>
    <row r="564">
      <c r="V564" s="110"/>
    </row>
    <row r="565">
      <c r="V565" s="110"/>
    </row>
    <row r="566">
      <c r="V566" s="110"/>
    </row>
    <row r="567">
      <c r="V567" s="110"/>
    </row>
    <row r="568">
      <c r="V568" s="110"/>
    </row>
    <row r="569">
      <c r="V569" s="110"/>
    </row>
    <row r="570">
      <c r="V570" s="110"/>
    </row>
    <row r="571">
      <c r="V571" s="110"/>
    </row>
    <row r="572">
      <c r="V572" s="110"/>
    </row>
    <row r="573">
      <c r="V573" s="110"/>
    </row>
    <row r="574">
      <c r="V574" s="110"/>
    </row>
    <row r="575">
      <c r="V575" s="110"/>
    </row>
    <row r="576">
      <c r="V576" s="110"/>
    </row>
    <row r="577">
      <c r="V577" s="110"/>
    </row>
    <row r="578">
      <c r="V578" s="110"/>
    </row>
    <row r="579">
      <c r="V579" s="110"/>
    </row>
    <row r="580">
      <c r="V580" s="110"/>
    </row>
    <row r="581">
      <c r="V581" s="110"/>
    </row>
    <row r="582">
      <c r="V582" s="110"/>
    </row>
    <row r="583">
      <c r="V583" s="110"/>
    </row>
    <row r="584">
      <c r="V584" s="110"/>
    </row>
    <row r="585">
      <c r="V585" s="110"/>
    </row>
    <row r="586">
      <c r="V586" s="110"/>
    </row>
    <row r="587">
      <c r="V587" s="110"/>
    </row>
    <row r="588">
      <c r="V588" s="110"/>
    </row>
    <row r="589">
      <c r="V589" s="110"/>
    </row>
    <row r="590">
      <c r="V590" s="110"/>
    </row>
    <row r="591">
      <c r="V591" s="110"/>
    </row>
    <row r="592">
      <c r="V592" s="110"/>
    </row>
    <row r="593">
      <c r="V593" s="110"/>
    </row>
    <row r="594">
      <c r="V594" s="110"/>
    </row>
    <row r="595">
      <c r="V595" s="110"/>
    </row>
    <row r="596">
      <c r="V596" s="110"/>
    </row>
    <row r="597">
      <c r="V597" s="110"/>
    </row>
    <row r="598">
      <c r="V598" s="110"/>
    </row>
    <row r="599">
      <c r="V599" s="110"/>
    </row>
    <row r="600">
      <c r="V600" s="110"/>
    </row>
    <row r="601">
      <c r="V601" s="110"/>
    </row>
    <row r="602">
      <c r="V602" s="110"/>
    </row>
    <row r="603">
      <c r="V603" s="110"/>
    </row>
    <row r="604">
      <c r="V604" s="110"/>
    </row>
    <row r="605">
      <c r="V605" s="110"/>
    </row>
    <row r="606">
      <c r="V606" s="110"/>
    </row>
    <row r="607">
      <c r="V607" s="110"/>
    </row>
    <row r="608">
      <c r="V608" s="110"/>
    </row>
    <row r="609">
      <c r="V609" s="110"/>
    </row>
    <row r="610">
      <c r="V610" s="110"/>
    </row>
    <row r="611">
      <c r="V611" s="110"/>
    </row>
    <row r="612">
      <c r="V612" s="110"/>
    </row>
    <row r="613">
      <c r="V613" s="110"/>
    </row>
    <row r="614">
      <c r="V614" s="110"/>
    </row>
    <row r="615">
      <c r="V615" s="110"/>
    </row>
    <row r="616">
      <c r="V616" s="110"/>
    </row>
    <row r="617">
      <c r="V617" s="110"/>
    </row>
    <row r="618">
      <c r="V618" s="110"/>
    </row>
    <row r="619">
      <c r="V619" s="110"/>
    </row>
    <row r="620">
      <c r="V620" s="110"/>
    </row>
    <row r="621">
      <c r="V621" s="110"/>
    </row>
    <row r="622">
      <c r="V622" s="110"/>
    </row>
    <row r="623">
      <c r="V623" s="110"/>
    </row>
    <row r="624">
      <c r="V624" s="110"/>
    </row>
    <row r="625">
      <c r="V625" s="110"/>
    </row>
    <row r="626">
      <c r="V626" s="110"/>
    </row>
    <row r="627">
      <c r="V627" s="110"/>
    </row>
    <row r="628">
      <c r="V628" s="110"/>
    </row>
    <row r="629">
      <c r="V629" s="110"/>
    </row>
    <row r="630">
      <c r="V630" s="110"/>
    </row>
    <row r="631">
      <c r="V631" s="110"/>
    </row>
    <row r="632">
      <c r="V632" s="110"/>
    </row>
    <row r="633">
      <c r="V633" s="110"/>
    </row>
    <row r="634">
      <c r="V634" s="110"/>
    </row>
    <row r="635">
      <c r="V635" s="110"/>
    </row>
    <row r="636">
      <c r="V636" s="110"/>
    </row>
    <row r="637">
      <c r="V637" s="110"/>
    </row>
    <row r="638">
      <c r="V638" s="110"/>
    </row>
    <row r="639">
      <c r="V639" s="110"/>
    </row>
    <row r="640">
      <c r="V640" s="110"/>
    </row>
    <row r="641">
      <c r="V641" s="110"/>
    </row>
    <row r="642">
      <c r="V642" s="110"/>
    </row>
    <row r="643">
      <c r="V643" s="110"/>
    </row>
    <row r="644">
      <c r="V644" s="110"/>
    </row>
    <row r="645">
      <c r="V645" s="110"/>
    </row>
    <row r="646">
      <c r="V646" s="110"/>
    </row>
    <row r="647">
      <c r="V647" s="110"/>
    </row>
    <row r="648">
      <c r="V648" s="110"/>
    </row>
    <row r="649">
      <c r="V649" s="110"/>
    </row>
    <row r="650">
      <c r="V650" s="110"/>
    </row>
    <row r="651">
      <c r="V651" s="110"/>
    </row>
    <row r="652">
      <c r="V652" s="110"/>
    </row>
    <row r="653">
      <c r="V653" s="110"/>
    </row>
    <row r="654">
      <c r="V654" s="110"/>
    </row>
    <row r="655">
      <c r="V655" s="110"/>
    </row>
    <row r="656">
      <c r="V656" s="110"/>
    </row>
    <row r="657">
      <c r="V657" s="110"/>
    </row>
    <row r="658">
      <c r="V658" s="110"/>
    </row>
    <row r="659">
      <c r="V659" s="110"/>
    </row>
    <row r="660">
      <c r="V660" s="110"/>
    </row>
    <row r="661">
      <c r="V661" s="110"/>
    </row>
    <row r="662">
      <c r="V662" s="110"/>
    </row>
    <row r="663">
      <c r="V663" s="110"/>
    </row>
    <row r="664">
      <c r="V664" s="110"/>
    </row>
    <row r="665">
      <c r="V665" s="110"/>
    </row>
    <row r="666">
      <c r="V666" s="110"/>
    </row>
    <row r="667">
      <c r="V667" s="110"/>
    </row>
    <row r="668">
      <c r="V668" s="110"/>
    </row>
    <row r="669">
      <c r="V669" s="110"/>
    </row>
    <row r="670">
      <c r="V670" s="110"/>
    </row>
    <row r="671">
      <c r="V671" s="110"/>
    </row>
    <row r="672">
      <c r="V672" s="110"/>
    </row>
    <row r="673">
      <c r="V673" s="110"/>
    </row>
    <row r="674">
      <c r="V674" s="110"/>
    </row>
    <row r="675">
      <c r="V675" s="110"/>
    </row>
    <row r="676">
      <c r="V676" s="110"/>
    </row>
    <row r="677">
      <c r="V677" s="110"/>
    </row>
    <row r="678">
      <c r="V678" s="110"/>
    </row>
    <row r="679">
      <c r="V679" s="110"/>
    </row>
    <row r="680">
      <c r="V680" s="110"/>
    </row>
    <row r="681">
      <c r="V681" s="110"/>
    </row>
    <row r="682">
      <c r="V682" s="110"/>
    </row>
    <row r="683">
      <c r="V683" s="110"/>
    </row>
    <row r="684">
      <c r="V684" s="110"/>
    </row>
    <row r="685">
      <c r="V685" s="110"/>
    </row>
    <row r="686">
      <c r="V686" s="110"/>
    </row>
    <row r="687">
      <c r="V687" s="110"/>
    </row>
    <row r="688">
      <c r="V688" s="110"/>
    </row>
    <row r="689">
      <c r="V689" s="110"/>
    </row>
    <row r="690">
      <c r="V690" s="110"/>
    </row>
    <row r="691">
      <c r="V691" s="110"/>
    </row>
    <row r="692">
      <c r="V692" s="110"/>
    </row>
    <row r="693">
      <c r="V693" s="110"/>
    </row>
    <row r="694">
      <c r="V694" s="110"/>
    </row>
    <row r="695">
      <c r="V695" s="110"/>
    </row>
    <row r="696">
      <c r="V696" s="110"/>
    </row>
    <row r="697">
      <c r="V697" s="110"/>
    </row>
    <row r="698">
      <c r="V698" s="110"/>
    </row>
    <row r="699">
      <c r="V699" s="110"/>
    </row>
    <row r="700">
      <c r="V700" s="110"/>
    </row>
    <row r="701">
      <c r="V701" s="110"/>
    </row>
    <row r="702">
      <c r="V702" s="110"/>
    </row>
    <row r="703">
      <c r="V703" s="110"/>
    </row>
    <row r="704">
      <c r="V704" s="110"/>
    </row>
    <row r="705">
      <c r="V705" s="110"/>
    </row>
    <row r="706">
      <c r="V706" s="110"/>
    </row>
    <row r="707">
      <c r="V707" s="110"/>
    </row>
    <row r="708">
      <c r="V708" s="110"/>
    </row>
    <row r="709">
      <c r="V709" s="110"/>
    </row>
    <row r="710">
      <c r="V710" s="110"/>
    </row>
    <row r="711">
      <c r="V711" s="110"/>
    </row>
    <row r="712">
      <c r="V712" s="110"/>
    </row>
    <row r="713">
      <c r="V713" s="110"/>
    </row>
    <row r="714">
      <c r="V714" s="110"/>
    </row>
    <row r="715">
      <c r="V715" s="110"/>
    </row>
    <row r="716">
      <c r="V716" s="110"/>
    </row>
    <row r="717">
      <c r="V717" s="110"/>
    </row>
    <row r="718">
      <c r="V718" s="110"/>
    </row>
    <row r="719">
      <c r="V719" s="110"/>
    </row>
    <row r="720">
      <c r="V720" s="110"/>
    </row>
    <row r="721">
      <c r="V721" s="110"/>
    </row>
    <row r="722">
      <c r="V722" s="110"/>
    </row>
    <row r="723">
      <c r="V723" s="110"/>
    </row>
    <row r="724">
      <c r="V724" s="110"/>
    </row>
    <row r="725">
      <c r="V725" s="110"/>
    </row>
    <row r="726">
      <c r="V726" s="110"/>
    </row>
    <row r="727">
      <c r="V727" s="110"/>
    </row>
    <row r="728">
      <c r="V728" s="110"/>
    </row>
    <row r="729">
      <c r="V729" s="110"/>
    </row>
    <row r="730">
      <c r="V730" s="110"/>
    </row>
    <row r="731">
      <c r="V731" s="110"/>
    </row>
    <row r="732">
      <c r="V732" s="110"/>
    </row>
    <row r="733">
      <c r="V733" s="110"/>
    </row>
    <row r="734">
      <c r="V734" s="110"/>
    </row>
    <row r="735">
      <c r="V735" s="110"/>
    </row>
    <row r="736">
      <c r="V736" s="110"/>
    </row>
    <row r="737">
      <c r="V737" s="110"/>
    </row>
    <row r="738">
      <c r="V738" s="110"/>
    </row>
    <row r="739">
      <c r="V739" s="110"/>
    </row>
    <row r="740">
      <c r="V740" s="110"/>
    </row>
    <row r="741">
      <c r="V741" s="110"/>
    </row>
    <row r="742">
      <c r="V742" s="110"/>
    </row>
    <row r="743">
      <c r="V743" s="110"/>
    </row>
    <row r="744">
      <c r="V744" s="110"/>
    </row>
    <row r="745">
      <c r="V745" s="110"/>
    </row>
    <row r="746">
      <c r="V746" s="110"/>
    </row>
    <row r="747">
      <c r="V747" s="110"/>
    </row>
    <row r="748">
      <c r="V748" s="110"/>
    </row>
    <row r="749">
      <c r="V749" s="110"/>
    </row>
    <row r="750">
      <c r="V750" s="110"/>
    </row>
    <row r="751">
      <c r="V751" s="110"/>
    </row>
    <row r="752">
      <c r="V752" s="110"/>
    </row>
    <row r="753">
      <c r="V753" s="110"/>
    </row>
    <row r="754">
      <c r="V754" s="110"/>
    </row>
    <row r="755">
      <c r="V755" s="110"/>
    </row>
    <row r="756">
      <c r="V756" s="110"/>
    </row>
    <row r="757">
      <c r="V757" s="110"/>
    </row>
    <row r="758">
      <c r="V758" s="110"/>
    </row>
    <row r="759">
      <c r="V759" s="110"/>
    </row>
    <row r="760">
      <c r="V760" s="110"/>
    </row>
    <row r="761">
      <c r="V761" s="110"/>
    </row>
    <row r="762">
      <c r="V762" s="110"/>
    </row>
    <row r="763">
      <c r="V763" s="110"/>
    </row>
    <row r="764">
      <c r="V764" s="110"/>
    </row>
    <row r="765">
      <c r="V765" s="110"/>
    </row>
    <row r="766">
      <c r="V766" s="110"/>
    </row>
    <row r="767">
      <c r="V767" s="110"/>
    </row>
    <row r="768">
      <c r="V768" s="110"/>
    </row>
    <row r="769">
      <c r="V769" s="110"/>
    </row>
    <row r="770">
      <c r="V770" s="110"/>
    </row>
    <row r="771">
      <c r="V771" s="110"/>
    </row>
    <row r="772">
      <c r="V772" s="110"/>
    </row>
    <row r="773">
      <c r="V773" s="110"/>
    </row>
    <row r="774">
      <c r="V774" s="110"/>
    </row>
    <row r="775">
      <c r="V775" s="110"/>
    </row>
    <row r="776">
      <c r="V776" s="110"/>
    </row>
    <row r="777">
      <c r="V777" s="110"/>
    </row>
    <row r="778">
      <c r="V778" s="110"/>
    </row>
    <row r="779">
      <c r="V779" s="110"/>
    </row>
    <row r="780">
      <c r="V780" s="110"/>
    </row>
    <row r="781">
      <c r="V781" s="110"/>
    </row>
    <row r="782">
      <c r="V782" s="110"/>
    </row>
    <row r="783">
      <c r="V783" s="110"/>
    </row>
    <row r="784">
      <c r="V784" s="110"/>
    </row>
    <row r="785">
      <c r="V785" s="110"/>
    </row>
    <row r="786">
      <c r="V786" s="110"/>
    </row>
    <row r="787">
      <c r="V787" s="110"/>
    </row>
    <row r="788">
      <c r="V788" s="110"/>
    </row>
    <row r="789">
      <c r="V789" s="110"/>
    </row>
    <row r="790">
      <c r="V790" s="110"/>
    </row>
    <row r="791">
      <c r="V791" s="110"/>
    </row>
    <row r="792">
      <c r="V792" s="110"/>
    </row>
    <row r="793">
      <c r="V793" s="110"/>
    </row>
    <row r="794">
      <c r="V794" s="110"/>
    </row>
    <row r="795">
      <c r="V795" s="110"/>
    </row>
    <row r="796">
      <c r="V796" s="110"/>
    </row>
    <row r="797">
      <c r="V797" s="110"/>
    </row>
    <row r="798">
      <c r="V798" s="110"/>
    </row>
    <row r="799">
      <c r="V799" s="110"/>
    </row>
    <row r="800">
      <c r="V800" s="110"/>
    </row>
    <row r="801">
      <c r="V801" s="110"/>
    </row>
    <row r="802">
      <c r="V802" s="110"/>
    </row>
    <row r="803">
      <c r="V803" s="110"/>
    </row>
    <row r="804">
      <c r="V804" s="110"/>
    </row>
    <row r="805">
      <c r="V805" s="110"/>
    </row>
    <row r="806">
      <c r="V806" s="110"/>
    </row>
    <row r="807">
      <c r="V807" s="110"/>
    </row>
    <row r="808">
      <c r="V808" s="110"/>
    </row>
    <row r="809">
      <c r="V809" s="110"/>
    </row>
    <row r="810">
      <c r="V810" s="110"/>
    </row>
    <row r="811">
      <c r="V811" s="110"/>
    </row>
    <row r="812">
      <c r="V812" s="110"/>
    </row>
    <row r="813">
      <c r="V813" s="110"/>
    </row>
    <row r="814">
      <c r="V814" s="110"/>
    </row>
    <row r="815">
      <c r="V815" s="110"/>
    </row>
    <row r="816">
      <c r="V816" s="110"/>
    </row>
    <row r="817">
      <c r="V817" s="110"/>
    </row>
    <row r="818">
      <c r="V818" s="110"/>
    </row>
    <row r="819">
      <c r="V819" s="110"/>
    </row>
    <row r="820">
      <c r="V820" s="110"/>
    </row>
    <row r="821">
      <c r="V821" s="110"/>
    </row>
    <row r="822">
      <c r="V822" s="110"/>
    </row>
    <row r="823">
      <c r="V823" s="110"/>
    </row>
    <row r="824">
      <c r="V824" s="110"/>
    </row>
    <row r="825">
      <c r="V825" s="110"/>
    </row>
    <row r="826">
      <c r="V826" s="110"/>
    </row>
    <row r="827">
      <c r="V827" s="110"/>
    </row>
    <row r="828">
      <c r="V828" s="110"/>
    </row>
    <row r="829">
      <c r="V829" s="110"/>
    </row>
    <row r="830">
      <c r="V830" s="110"/>
    </row>
    <row r="831">
      <c r="V831" s="110"/>
    </row>
    <row r="832">
      <c r="V832" s="110"/>
    </row>
    <row r="833">
      <c r="V833" s="110"/>
    </row>
    <row r="834">
      <c r="V834" s="110"/>
    </row>
    <row r="835">
      <c r="V835" s="110"/>
    </row>
    <row r="836">
      <c r="V836" s="110"/>
    </row>
    <row r="837">
      <c r="V837" s="110"/>
    </row>
    <row r="838">
      <c r="V838" s="110"/>
    </row>
    <row r="839">
      <c r="V839" s="110"/>
    </row>
    <row r="840">
      <c r="V840" s="110"/>
    </row>
    <row r="841">
      <c r="V841" s="110"/>
    </row>
    <row r="842">
      <c r="V842" s="110"/>
    </row>
    <row r="843">
      <c r="V843" s="110"/>
    </row>
    <row r="844">
      <c r="V844" s="110"/>
    </row>
    <row r="845">
      <c r="V845" s="110"/>
    </row>
    <row r="846">
      <c r="V846" s="110"/>
    </row>
    <row r="847">
      <c r="V847" s="110"/>
    </row>
    <row r="848">
      <c r="V848" s="110"/>
    </row>
    <row r="849">
      <c r="V849" s="110"/>
    </row>
    <row r="850">
      <c r="V850" s="110"/>
    </row>
    <row r="851">
      <c r="V851" s="110"/>
    </row>
    <row r="852">
      <c r="V852" s="110"/>
    </row>
    <row r="853">
      <c r="V853" s="110"/>
    </row>
    <row r="854">
      <c r="V854" s="110"/>
    </row>
    <row r="855">
      <c r="V855" s="110"/>
    </row>
    <row r="856">
      <c r="V856" s="110"/>
    </row>
    <row r="857">
      <c r="V857" s="110"/>
    </row>
    <row r="858">
      <c r="V858" s="110"/>
    </row>
    <row r="859">
      <c r="V859" s="110"/>
    </row>
    <row r="860">
      <c r="V860" s="110"/>
    </row>
    <row r="861">
      <c r="V861" s="110"/>
    </row>
    <row r="862">
      <c r="V862" s="110"/>
    </row>
    <row r="863">
      <c r="V863" s="110"/>
    </row>
    <row r="864">
      <c r="V864" s="110"/>
    </row>
    <row r="865">
      <c r="V865" s="110"/>
    </row>
    <row r="866">
      <c r="V866" s="110"/>
    </row>
    <row r="867">
      <c r="V867" s="110"/>
    </row>
    <row r="868">
      <c r="V868" s="110"/>
    </row>
    <row r="869">
      <c r="V869" s="110"/>
    </row>
    <row r="870">
      <c r="V870" s="110"/>
    </row>
    <row r="871">
      <c r="V871" s="110"/>
    </row>
    <row r="872">
      <c r="V872" s="110"/>
    </row>
    <row r="873">
      <c r="V873" s="110"/>
    </row>
    <row r="874">
      <c r="V874" s="110"/>
    </row>
    <row r="875">
      <c r="V875" s="110"/>
    </row>
    <row r="876">
      <c r="V876" s="110"/>
    </row>
    <row r="877">
      <c r="V877" s="110"/>
    </row>
    <row r="878">
      <c r="V878" s="110"/>
    </row>
    <row r="879">
      <c r="V879" s="110"/>
    </row>
    <row r="880">
      <c r="V880" s="110"/>
    </row>
    <row r="881">
      <c r="V881" s="110"/>
    </row>
    <row r="882">
      <c r="V882" s="110"/>
    </row>
    <row r="883">
      <c r="V883" s="110"/>
    </row>
    <row r="884">
      <c r="V884" s="110"/>
    </row>
    <row r="885">
      <c r="V885" s="110"/>
    </row>
    <row r="886">
      <c r="V886" s="110"/>
    </row>
    <row r="887">
      <c r="V887" s="110"/>
    </row>
    <row r="888">
      <c r="V888" s="110"/>
    </row>
    <row r="889">
      <c r="V889" s="110"/>
    </row>
    <row r="890">
      <c r="V890" s="110"/>
    </row>
    <row r="891">
      <c r="V891" s="110"/>
    </row>
    <row r="892">
      <c r="V892" s="110"/>
    </row>
    <row r="893">
      <c r="V893" s="110"/>
    </row>
    <row r="894">
      <c r="V894" s="110"/>
    </row>
    <row r="895">
      <c r="V895" s="110"/>
    </row>
    <row r="896">
      <c r="V896" s="110"/>
    </row>
    <row r="897">
      <c r="V897" s="110"/>
    </row>
    <row r="898">
      <c r="V898" s="110"/>
    </row>
    <row r="899">
      <c r="V899" s="110"/>
    </row>
    <row r="900">
      <c r="V900" s="110"/>
    </row>
    <row r="901">
      <c r="V901" s="110"/>
    </row>
    <row r="902">
      <c r="V902" s="110"/>
    </row>
    <row r="903">
      <c r="V903" s="110"/>
    </row>
    <row r="904">
      <c r="V904" s="110"/>
    </row>
    <row r="905">
      <c r="V905" s="110"/>
    </row>
    <row r="906">
      <c r="V906" s="110"/>
    </row>
    <row r="907">
      <c r="V907" s="110"/>
    </row>
    <row r="908">
      <c r="V908" s="110"/>
    </row>
    <row r="909">
      <c r="V909" s="110"/>
    </row>
    <row r="910">
      <c r="V910" s="110"/>
    </row>
    <row r="911">
      <c r="V911" s="110"/>
    </row>
    <row r="912">
      <c r="V912" s="110"/>
    </row>
    <row r="913">
      <c r="V913" s="110"/>
    </row>
    <row r="914">
      <c r="V914" s="110"/>
    </row>
    <row r="915">
      <c r="V915" s="110"/>
    </row>
    <row r="916">
      <c r="V916" s="110"/>
    </row>
    <row r="917">
      <c r="V917" s="110"/>
    </row>
    <row r="918">
      <c r="V918" s="110"/>
    </row>
    <row r="919">
      <c r="V919" s="110"/>
    </row>
    <row r="920">
      <c r="V920" s="110"/>
    </row>
    <row r="921">
      <c r="V921" s="110"/>
    </row>
    <row r="922">
      <c r="V922" s="110"/>
    </row>
    <row r="923">
      <c r="V923" s="110"/>
    </row>
    <row r="924">
      <c r="V924" s="110"/>
    </row>
    <row r="925">
      <c r="V925" s="110"/>
    </row>
    <row r="926">
      <c r="V926" s="110"/>
    </row>
    <row r="927">
      <c r="V927" s="110"/>
    </row>
    <row r="928">
      <c r="V928" s="110"/>
    </row>
    <row r="929">
      <c r="V929" s="110"/>
    </row>
    <row r="930">
      <c r="V930" s="110"/>
    </row>
    <row r="931">
      <c r="V931" s="110"/>
    </row>
    <row r="932">
      <c r="V932" s="110"/>
    </row>
    <row r="933">
      <c r="V933" s="110"/>
    </row>
    <row r="934">
      <c r="V934" s="110"/>
    </row>
    <row r="935">
      <c r="V935" s="110"/>
    </row>
    <row r="936">
      <c r="V936" s="110"/>
    </row>
    <row r="937">
      <c r="V937" s="110"/>
    </row>
    <row r="938">
      <c r="V938" s="110"/>
    </row>
    <row r="939">
      <c r="V939" s="110"/>
    </row>
    <row r="940">
      <c r="V940" s="110"/>
    </row>
    <row r="941">
      <c r="V941" s="110"/>
    </row>
    <row r="942">
      <c r="V942" s="110"/>
    </row>
    <row r="943">
      <c r="V943" s="110"/>
    </row>
    <row r="944">
      <c r="V944" s="110"/>
    </row>
    <row r="945">
      <c r="V945" s="110"/>
    </row>
    <row r="946">
      <c r="V946" s="110"/>
    </row>
    <row r="947">
      <c r="V947" s="110"/>
    </row>
    <row r="948">
      <c r="V948" s="110"/>
    </row>
    <row r="949">
      <c r="V949" s="110"/>
    </row>
    <row r="950">
      <c r="V950" s="110"/>
    </row>
    <row r="951">
      <c r="V951" s="110"/>
    </row>
    <row r="952">
      <c r="V952" s="110"/>
    </row>
    <row r="953">
      <c r="V953" s="110"/>
    </row>
    <row r="954">
      <c r="V954" s="110"/>
    </row>
    <row r="955">
      <c r="V955" s="110"/>
    </row>
    <row r="956">
      <c r="V956" s="110"/>
    </row>
    <row r="957">
      <c r="V957" s="110"/>
    </row>
    <row r="958">
      <c r="V958" s="110"/>
    </row>
    <row r="959">
      <c r="V959" s="110"/>
    </row>
    <row r="960">
      <c r="V960" s="110"/>
    </row>
    <row r="961">
      <c r="V961" s="110"/>
    </row>
    <row r="962">
      <c r="V962" s="110"/>
    </row>
    <row r="963">
      <c r="V963" s="110"/>
    </row>
    <row r="964">
      <c r="V964" s="110"/>
    </row>
    <row r="965">
      <c r="V965" s="110"/>
    </row>
    <row r="966">
      <c r="V966" s="110"/>
    </row>
    <row r="967">
      <c r="V967" s="110"/>
    </row>
    <row r="968">
      <c r="V968" s="110"/>
    </row>
    <row r="969">
      <c r="V969" s="110"/>
    </row>
    <row r="970">
      <c r="V970" s="110"/>
    </row>
    <row r="971">
      <c r="V971" s="110"/>
    </row>
    <row r="972">
      <c r="V972" s="110"/>
    </row>
    <row r="973">
      <c r="V973" s="110"/>
    </row>
    <row r="974">
      <c r="V974" s="110"/>
    </row>
    <row r="975">
      <c r="V975" s="110"/>
    </row>
    <row r="976">
      <c r="V976" s="110"/>
    </row>
    <row r="977">
      <c r="V977" s="110"/>
    </row>
    <row r="978">
      <c r="V978" s="110"/>
    </row>
    <row r="979">
      <c r="V979" s="110"/>
    </row>
    <row r="980">
      <c r="V980" s="110"/>
    </row>
    <row r="981">
      <c r="V981" s="110"/>
    </row>
    <row r="982">
      <c r="V982" s="110"/>
    </row>
    <row r="983">
      <c r="V983" s="110"/>
    </row>
    <row r="984">
      <c r="V984" s="110"/>
    </row>
    <row r="985">
      <c r="V985" s="110"/>
    </row>
    <row r="986">
      <c r="V986" s="110"/>
    </row>
    <row r="987">
      <c r="V987" s="110"/>
    </row>
    <row r="988">
      <c r="V988" s="110"/>
    </row>
    <row r="989">
      <c r="V989" s="110"/>
    </row>
    <row r="990">
      <c r="V990" s="110"/>
    </row>
    <row r="991">
      <c r="V991" s="110"/>
    </row>
    <row r="992">
      <c r="V992" s="110"/>
    </row>
    <row r="993">
      <c r="V993" s="110"/>
    </row>
    <row r="994">
      <c r="V994" s="110"/>
    </row>
    <row r="995">
      <c r="V995" s="110"/>
    </row>
    <row r="996">
      <c r="V996" s="110"/>
    </row>
    <row r="997">
      <c r="V997" s="110"/>
    </row>
    <row r="998">
      <c r="V998" s="110"/>
    </row>
    <row r="999">
      <c r="V999" s="110"/>
    </row>
    <row r="1000">
      <c r="V1000" s="110"/>
    </row>
    <row r="1001">
      <c r="V1001" s="110"/>
    </row>
    <row r="1002">
      <c r="V1002" s="110"/>
    </row>
    <row r="1003">
      <c r="V1003" s="110"/>
    </row>
    <row r="1004">
      <c r="V1004" s="110"/>
    </row>
    <row r="1005">
      <c r="V1005" s="110"/>
    </row>
    <row r="1006">
      <c r="V1006" s="110"/>
    </row>
    <row r="1007">
      <c r="V1007" s="110"/>
    </row>
    <row r="1008">
      <c r="V1008" s="110"/>
    </row>
    <row r="1009">
      <c r="V1009" s="110"/>
    </row>
    <row r="1010">
      <c r="V1010" s="110"/>
    </row>
    <row r="1011">
      <c r="V1011" s="110"/>
    </row>
    <row r="1012">
      <c r="V1012" s="110"/>
    </row>
    <row r="1013">
      <c r="V1013" s="110"/>
    </row>
    <row r="1014">
      <c r="V1014" s="110"/>
    </row>
    <row r="1015">
      <c r="V1015" s="110"/>
    </row>
    <row r="1016">
      <c r="V1016" s="110"/>
    </row>
    <row r="1017">
      <c r="V1017" s="110"/>
    </row>
    <row r="1018">
      <c r="V1018" s="110"/>
    </row>
    <row r="1019">
      <c r="V1019" s="110"/>
    </row>
    <row r="1020">
      <c r="V1020" s="110"/>
    </row>
    <row r="1021">
      <c r="V1021" s="110"/>
    </row>
    <row r="1022">
      <c r="V1022" s="110"/>
    </row>
    <row r="1023">
      <c r="V1023" s="110"/>
    </row>
    <row r="1024">
      <c r="V1024" s="110"/>
    </row>
    <row r="1025">
      <c r="V1025" s="110"/>
    </row>
    <row r="1026">
      <c r="V1026" s="110"/>
    </row>
    <row r="1027">
      <c r="V1027" s="110"/>
    </row>
    <row r="1028">
      <c r="V1028" s="110"/>
    </row>
    <row r="1029">
      <c r="V1029" s="110"/>
    </row>
    <row r="1030">
      <c r="V1030" s="110"/>
    </row>
    <row r="1031">
      <c r="V1031" s="110"/>
    </row>
    <row r="1032">
      <c r="V1032" s="110"/>
    </row>
    <row r="1033">
      <c r="V1033" s="110"/>
    </row>
    <row r="1034">
      <c r="V1034" s="110"/>
    </row>
    <row r="1035">
      <c r="V1035" s="110"/>
    </row>
    <row r="1036">
      <c r="V1036" s="110"/>
    </row>
    <row r="1037">
      <c r="V1037" s="110"/>
    </row>
    <row r="1038">
      <c r="V1038" s="110"/>
    </row>
    <row r="1039">
      <c r="V1039" s="110"/>
    </row>
    <row r="1040">
      <c r="V1040" s="110"/>
    </row>
    <row r="1041">
      <c r="V1041" s="110"/>
    </row>
    <row r="1042">
      <c r="V1042" s="110"/>
    </row>
    <row r="1043">
      <c r="V1043" s="110"/>
    </row>
    <row r="1044">
      <c r="V1044" s="110"/>
    </row>
    <row r="1045">
      <c r="V1045" s="110"/>
    </row>
    <row r="1046">
      <c r="V1046" s="110"/>
    </row>
    <row r="1047">
      <c r="V1047" s="110"/>
    </row>
    <row r="1048">
      <c r="V1048" s="110"/>
    </row>
    <row r="1049">
      <c r="V1049" s="110"/>
    </row>
    <row r="1050">
      <c r="V1050" s="110"/>
    </row>
    <row r="1051">
      <c r="V1051" s="110"/>
    </row>
    <row r="1052">
      <c r="V1052" s="110"/>
    </row>
    <row r="1053">
      <c r="V1053" s="110"/>
    </row>
    <row r="1054">
      <c r="V1054" s="110"/>
    </row>
    <row r="1055">
      <c r="V1055" s="110"/>
    </row>
    <row r="1056">
      <c r="V1056" s="110"/>
    </row>
    <row r="1057">
      <c r="V1057" s="110"/>
    </row>
    <row r="1058">
      <c r="V1058" s="110"/>
    </row>
    <row r="1059">
      <c r="V1059" s="110"/>
    </row>
    <row r="1060">
      <c r="V1060" s="110"/>
    </row>
    <row r="1061">
      <c r="V1061" s="110"/>
    </row>
    <row r="1062">
      <c r="V1062" s="110"/>
    </row>
    <row r="1063">
      <c r="V1063" s="110"/>
    </row>
    <row r="1064">
      <c r="V1064" s="110"/>
    </row>
    <row r="1065">
      <c r="V1065" s="110"/>
    </row>
    <row r="1066">
      <c r="V1066" s="110"/>
    </row>
    <row r="1067">
      <c r="V1067" s="110"/>
    </row>
    <row r="1068">
      <c r="V1068" s="110"/>
    </row>
    <row r="1069">
      <c r="V1069" s="110"/>
    </row>
    <row r="1070">
      <c r="V1070" s="110"/>
    </row>
    <row r="1071">
      <c r="V1071" s="110"/>
    </row>
    <row r="1072">
      <c r="V1072" s="110"/>
    </row>
    <row r="1073">
      <c r="V1073" s="110"/>
    </row>
    <row r="1074">
      <c r="V1074" s="110"/>
    </row>
    <row r="1075">
      <c r="V1075" s="110"/>
    </row>
    <row r="1076">
      <c r="V1076" s="110"/>
    </row>
    <row r="1077">
      <c r="E1077" s="6" t="str">
        <f t="array" ref="E1077">IFERROR(INDEX('LK Summary Data'!C55:C66,MATCH($C$3,A3,0)),"")</f>
        <v/>
      </c>
      <c r="V1077" s="110"/>
    </row>
    <row r="1078">
      <c r="V1078" s="110"/>
    </row>
    <row r="1079">
      <c r="V1079" s="110"/>
    </row>
    <row r="1080">
      <c r="V1080" s="110"/>
    </row>
    <row r="1081">
      <c r="V1081" s="110"/>
    </row>
    <row r="1082">
      <c r="V1082" s="110"/>
    </row>
    <row r="1083">
      <c r="V1083" s="110"/>
    </row>
    <row r="1084">
      <c r="V1084" s="110"/>
    </row>
    <row r="1085">
      <c r="V1085" s="110"/>
    </row>
    <row r="1086">
      <c r="V1086" s="110"/>
    </row>
    <row r="1087">
      <c r="V1087" s="110"/>
    </row>
    <row r="1088">
      <c r="V1088" s="110"/>
    </row>
    <row r="1089">
      <c r="V1089" s="110"/>
    </row>
    <row r="1090">
      <c r="V1090" s="110"/>
    </row>
    <row r="1091">
      <c r="V1091" s="110"/>
    </row>
    <row r="1092">
      <c r="V1092" s="110"/>
    </row>
    <row r="1093">
      <c r="V1093" s="110"/>
    </row>
    <row r="1094">
      <c r="V1094" s="110"/>
    </row>
    <row r="1095">
      <c r="V1095" s="1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13"/>
    <col customWidth="1" min="2" max="2" width="31.75"/>
    <col customWidth="1" min="3" max="3" width="22.13"/>
    <col customWidth="1" min="4" max="4" width="21.25"/>
    <col customWidth="1" min="5" max="5" width="28.63"/>
    <col customWidth="1" min="6" max="6" width="26.88"/>
    <col customWidth="1" min="7" max="7" width="33.63"/>
    <col customWidth="1" min="8" max="8" width="37.25"/>
    <col customWidth="1" min="9" max="9" width="8.38"/>
    <col customWidth="1" min="10" max="10" width="23.0"/>
    <col customWidth="1" min="11" max="11" width="20.5"/>
    <col customWidth="1" min="12" max="12" width="15.38"/>
    <col customWidth="1" min="13" max="13" width="16.75"/>
  </cols>
  <sheetData>
    <row r="1">
      <c r="A1" s="1" t="s">
        <v>0</v>
      </c>
    </row>
    <row r="2">
      <c r="A2" s="3"/>
      <c r="J2" s="6">
        <f>G15/C9</f>
        <v>0</v>
      </c>
    </row>
    <row r="3">
      <c r="B3" s="7" t="s">
        <v>2</v>
      </c>
      <c r="C3" s="8" t="s">
        <v>3</v>
      </c>
      <c r="D3" s="3"/>
      <c r="E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>
      <c r="A5" s="9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B6" s="3"/>
      <c r="C6" s="11"/>
      <c r="D6" s="11"/>
      <c r="E6" s="11"/>
      <c r="J6" s="3"/>
      <c r="K6" s="3"/>
      <c r="L6" s="3"/>
    </row>
    <row r="7">
      <c r="B7" s="12" t="s">
        <v>5</v>
      </c>
      <c r="C7" s="13"/>
      <c r="D7" s="13"/>
      <c r="E7" s="13"/>
      <c r="F7" s="14"/>
      <c r="G7" s="14"/>
      <c r="H7" s="14"/>
      <c r="I7" s="14"/>
      <c r="J7" s="12"/>
      <c r="K7" s="12"/>
      <c r="L7" s="12"/>
    </row>
    <row r="8">
      <c r="B8" s="15" t="s">
        <v>6</v>
      </c>
      <c r="C8" s="16">
        <v>2.6487773E7</v>
      </c>
      <c r="D8" s="11"/>
      <c r="E8" s="15" t="s">
        <v>7</v>
      </c>
      <c r="F8" s="17">
        <f>(D15-E15)/E15</f>
        <v>0.2853827386</v>
      </c>
      <c r="I8" s="11"/>
      <c r="J8" s="3"/>
      <c r="K8" s="3"/>
      <c r="L8" s="3"/>
      <c r="M8" s="11"/>
    </row>
    <row r="9">
      <c r="B9" s="15" t="s">
        <v>8</v>
      </c>
      <c r="C9" s="18">
        <v>6.31981970171E11</v>
      </c>
      <c r="E9" s="15" t="s">
        <v>9</v>
      </c>
      <c r="F9" s="17">
        <f>(D22-E22)/E22</f>
        <v>0.05711110235</v>
      </c>
      <c r="J9" s="19"/>
      <c r="K9" s="3"/>
      <c r="L9" s="3"/>
    </row>
    <row r="10">
      <c r="B10" s="15" t="str">
        <f>"Target Sales Qty (kg) RKAP "&amp;$C$3&amp;""</f>
        <v>Target Sales Qty (kg) RKAP September</v>
      </c>
      <c r="C10" s="23" t="str">
        <f t="array" ref="C10">IFERROR(INDEX('Target-Capaian RKAP'!$B$54:$B$65,MATCH($C$3,'Target-Capaian RKAP'!$A$54:$A$65,0)),"")</f>
        <v/>
      </c>
      <c r="E10" s="15" t="s">
        <v>11</v>
      </c>
      <c r="F10" s="17">
        <f>(D24-E24)/E24</f>
        <v>0.3401833733</v>
      </c>
      <c r="J10" s="3"/>
      <c r="K10" s="3"/>
      <c r="L10" s="3"/>
    </row>
    <row r="11">
      <c r="B11" s="15" t="str">
        <f>"Target Revenue RKAP (IDR) "&amp;$C$3&amp;""</f>
        <v>Target Revenue RKAP (IDR) September</v>
      </c>
      <c r="C11" s="23" t="str">
        <f t="array" ref="C11">IFERROR(INDEX('Target-Capaian RKAP'!$C$54:$C$65,MATCH($C$3,'Target-Capaian RKAP'!$A$54:$A$65,0)),"")</f>
        <v/>
      </c>
      <c r="E11" s="15" t="s">
        <v>12</v>
      </c>
      <c r="F11" s="17">
        <f>(D26-E26)/E26</f>
        <v>0.6579241468</v>
      </c>
      <c r="J11" s="3"/>
      <c r="K11" s="3"/>
      <c r="L11" s="3"/>
    </row>
    <row r="12">
      <c r="J12" s="3"/>
      <c r="K12" s="3"/>
      <c r="L12" s="3"/>
    </row>
    <row r="13"/>
    <row r="14">
      <c r="B14" s="15"/>
      <c r="C14" s="26" t="str">
        <f>"Real Revenue Bulan "&amp;$C$3&amp;" 2026"</f>
        <v>Real Revenue Bulan September 2026</v>
      </c>
      <c r="D14" s="26" t="str">
        <f>"Real Revenue Sampai Periode "&amp;$C$3&amp;" 2026"</f>
        <v>Real Revenue Sampai Periode September 2026</v>
      </c>
      <c r="E14" s="26" t="str">
        <f>"Real Revenue Sampai Periode "&amp;$C$3&amp;" 2025"</f>
        <v>Real Revenue Sampai Periode September 2025</v>
      </c>
      <c r="F14" s="26" t="str">
        <f>"Total Real Revenue Sampai "&amp;$C$3&amp;" + Outstanding SO"</f>
        <v>Total Real Revenue Sampai September + Outstanding SO</v>
      </c>
      <c r="G14" s="26" t="str">
        <f>"Total Real Revenue Sampai "&amp;$C$3&amp;" + Oustanding SO + Potential Revenue 2026"</f>
        <v>Total Real Revenue Sampai September + Oustanding SO + Potential Revenue 2026</v>
      </c>
      <c r="H14" s="26" t="str">
        <f>"Total Real Revenue Sampai "&amp;$C$3&amp;" + Oustanding SO + Potential Revenue 2026 + Proyeksi Marketing"</f>
        <v>Total Real Revenue Sampai September + Oustanding SO + Potential Revenue 2026 + Proyeksi Marketing</v>
      </c>
      <c r="J14" s="15"/>
      <c r="K14" s="26" t="str">
        <f>"Real QTY Bulan "&amp;$C$3&amp;""</f>
        <v>Real QTY Bulan September</v>
      </c>
      <c r="L14" s="26" t="str">
        <f>"Real QTY Sampai Periode "&amp;$C$3&amp;""</f>
        <v>Real QTY Sampai Periode September</v>
      </c>
      <c r="M14" s="26" t="str">
        <f>"Total Real QTY Sampai "&amp;$C$3&amp;" + Potential QTY Sales"</f>
        <v>Total Real QTY Sampai September + Potential QTY Sales</v>
      </c>
    </row>
    <row r="15">
      <c r="B15" s="27" t="s">
        <v>13</v>
      </c>
      <c r="C15" s="28">
        <f t="array" ref="C15">IFERROR(INDEX('LK Summary Data'!$B$7:$B$18,MATCH($C$3,'LK Summary Data'!$A$7:$A$18,0)),"")</f>
        <v>73337840528</v>
      </c>
      <c r="D15" s="28">
        <f t="array" ref="D15">IFERROR(INDEX('LK Summary Data'!$B$23:$B$34,MATCH($C$3,'LK Summary Data'!$A$23:$A$34,0)),"")</f>
        <v>400929809822</v>
      </c>
      <c r="E15" s="28">
        <f t="array" ref="E15">IFERROR(INDEX('LK Summary Data'!$B$39:$B$50,MATCH($C$3,'LK Summary Data'!$A$39:$A$50,0)),"")</f>
        <v>311914729969</v>
      </c>
      <c r="F15" s="28">
        <f t="array" ref="F15">IFERROR(INDEX('Potential &amp; Outstanding SO'!Q6:Q17,MATCH($C$3,'Potential &amp; Outstanding SO'!L6:L17,0)),"")+D15</f>
        <v>400929809822</v>
      </c>
      <c r="G15" s="28" t="str">
        <f t="array" ref="G15">IFERROR(
INDEX('Potential &amp; Outstanding SO'!$Q$6:$Q$17,
MATCH($C$3,'Potential &amp; Outstanding SO'!$L$6:$L$17,0))
+'Potential &amp; Outstanding SO'!E4
+D15,
"")</f>
        <v/>
      </c>
      <c r="H15" s="27"/>
      <c r="J15" s="27" t="s">
        <v>18</v>
      </c>
      <c r="K15" s="39" t="str">
        <f t="array" ref="K15">IFERROR(INDEX('pivot-penjualan'!$C$5:$C$16,MATCH($C$3,'pivot-penjualan'!A5:A16,0)),"")</f>
        <v/>
      </c>
      <c r="L15" s="39" t="str">
        <f t="array" ref="L15">IFERROR(INDEX('pivot-penjualan'!$J$5:$J$16,MATCH($C$3,'pivot-penjualan'!A5:A16,0)),"")</f>
        <v/>
      </c>
      <c r="M15" s="39" t="str">
        <f>'Potential &amp; Outstanding SO'!C4+L15</f>
        <v>#REF!</v>
      </c>
    </row>
    <row r="16">
      <c r="B16" s="27" t="s">
        <v>106</v>
      </c>
      <c r="C16" s="42" t="str">
        <f>C15/C11</f>
        <v>#DIV/0!</v>
      </c>
      <c r="D16" s="42">
        <f>D15/$C$9</f>
        <v>0.6344007088</v>
      </c>
      <c r="E16" s="45"/>
      <c r="F16" s="42">
        <f t="shared" ref="F16:G16" si="1">F15/$C$9</f>
        <v>0.6344007088</v>
      </c>
      <c r="G16" s="42">
        <f t="shared" si="1"/>
        <v>0</v>
      </c>
      <c r="H16" s="27"/>
      <c r="J16" s="27" t="s">
        <v>150</v>
      </c>
      <c r="K16" s="45" t="str">
        <f>K15/C10</f>
        <v>#DIV/0!</v>
      </c>
      <c r="L16" s="42">
        <f>L15/$C$8</f>
        <v>0</v>
      </c>
      <c r="M16" s="42" t="str">
        <f>M15/C8</f>
        <v>#REF!</v>
      </c>
    </row>
    <row r="17">
      <c r="B17" s="27" t="s">
        <v>166</v>
      </c>
      <c r="C17" s="28">
        <f>C11-C15</f>
        <v>-73337840528</v>
      </c>
      <c r="D17" s="28">
        <f>C9-D15</f>
        <v>231052160349</v>
      </c>
      <c r="E17" s="48"/>
      <c r="F17" s="28">
        <f>$C$9-F15</f>
        <v>231052160349</v>
      </c>
      <c r="G17" s="28">
        <f>C9-G15</f>
        <v>631981970171</v>
      </c>
      <c r="H17" s="27"/>
      <c r="J17" s="27" t="s">
        <v>193</v>
      </c>
      <c r="K17" s="48">
        <f>C10-K15</f>
        <v>0</v>
      </c>
      <c r="L17" s="39">
        <f>C8-L15</f>
        <v>26487773</v>
      </c>
      <c r="M17" s="39" t="str">
        <f>C8-M15</f>
        <v>#REF!</v>
      </c>
    </row>
    <row r="18">
      <c r="B18" s="27" t="s">
        <v>227</v>
      </c>
      <c r="C18" s="39" t="str">
        <f>C17/C11</f>
        <v>#DIV/0!</v>
      </c>
      <c r="D18" s="42">
        <f>D17/$C$9</f>
        <v>0.3655992912</v>
      </c>
      <c r="E18" s="48"/>
      <c r="F18" s="42">
        <f t="shared" ref="F18:G18" si="2">F17/$C$9</f>
        <v>0.3655992912</v>
      </c>
      <c r="G18" s="42">
        <f t="shared" si="2"/>
        <v>1</v>
      </c>
      <c r="H18" s="27"/>
      <c r="J18" s="27" t="s">
        <v>264</v>
      </c>
      <c r="K18" s="48" t="str">
        <f>K17/C10</f>
        <v>#DIV/0!</v>
      </c>
      <c r="L18" s="42">
        <f>L17/C8</f>
        <v>1</v>
      </c>
      <c r="M18" s="42" t="str">
        <f>M17/C8</f>
        <v>#REF!</v>
      </c>
    </row>
    <row r="19">
      <c r="J19" s="3"/>
      <c r="K19" s="3"/>
      <c r="L19" s="3"/>
    </row>
    <row r="20">
      <c r="B20" s="27"/>
      <c r="C20" s="51" t="str">
        <f>"Bulan "&amp;$C$3&amp;" 2026"</f>
        <v>Bulan September 2026</v>
      </c>
      <c r="D20" s="51" t="str">
        <f>"Jan - "&amp;$C$3&amp;" 2026"</f>
        <v>Jan - September 2026</v>
      </c>
      <c r="E20" s="26" t="str">
        <f>"Jan - "&amp;$C$3&amp;" 2025"</f>
        <v>Jan - September 2025</v>
      </c>
      <c r="F20" s="51" t="s">
        <v>292</v>
      </c>
      <c r="G20" s="55" t="s">
        <v>293</v>
      </c>
      <c r="J20" s="55" t="str">
        <f>"Real Revenue Sampai 
Periode "&amp;$C$3&amp;" 2023"</f>
        <v>Real Revenue Sampai 
Periode September 2023</v>
      </c>
      <c r="K20" s="55" t="str">
        <f>"Real Revenue Sampai 
Periode "&amp;$C$3&amp;" 2024"</f>
        <v>Real Revenue Sampai 
Periode September 2024</v>
      </c>
      <c r="L20" s="26" t="str">
        <f>"Jan - "&amp;$C$3&amp;" 2023"</f>
        <v>Jan - September 2023</v>
      </c>
      <c r="M20" s="60" t="str">
        <f>"Jan - "&amp;$C$3&amp;" 2024"</f>
        <v>Jan - September 2024</v>
      </c>
    </row>
    <row r="21">
      <c r="B21" s="27" t="s">
        <v>294</v>
      </c>
      <c r="C21" s="39">
        <f t="array" ref="C21">IFERROR(INDEX('LK Summary Data'!$D$7:$D$18,MATCH($C$3,'LK Summary Data'!$A$7:$A$18,0)),"")</f>
        <v>8675675436</v>
      </c>
      <c r="D21" s="39">
        <f t="array" ref="D21">IFERROR(INDEX('LK Summary Data'!$D$23:$D$34,MATCH($C$3,'LK Summary Data'!$A$23:$A$34,0)),"")</f>
        <v>88116310407</v>
      </c>
      <c r="E21" s="65">
        <f t="array" ref="E21">IFERROR(INDEX('LK Summary Data'!$D$39:$D$50,MATCH($C$3,'LK Summary Data'!$A$39:$A$50,0)),"")</f>
        <v>64848988526</v>
      </c>
      <c r="F21" s="39"/>
      <c r="G21" s="17">
        <f>(D21-E21)/D21</f>
        <v>0.2640523846</v>
      </c>
      <c r="J21" s="66">
        <f t="array" ref="J21">IFERROR(INDEX('LK Summary Data'!$B$71:$B$82,MATCH($C$3,'LK Summary Data'!$A$39:$A$50,0)),"")</f>
        <v>195956481653</v>
      </c>
      <c r="K21" s="66">
        <f t="array" ref="K21">IFERROR(INDEX('LK Summary Data'!$B$55:$B$66,MATCH($C$3,'LK Summary Data'!$A$39:$A$50,0)),"")</f>
        <v>209835191684</v>
      </c>
      <c r="L21" s="66">
        <f t="array" ref="L21">IFERROR(INDEX('LK Summary Data'!$D$71:$D$82,MATCH($C$3,'LK Summary Data'!$A$71:$A$82,0)),"")</f>
        <v>41304968421</v>
      </c>
      <c r="M21" s="66">
        <f t="array" ref="M21">IFERROR(INDEX('LK Summary Data'!$D$55:$D$66,MATCH($C$3,'LK Summary Data'!$A$55:$A$66,0)),"")</f>
        <v>44357579700</v>
      </c>
    </row>
    <row r="22">
      <c r="B22" s="27" t="s">
        <v>297</v>
      </c>
      <c r="C22" s="42">
        <f t="shared" ref="C22:E22" si="3">C21/C15</f>
        <v>0.1182973943</v>
      </c>
      <c r="D22" s="42">
        <f t="shared" si="3"/>
        <v>0.2197798923</v>
      </c>
      <c r="E22" s="42">
        <f t="shared" si="3"/>
        <v>0.2079061432</v>
      </c>
      <c r="F22" s="39"/>
      <c r="G22" s="17">
        <f>D22-E22</f>
        <v>0.01187374903</v>
      </c>
      <c r="J22" s="68"/>
      <c r="K22" s="68"/>
      <c r="L22" s="17">
        <f t="shared" ref="L22:M22" si="4">L21/J21</f>
        <v>0.2107864362</v>
      </c>
      <c r="M22" s="17">
        <f t="shared" si="4"/>
        <v>0.2113924711</v>
      </c>
    </row>
    <row r="23">
      <c r="B23" s="27" t="s">
        <v>298</v>
      </c>
      <c r="C23" s="39">
        <f t="array" ref="C23">IFERROR(INDEX('LK Summary Data'!$J$7:$J$18,MATCH($C$3,'LK Summary Data'!$A$7:$A$18,0)),"")</f>
        <v>4199946999</v>
      </c>
      <c r="D23" s="39">
        <f t="array" ref="D23">IFERROR(INDEX('LK Summary Data'!$J$23:$J$34,MATCH($C$3,'LK Summary Data'!$A$23:$A$34,0)),"")</f>
        <v>49180524186</v>
      </c>
      <c r="E23" s="39">
        <f t="array" ref="E23">IFERROR(INDEX('LK Summary Data'!$J$39:$J$50,MATCH($C$3,'LK Summary Data'!$A$39:$A$50,0)),"")</f>
        <v>28549365733</v>
      </c>
      <c r="F23" s="39"/>
      <c r="G23" s="17">
        <f>(D23-E23)/D23</f>
        <v>0.4194985473</v>
      </c>
      <c r="J23" s="68"/>
      <c r="K23" s="68"/>
      <c r="L23" s="66">
        <f t="array" ref="L23">IFERROR(INDEX('LK Summary Data'!$J$71:$J$82,MATCH($C$3,'LK Summary Data'!$A$71:$A$82,0)),"")</f>
        <v>18618077823</v>
      </c>
      <c r="M23" s="66">
        <f t="array" ref="M23">IFERROR(INDEX('LK Summary Data'!$J$55:$J$66,MATCH($C$3,'LK Summary Data'!$A$55:$A$66,0)),"")</f>
        <v>19556235417</v>
      </c>
    </row>
    <row r="24">
      <c r="B24" s="27" t="s">
        <v>300</v>
      </c>
      <c r="C24" s="42">
        <f t="shared" ref="C24:E24" si="5">C23/C15</f>
        <v>0.05726848471</v>
      </c>
      <c r="D24" s="42">
        <f t="shared" si="5"/>
        <v>0.1226661699</v>
      </c>
      <c r="E24" s="42">
        <f t="shared" si="5"/>
        <v>0.09152939246</v>
      </c>
      <c r="F24" s="39"/>
      <c r="G24" s="17">
        <f>D24-E24</f>
        <v>0.03113677748</v>
      </c>
      <c r="J24" s="68"/>
      <c r="K24" s="68"/>
      <c r="L24" s="17">
        <f t="shared" ref="L24:M24" si="6">L23/J21</f>
        <v>0.09501128856</v>
      </c>
      <c r="M24" s="17">
        <f t="shared" si="6"/>
        <v>0.09319807254</v>
      </c>
    </row>
    <row r="25">
      <c r="B25" s="27" t="s">
        <v>301</v>
      </c>
      <c r="C25" s="39">
        <f t="array" ref="C25">IFERROR(INDEX('LK Summary Data'!$T$7:$T$18,MATCH($C$3,'LK Summary Data'!$A$7:$A$18,0)),"")</f>
        <v>2366534577</v>
      </c>
      <c r="D25" s="39">
        <f t="array" ref="D25">IFERROR(INDEX('LK Summary Data'!$T$23:$T$34,MATCH($C$3,'LK Summary Data'!$A$23:$A$34,0)),"")</f>
        <v>31007706653</v>
      </c>
      <c r="E25" s="39">
        <f t="array" ref="E25">IFERROR(INDEX('LK Summary Data'!$T$39:$T$50,MATCH($C$3,'LK Summary Data'!$A$39:$A$50,0)),"")</f>
        <v>14550319387</v>
      </c>
      <c r="F25" s="39"/>
      <c r="G25" s="17">
        <f>(D25-E25)/D25</f>
        <v>0.5307515145</v>
      </c>
      <c r="J25" s="68"/>
      <c r="K25" s="68"/>
      <c r="L25" s="66">
        <f t="array" ref="L25">IFERROR(INDEX('LK Summary Data'!$T$71:$T$82,MATCH($C$3,'LK Summary Data'!$A$71:$A$82,0)),"")</f>
        <v>12146142213</v>
      </c>
      <c r="M25" s="66">
        <f t="array" ref="M25">IFERROR(INDEX('LK Summary Data'!$T$55:$T$66,MATCH($C$3,'LK Summary Data'!$A$55:$A$66,0)),"")</f>
        <v>11296560441</v>
      </c>
    </row>
    <row r="26">
      <c r="B26" s="27" t="s">
        <v>303</v>
      </c>
      <c r="C26" s="42">
        <f t="shared" ref="C26:E26" si="7">C25/C15</f>
        <v>0.03226894274</v>
      </c>
      <c r="D26" s="42">
        <f t="shared" si="7"/>
        <v>0.07733948909</v>
      </c>
      <c r="E26" s="42">
        <f t="shared" si="7"/>
        <v>0.04664838813</v>
      </c>
      <c r="F26" s="39"/>
      <c r="G26" s="17">
        <f>D26-E26</f>
        <v>0.03069110096</v>
      </c>
      <c r="J26" s="68"/>
      <c r="K26" s="68"/>
      <c r="L26" s="17">
        <f t="shared" ref="L26:M26" si="8">L25/J21</f>
        <v>0.06198387576</v>
      </c>
      <c r="M26" s="17">
        <f t="shared" si="8"/>
        <v>0.05383539506</v>
      </c>
    </row>
    <row r="27"/>
    <row r="28">
      <c r="B28" s="12" t="s">
        <v>305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/>
    <row r="30">
      <c r="B30" s="15" t="s">
        <v>306</v>
      </c>
      <c r="C30" s="91" t="s">
        <v>307</v>
      </c>
      <c r="D30" s="51" t="s">
        <v>308</v>
      </c>
      <c r="E30" s="55" t="s">
        <v>309</v>
      </c>
      <c r="F30" s="55" t="s">
        <v>310</v>
      </c>
    </row>
    <row r="31">
      <c r="B31" s="15" t="s">
        <v>311</v>
      </c>
      <c r="C31" s="93">
        <v>7118200.0</v>
      </c>
      <c r="D31" s="27"/>
      <c r="E31" s="93">
        <v>1.4115398E7</v>
      </c>
      <c r="F31" s="93">
        <v>5252075.0</v>
      </c>
    </row>
    <row r="32">
      <c r="B32" s="15" t="s">
        <v>312</v>
      </c>
      <c r="C32" s="93">
        <v>1.4582026267E11</v>
      </c>
      <c r="D32" s="27"/>
      <c r="E32" s="93">
        <v>3.7510769E11</v>
      </c>
      <c r="F32" s="93">
        <v>1.10982635E11</v>
      </c>
    </row>
    <row r="33">
      <c r="B33" s="15" t="str">
        <f>"Target Sales Qty (kg) RKAP "&amp;$C$3&amp;""</f>
        <v>Target Sales Qty (kg) RKAP September</v>
      </c>
      <c r="C33" s="28" t="str">
        <f t="array" ref="C33">IFERROR(INDEX('Target-Capaian RKAP'!$B$6:$B$17,MATCH($C$3,'Target-Capaian RKAP'!$A$6:$A$17,0)),"")</f>
        <v/>
      </c>
      <c r="D33" s="97"/>
      <c r="E33" s="97" t="str">
        <f t="array" ref="E33">IFERROR(INDEX('Target-Capaian RKAP'!$B$22:$B$33,MATCH($C$3,'Target-Capaian RKAP'!$A$22:$A$33,0)),"")</f>
        <v/>
      </c>
      <c r="F33" s="97" t="str">
        <f t="array" ref="F33">IFERROR(INDEX('Target-Capaian RKAP'!$B$38:$B$49,MATCH($C$3,'Target-Capaian RKAP'!$A$38:$A$49,0)),"")</f>
        <v/>
      </c>
    </row>
    <row r="34">
      <c r="B34" s="15" t="str">
        <f>"Target Revenue RKAP (IDR) "&amp;$C$3&amp;""</f>
        <v>Target Revenue RKAP (IDR) September</v>
      </c>
      <c r="C34" s="28" t="str">
        <f t="array" ref="C34">IFERROR(INDEX('Target-Capaian RKAP'!$C$6:$C$17,MATCH($C$3,'Target-Capaian RKAP'!$A$6:$A$17,0)),"")</f>
        <v/>
      </c>
      <c r="D34" s="97"/>
      <c r="E34" s="97" t="str">
        <f t="array" ref="E34">IFERROR(INDEX('Target-Capaian RKAP'!$C$22:$C$33,MATCH($C$3,'Target-Capaian RKAP'!$A$22:$A$33,0)),"")</f>
        <v/>
      </c>
      <c r="F34" s="97" t="str">
        <f t="array" ref="F34">IFERROR(INDEX('Target-Capaian RKAP'!$C$38:$C$49,MATCH($C$3,'Target-Capaian RKAP'!$A$38:$A$49,0)),"")</f>
        <v/>
      </c>
    </row>
    <row r="35">
      <c r="B35" s="3"/>
      <c r="C35" s="101"/>
      <c r="D35" s="101"/>
      <c r="E35" s="101"/>
    </row>
    <row r="36">
      <c r="B36" s="3"/>
      <c r="C36" s="101"/>
      <c r="D36" s="101"/>
      <c r="E36" s="101"/>
    </row>
    <row r="37">
      <c r="B37" s="3" t="str">
        <f>"Periode "&amp;$C$3&amp;" 2026"</f>
        <v>Periode September 2026</v>
      </c>
      <c r="C37" s="101"/>
      <c r="D37" s="101"/>
      <c r="E37" s="101"/>
    </row>
    <row r="38">
      <c r="B38" s="27"/>
      <c r="C38" s="91" t="s">
        <v>307</v>
      </c>
      <c r="D38" s="55" t="s">
        <v>314</v>
      </c>
      <c r="E38" s="55" t="s">
        <v>309</v>
      </c>
      <c r="F38" s="55" t="s">
        <v>310</v>
      </c>
      <c r="J38" s="15" t="str">
        <f>"Capaian Bulan "&amp;$C$3&amp;" 2026"</f>
        <v>Capaian Bulan September 2026</v>
      </c>
      <c r="K38" s="26" t="s">
        <v>315</v>
      </c>
      <c r="L38" s="55" t="s">
        <v>314</v>
      </c>
      <c r="M38" s="26" t="s">
        <v>309</v>
      </c>
      <c r="N38" s="26" t="s">
        <v>310</v>
      </c>
    </row>
    <row r="39">
      <c r="B39" s="102" t="s">
        <v>13</v>
      </c>
      <c r="C39" s="39">
        <f t="array" ref="C39">IFERROR(INDEX('LK Summary Data'!$B$136:$B$147,MATCH($C$3,'LK Summary Data'!$A$136:$A$147,0)),"")</f>
        <v>46016514641</v>
      </c>
      <c r="D39" s="103"/>
      <c r="E39" s="39">
        <f t="array" ref="E39">IFERROR(INDEX('LK Summary Data'!$B$168:$B$179,MATCH($C$3,'LK Summary Data'!$A$168:$A$179,0)),"")</f>
        <v>46923230959</v>
      </c>
      <c r="F39" s="39">
        <f t="array" ref="F39">IFERROR(INDEX('LK Summary Data'!$B$200:$B$211,MATCH($C$3,'LK Summary Data'!$A$200:$A$211,0)),"")</f>
        <v>7832946505</v>
      </c>
      <c r="J39" s="27" t="s">
        <v>106</v>
      </c>
      <c r="K39" s="42" t="str">
        <f>C39/D34</f>
        <v>#DIV/0!</v>
      </c>
      <c r="L39" s="27"/>
      <c r="M39" s="42" t="str">
        <f t="shared" ref="M39:N39" si="9">E39/E34</f>
        <v>#DIV/0!</v>
      </c>
      <c r="N39" s="42" t="str">
        <f t="shared" si="9"/>
        <v>#DIV/0!</v>
      </c>
    </row>
    <row r="40">
      <c r="B40" s="102" t="s">
        <v>294</v>
      </c>
      <c r="C40" s="39">
        <f t="array" ref="C40">IFERROR(INDEX('LK Summary Data'!$D$136:$D$147,MATCH($C$3,'LK Summary Data'!$A$7:$A$18,0)),"")</f>
        <v>4694315336</v>
      </c>
      <c r="D40" s="103"/>
      <c r="E40" s="39">
        <f t="array" ref="E40">IFERROR(INDEX('LK Summary Data'!$D$168:$D$179,MATCH($C$3,'LK Summary Data'!$A$7:$A$18,0)),"")</f>
        <v>1333708699</v>
      </c>
      <c r="F40" s="39">
        <f t="array" ref="F40">IFERROR(INDEX('LK Summary Data'!$D$200:$D$211,MATCH($C$3,'LK Summary Data'!$A$7:$A$18,0)),"")</f>
        <v>373925901</v>
      </c>
      <c r="J40" s="27" t="s">
        <v>166</v>
      </c>
      <c r="K40" s="28">
        <f>D34-C39</f>
        <v>-46016514641</v>
      </c>
      <c r="L40" s="27"/>
      <c r="M40" s="28">
        <f t="shared" ref="M40:N40" si="10">E34-E39</f>
        <v>-46923230959</v>
      </c>
      <c r="N40" s="28">
        <f t="shared" si="10"/>
        <v>-7832946505</v>
      </c>
    </row>
    <row r="41">
      <c r="B41" s="102" t="s">
        <v>319</v>
      </c>
      <c r="C41" s="42">
        <f>C40/C39</f>
        <v>0.102013709</v>
      </c>
      <c r="D41" s="103"/>
      <c r="E41" s="42">
        <f t="shared" ref="E41:F41" si="11">E40/E39</f>
        <v>0.02842320684</v>
      </c>
      <c r="F41" s="42">
        <f t="shared" si="11"/>
        <v>0.0477375788</v>
      </c>
      <c r="J41" s="27" t="s">
        <v>227</v>
      </c>
      <c r="L41" s="27"/>
      <c r="M41" s="27"/>
      <c r="N41" s="27" t="str">
        <f>K40/D34</f>
        <v>#DIV/0!</v>
      </c>
    </row>
    <row r="42">
      <c r="B42" s="102" t="s">
        <v>298</v>
      </c>
      <c r="C42" s="39">
        <f t="array" ref="C42">IFERROR(INDEX('LK Summary Data'!$J$136:$J$147,MATCH($C$3,'LK Summary Data'!$A$136:$A$147,0)),"")</f>
        <v>2075288741</v>
      </c>
      <c r="D42" s="103"/>
      <c r="E42" s="39">
        <f t="array" ref="E42">IFERROR(INDEX('LK Summary Data'!$I$168:$I$179,MATCH($C$3,'LK Summary Data'!$A$7:$A$18,0)),"")</f>
        <v>421793536</v>
      </c>
      <c r="F42" s="39">
        <f t="array" ref="F42">IFERROR(INDEX('LK Summary Data'!$I$200:$I$211,MATCH($C$3,'LK Summary Data'!$A$7:$A$18,0)),"")</f>
        <v>-114794878</v>
      </c>
      <c r="J42" s="27" t="s">
        <v>18</v>
      </c>
      <c r="K42" s="27"/>
      <c r="L42" s="27"/>
      <c r="M42" s="27"/>
      <c r="N42" s="27"/>
    </row>
    <row r="43">
      <c r="B43" s="102" t="s">
        <v>320</v>
      </c>
      <c r="C43" s="42">
        <f>C42/C39</f>
        <v>0.04509878154</v>
      </c>
      <c r="D43" s="103"/>
      <c r="E43" s="42">
        <f t="shared" ref="E43:F43" si="12">E42/E39</f>
        <v>0.008989013062</v>
      </c>
      <c r="F43" s="42">
        <f t="shared" si="12"/>
        <v>-0.01465538899</v>
      </c>
      <c r="J43" s="27" t="s">
        <v>150</v>
      </c>
      <c r="K43" s="27"/>
      <c r="L43" s="27"/>
      <c r="M43" s="27"/>
      <c r="N43" s="27"/>
    </row>
    <row r="44">
      <c r="B44" s="102" t="s">
        <v>301</v>
      </c>
      <c r="C44" s="39">
        <f t="array" ref="C44">IFERROR(INDEX('LK Summary Data'!$S$136:$S$147,MATCH($C$3,'LK Summary Data'!$A$136:$A$147,0)),"")</f>
        <v>211296484</v>
      </c>
      <c r="D44" s="103"/>
      <c r="E44" s="39">
        <f t="array" ref="E44">IFERROR(INDEX('LK Summary Data'!$R$168:$R$179,MATCH($C$3,'LK Summary Data'!$A$136:$A$147,0)),"")</f>
        <v>446329439</v>
      </c>
      <c r="F44" s="39">
        <f t="array" ref="F44">IFERROR(INDEX('LK Summary Data'!$T$200:$T$211,MATCH($C$3,'LK Summary Data'!$A$136:$A$147,0)),"")</f>
        <v>-114381243</v>
      </c>
      <c r="J44" s="27" t="s">
        <v>193</v>
      </c>
      <c r="K44" s="27"/>
      <c r="L44" s="27"/>
      <c r="M44" s="27"/>
      <c r="N44" s="27"/>
    </row>
    <row r="45">
      <c r="B45" s="102" t="s">
        <v>321</v>
      </c>
      <c r="C45" s="42">
        <f>C44/C39</f>
        <v>0.004591753323</v>
      </c>
      <c r="D45" s="103"/>
      <c r="E45" s="42">
        <f t="shared" ref="E45:F45" si="13">E44/E39</f>
        <v>0.009511907639</v>
      </c>
      <c r="F45" s="42">
        <f t="shared" si="13"/>
        <v>-0.01460258192</v>
      </c>
      <c r="J45" s="27" t="s">
        <v>264</v>
      </c>
      <c r="K45" s="27"/>
      <c r="L45" s="27"/>
      <c r="M45" s="27"/>
      <c r="N45" s="27"/>
    </row>
    <row r="46"/>
    <row r="47">
      <c r="B47" s="3" t="str">
        <f>"Periode Jan - "&amp;$C$3&amp;" 2026"</f>
        <v>Periode Jan - September 2026</v>
      </c>
      <c r="C47" s="112"/>
      <c r="D47" s="112"/>
      <c r="E47" s="112"/>
    </row>
    <row r="48">
      <c r="B48" s="102"/>
      <c r="C48" s="91" t="s">
        <v>307</v>
      </c>
      <c r="D48" s="55" t="s">
        <v>308</v>
      </c>
      <c r="E48" s="91" t="s">
        <v>309</v>
      </c>
      <c r="F48" s="91" t="s">
        <v>310</v>
      </c>
      <c r="J48" s="15" t="str">
        <f>"Capaian Jan - "&amp;$C$3&amp;" 2026"</f>
        <v>Capaian Jan - September 2026</v>
      </c>
      <c r="K48" s="26" t="s">
        <v>315</v>
      </c>
      <c r="L48" s="55" t="s">
        <v>314</v>
      </c>
      <c r="M48" s="26" t="s">
        <v>309</v>
      </c>
      <c r="N48" s="26" t="s">
        <v>310</v>
      </c>
    </row>
    <row r="49">
      <c r="B49" s="102" t="s">
        <v>13</v>
      </c>
      <c r="C49" s="114">
        <f t="array" ref="C49">IFERROR(INDEX('LK Summary Data'!$B$152:$B$163,MATCH($C$3,'LK Summary Data'!$A$152:$A$163,0)),"")</f>
        <v>343560095836</v>
      </c>
      <c r="D49" s="103"/>
      <c r="E49" s="114">
        <f t="array" ref="E49">IFERROR(INDEX('LK Summary Data'!$B$184:$B$195,MATCH($C$3,'LK Summary Data'!$A$184:$A$195,0)),"")</f>
        <v>244818752226</v>
      </c>
      <c r="F49" s="114">
        <f t="array" ref="F49">IFERROR(INDEX('LK Summary Data'!$B$216:$B$227,MATCH($C$3,'LK Summary Data'!$A$216:$A$227,0)),"")</f>
        <v>63942168304</v>
      </c>
      <c r="J49" s="27" t="s">
        <v>106</v>
      </c>
      <c r="K49" s="27"/>
      <c r="L49" s="27"/>
      <c r="M49" s="27"/>
      <c r="N49" s="27"/>
    </row>
    <row r="50">
      <c r="B50" s="102" t="s">
        <v>294</v>
      </c>
      <c r="C50" s="114">
        <f t="array" ref="C50">IFERROR(INDEX('LK Summary Data'!$D$152:$D$163,MATCH($C$3,'LK Summary Data'!$A$152:$A$163,0)),"")</f>
        <v>54788191282</v>
      </c>
      <c r="D50" s="103"/>
      <c r="E50" s="114">
        <f t="array" ref="E50">IFERROR(INDEX('LK Summary Data'!$D$184:$D$195,MATCH($C$3,'LK Summary Data'!$A$184:$A$195,0)),"")</f>
        <v>17971214949</v>
      </c>
      <c r="F50" s="114">
        <f t="array" ref="F50">IFERROR(INDEX('LK Summary Data'!$D$216:$D$227,MATCH($C$3,'LK Summary Data'!$A$216:$A$227,0)),"")</f>
        <v>9621704705</v>
      </c>
      <c r="J50" s="27" t="s">
        <v>166</v>
      </c>
      <c r="K50" s="27"/>
      <c r="L50" s="27"/>
      <c r="M50" s="27"/>
      <c r="N50" s="27"/>
    </row>
    <row r="51">
      <c r="B51" s="102" t="s">
        <v>319</v>
      </c>
      <c r="C51" s="115">
        <f>C50/C49</f>
        <v>0.1594719292</v>
      </c>
      <c r="D51" s="103"/>
      <c r="E51" s="115">
        <f t="shared" ref="E51:F51" si="14">E50/E49</f>
        <v>0.07340620269</v>
      </c>
      <c r="F51" s="115">
        <f t="shared" si="14"/>
        <v>0.1504751084</v>
      </c>
      <c r="J51" s="27" t="s">
        <v>227</v>
      </c>
      <c r="K51" s="27"/>
      <c r="L51" s="27"/>
      <c r="M51" s="27"/>
      <c r="N51" s="27"/>
    </row>
    <row r="52">
      <c r="B52" s="102" t="s">
        <v>298</v>
      </c>
      <c r="C52" s="114">
        <f t="array" ref="C52">IFERROR(INDEX('LK Summary Data'!$J$152:$J$163,MATCH($C$3,'LK Summary Data'!$A$152:$A$163,0)),"")</f>
        <v>33016829616</v>
      </c>
      <c r="D52" s="103"/>
      <c r="E52" s="114">
        <f t="array" ref="E52">IFERROR(INDEX('LK Summary Data'!$I$184:$I$195,MATCH($C$3,'LK Summary Data'!$A$184:$A$195,0)),"")</f>
        <v>8725273744</v>
      </c>
      <c r="F52" s="114">
        <f t="array" ref="F52">IFERROR(INDEX('LK Summary Data'!$I$216:$I$227,MATCH($C$3,'LK Summary Data'!$A$216:$A$227,0)),"")</f>
        <v>6020637070</v>
      </c>
      <c r="J52" s="27" t="s">
        <v>18</v>
      </c>
      <c r="K52" s="27"/>
      <c r="L52" s="27"/>
      <c r="M52" s="27"/>
      <c r="N52" s="27"/>
    </row>
    <row r="53">
      <c r="B53" s="102" t="s">
        <v>320</v>
      </c>
      <c r="C53" s="115">
        <f>C52/C49</f>
        <v>0.09610205031</v>
      </c>
      <c r="D53" s="103"/>
      <c r="E53" s="115">
        <f t="shared" ref="E53:F53" si="15">E52/E49</f>
        <v>0.03563972802</v>
      </c>
      <c r="F53" s="115">
        <f t="shared" si="15"/>
        <v>0.09415753688</v>
      </c>
      <c r="J53" s="27" t="s">
        <v>150</v>
      </c>
      <c r="K53" s="27"/>
      <c r="L53" s="27"/>
      <c r="M53" s="27"/>
      <c r="N53" s="27"/>
    </row>
    <row r="54">
      <c r="B54" s="102" t="s">
        <v>301</v>
      </c>
      <c r="C54" s="114">
        <f t="array" ref="C54">IFERROR(INDEX('LK Summary Data'!$S$152:$S$163,MATCH($C$3,'LK Summary Data'!$A$152:$A$163,0)),"")</f>
        <v>14863450511</v>
      </c>
      <c r="D54" s="103"/>
      <c r="E54" s="114">
        <f t="array" ref="E54">IFERROR(INDEX('LK Summary Data'!$R$184:$R$195,MATCH($C$3,'LK Summary Data'!$A$184:$A$195,0)),"")</f>
        <v>8733262446</v>
      </c>
      <c r="F54" s="114">
        <f t="array" ref="F54">IFERROR(INDEX('LK Summary Data'!$T$216:$T$227,MATCH($C$3,'LK Summary Data'!$A$216:$A$227,0)),"")</f>
        <v>5911772770</v>
      </c>
      <c r="J54" s="27" t="s">
        <v>193</v>
      </c>
      <c r="K54" s="27"/>
      <c r="L54" s="27"/>
      <c r="M54" s="27"/>
      <c r="N54" s="27"/>
    </row>
    <row r="55">
      <c r="B55" s="102" t="s">
        <v>321</v>
      </c>
      <c r="C55" s="115">
        <f>C54/C49</f>
        <v>0.04326302935</v>
      </c>
      <c r="D55" s="103"/>
      <c r="E55" s="115">
        <f t="shared" ref="E55:F55" si="16">E54/E49</f>
        <v>0.03567235911</v>
      </c>
      <c r="F55" s="115">
        <f t="shared" si="16"/>
        <v>0.09245499374</v>
      </c>
      <c r="J55" s="27" t="s">
        <v>264</v>
      </c>
      <c r="K55" s="27"/>
      <c r="L55" s="27"/>
      <c r="M55" s="27"/>
      <c r="N55" s="27"/>
    </row>
    <row r="56"/>
    <row r="57"/>
    <row r="58"/>
    <row r="59"/>
    <row r="60">
      <c r="A60" s="9" t="s">
        <v>325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/>
    <row r="62">
      <c r="B62" s="125" t="str">
        <f>"Konsolidasi Jan - "&amp;$C$3&amp;" 2026"</f>
        <v>Konsolidasi Jan - September 2026</v>
      </c>
      <c r="C62" s="125"/>
      <c r="D62" s="125"/>
      <c r="E62" s="125"/>
    </row>
    <row r="63">
      <c r="B63" s="26" t="s">
        <v>327</v>
      </c>
      <c r="C63" s="26" t="s">
        <v>5</v>
      </c>
      <c r="D63" s="26" t="s">
        <v>328</v>
      </c>
      <c r="E63" s="26" t="s">
        <v>329</v>
      </c>
      <c r="F63" s="26" t="s">
        <v>292</v>
      </c>
    </row>
    <row r="64">
      <c r="B64" s="27" t="s">
        <v>330</v>
      </c>
      <c r="C64" s="129">
        <f t="array" ref="C64">IFERROR(INDEX('LK Summary Data'!$AN$23:$AN$34,MATCH($C$3,'LK Summary Data'!$A$23:$A$34,0))/INDEX('LK Summary Data'!$BL$23:$BL$34,MATCH($C$3,'LK Summary Data'!$A$23:$A$34,0)),"")</f>
        <v>1.145487402</v>
      </c>
      <c r="D64" s="130" t="str">
        <f t="shared" ref="D64:D65" si="17">'Industry &amp; Competitor Analysis'!L5</f>
        <v>#REF!</v>
      </c>
      <c r="E64" s="130" t="str">
        <f>TEXT('Industry &amp; Competitor Analysis'!K$5,"0.00")&amp;" - "&amp;TEXT('Industry &amp; Competitor Analysis'!M$5,"0.00")</f>
        <v>#REF!</v>
      </c>
      <c r="F64" s="133"/>
    </row>
    <row r="65">
      <c r="B65" s="27" t="s">
        <v>334</v>
      </c>
      <c r="C65" s="129">
        <f t="array" ref="C65">IFERROR((INDEX('LK Summary Data'!$AN$23:$AN$34,MATCH($C$3,'LK Summary Data'!$A$23:$A$34,0))-INDEX('LK Summary Data'!$AI$23:$AI$34,MATCH($C$3,'LK Summary Data'!$A$23:$A$34,0)))/INDEX('LK Summary Data'!$BL$23:$BL$34,MATCH($C$3,'LK Summary Data'!$A$23:$A$34,0)),"")</f>
        <v>0.7702872647</v>
      </c>
      <c r="D65" s="130" t="str">
        <f t="shared" si="17"/>
        <v>#REF!</v>
      </c>
      <c r="E65" s="130" t="str">
        <f>TEXT('Industry &amp; Competitor Analysis'!K$6,"0.00")&amp;" - "&amp;TEXT('Industry &amp; Competitor Analysis'!M$6,"0.00")</f>
        <v>#REF!</v>
      </c>
      <c r="F65" s="133"/>
    </row>
    <row r="66">
      <c r="B66" s="27" t="s">
        <v>335</v>
      </c>
      <c r="C66" s="129">
        <f t="array" ref="C66">IFERROR(INDEX('LK Summary Data'!$BT$23:$BT$34,MATCH($C$3,'LK Summary Data'!$A$23:$A$34,0))/INDEX('LK Summary Data'!$CC$23:$CC$34,MATCH($C$3,'LK Summary Data'!$A$23:$A$34,0)),"")</f>
        <v>1.727215304</v>
      </c>
      <c r="D66" s="130" t="str">
        <f>'Industry &amp; Competitor Analysis'!L8</f>
        <v>#REF!</v>
      </c>
      <c r="E66" s="130" t="str">
        <f>TEXT('Industry &amp; Competitor Analysis'!K$8,"0.00")&amp;" - "&amp;TEXT('Industry &amp; Competitor Analysis'!M$8,"0.00")</f>
        <v>#REF!</v>
      </c>
      <c r="F66" s="133"/>
    </row>
    <row r="67"/>
    <row r="68">
      <c r="B68" s="6" t="s">
        <v>336</v>
      </c>
    </row>
    <row r="69">
      <c r="B69" s="100" t="s">
        <v>337</v>
      </c>
      <c r="C69" s="100" t="s">
        <v>338</v>
      </c>
      <c r="D69" s="100" t="s">
        <v>339</v>
      </c>
      <c r="E69" s="100" t="s">
        <v>340</v>
      </c>
      <c r="F69" s="100" t="s">
        <v>341</v>
      </c>
    </row>
    <row r="70">
      <c r="B70" s="100" t="s">
        <v>330</v>
      </c>
      <c r="C70" s="100"/>
      <c r="D70" s="100"/>
      <c r="E70" s="100"/>
      <c r="F70" s="100"/>
    </row>
    <row r="71">
      <c r="B71" s="100" t="s">
        <v>334</v>
      </c>
      <c r="C71" s="100"/>
      <c r="D71" s="100"/>
      <c r="E71" s="100"/>
      <c r="F71" s="100"/>
    </row>
    <row r="72">
      <c r="B72" s="100" t="s">
        <v>335</v>
      </c>
      <c r="C72" s="100"/>
      <c r="D72" s="100"/>
      <c r="E72" s="100"/>
      <c r="F72" s="100"/>
    </row>
    <row r="73"/>
    <row r="74">
      <c r="B74" s="100" t="s">
        <v>342</v>
      </c>
      <c r="C74" s="100"/>
      <c r="D74" s="100"/>
      <c r="E74" s="100"/>
      <c r="F74" s="100"/>
    </row>
    <row r="75">
      <c r="B75" s="100" t="s">
        <v>343</v>
      </c>
      <c r="C75" s="100"/>
      <c r="D75" s="100"/>
      <c r="E75" s="100"/>
      <c r="F75" s="100"/>
    </row>
    <row r="76">
      <c r="B76" s="100" t="s">
        <v>344</v>
      </c>
      <c r="C76" s="100"/>
      <c r="D76" s="100"/>
      <c r="E76" s="100"/>
      <c r="F76" s="100"/>
    </row>
    <row r="77">
      <c r="B77" s="100" t="s">
        <v>345</v>
      </c>
      <c r="C77" s="100"/>
      <c r="D77" s="100"/>
      <c r="E77" s="100"/>
      <c r="F77" s="100"/>
    </row>
    <row r="78"/>
    <row r="79"/>
    <row r="80">
      <c r="B80" s="55" t="s">
        <v>346</v>
      </c>
      <c r="C80" s="55" t="s">
        <v>315</v>
      </c>
      <c r="D80" s="55" t="s">
        <v>309</v>
      </c>
      <c r="E80" s="55" t="s">
        <v>310</v>
      </c>
    </row>
    <row r="81">
      <c r="B81" s="27" t="s">
        <v>330</v>
      </c>
      <c r="C81" s="129" t="str">
        <f t="array" ref="C81">IFERROR(INDEX('LK Summary Data'!$AN$153:$AN$163,MATCH($C$3,'LK Summary Data'!$A$136:$A$147,0))/INDEX('LK Summary Data'!$BJ$153:$BJ$163,MATCH($C$3,'LK Summary Data'!$A$136:$A$147,0)),"")</f>
        <v/>
      </c>
      <c r="D81" s="129" t="str">
        <f t="array" ref="D81">IFERROR(INDEX('LK Summary Data'!$AO$153:$AO$163,MATCH($C$3,'LK Summary Data'!$A$184:$A$195,0))/INDEX('LK Summary Data'!$BJ$153:$BJ$163,MATCH($C$3,'LK Summary Data'!$A$184:$A$195,0)),"")</f>
        <v/>
      </c>
      <c r="E81" s="129" t="str">
        <f t="array" ref="E81">IFERROR(INDEX('LK Summary Data'!$AN$216:$AN$227,MATCH($C$3,'LK Summary Data'!$A$216:$A$227,0))/INDEX('LK Summary Data'!$BJ$216:$BJ$227,MATCH($C$3,'LK Summary Data'!$A$216:$A$227,0)),"")</f>
        <v/>
      </c>
    </row>
    <row r="82">
      <c r="B82" s="27" t="s">
        <v>334</v>
      </c>
      <c r="C82" s="129" t="str">
        <f t="array" ref="C82">IFERROR((INDEX('LK Summary Data'!$AN$153:$AN$163,MATCH($C$3,'LK Summary Data'!$A$136:$A$147,0))-INDEX('LK Summary Data'!$AJ$153:$AJ$163,MATCH($C$3,'LK Summary Data'!$A$136:$A$147,0)))/INDEX('LK Summary Data'!$BJ$153:$BJ$163,MATCH($C$3,'LK Summary Data'!$A$136:$A$147,0)),"")</f>
        <v/>
      </c>
      <c r="D82" s="129" t="str">
        <f t="array" ref="D82">IFERROR((INDEX('LK Summary Data'!$AO$153:$AO$163,MATCH($C$3,'LK Summary Data'!$A$184:$A$195,0))-INDEX('LK Summary Data'!$AJ$153:$AJ$163,MATCH($C$3,'LK Summary Data'!$A$184:$A$195,0)))/INDEX('LK Summary Data'!$BJ$153:$BJ$163,MATCH($C$3,'LK Summary Data'!$A$184:$A$195,0)),"")</f>
        <v/>
      </c>
      <c r="E82" s="129" t="str">
        <f t="array" ref="E82">IFERROR((INDEX('LK Summary Data'!$AN$216:$AN$227,MATCH($C$3,'LK Summary Data'!$A$216:$A$227,0))-INDEX('LK Summary Data'!$AJ$216:$AJ$227,MATCH($C$3,'LK Summary Data'!$A$216:$A$227,0)))/INDEX('LK Summary Data'!$BJ$216:$BJ$227,MATCH($C$3,'LK Summary Data'!$A$216:$A$227,0)),"")</f>
        <v/>
      </c>
    </row>
    <row r="83">
      <c r="B83" s="27" t="s">
        <v>335</v>
      </c>
      <c r="C83" s="129">
        <f t="array" ref="C83">IFERROR(INDEX('LK Summary Data'!$BQ$153:$BQ$163,MATCH($C$3,'LK Summary Data'!$A$136:$A$147,0))/INDEX('LK Summary Data'!$BX$153:$BX$163,MATCH($C$3,'LK Summary Data'!$A$136:$A$147,0)),"")</f>
        <v>0.5709560406</v>
      </c>
      <c r="D83" s="129">
        <f t="array" ref="D83">IFERROR(INDEX('LK Summary Data'!$BQ$153:$BQ$163,MATCH($C$3,'LK Summary Data'!$A$184:$A$195,0))/INDEX('LK Summary Data'!$BX$153:$BX$163,MATCH($C$3,'LK Summary Data'!$A$184:$A$195,0)),"")</f>
        <v>0.5709560406</v>
      </c>
      <c r="E83" s="129">
        <f t="array" ref="E83">IFERROR(INDEX('LK Summary Data'!$BQ$216:$BQ$227,MATCH($C$3,'LK Summary Data'!$A$216:$A$227,0))/INDEX('LK Summary Data'!$BY$216:$BY$227,MATCH($C$3,'LK Summary Data'!$A$216:$A$227,0)),"")</f>
        <v>0.3286613603</v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ataValidations>
    <dataValidation type="list" allowBlank="1" showErrorMessage="1" sqref="C3">
      <formula1>"January,February,March,April,May,June,July,August,September,November,December"</formula1>
    </dataValidation>
  </dataValidations>
  <drawing r:id="rId1"/>
</worksheet>
</file>