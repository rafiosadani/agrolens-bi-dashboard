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y &amp; Competitor Analysis" sheetId="1" r:id="rId5"/>
  </sheets>
  <definedNames/>
  <calcPr/>
</workbook>
</file>

<file path=xl/sharedStrings.xml><?xml version="1.0" encoding="utf-8"?>
<sst xmlns="http://schemas.openxmlformats.org/spreadsheetml/2006/main" count="4433" uniqueCount="556">
  <si>
    <t>Rasio-Rasio Keuangan Perusahaan Pupuk di Indonesia</t>
  </si>
  <si>
    <t>Rasio Keuangan Tahunan 2021-2025 (Berdasarkan 3 Perusahaan Pupuk di Indonesia)</t>
  </si>
  <si>
    <t>Rasio Keuangan 2021-2025 (Berdasarkan 4 Perusahaan Pupuk di Indonesia)</t>
  </si>
  <si>
    <t>Rasio Keuangan 2021-2025 PT Pupuk Kalimatan Timur</t>
  </si>
  <si>
    <t>Rasio Keuangan 2021-2025 PT Saraswati Anugerah Makmur Tbk</t>
  </si>
  <si>
    <t>Rasio Keuangan 2021-2025 PT Delta Giri Wacana Tbk</t>
  </si>
  <si>
    <t>Rasio Keuangan 2021-2025 PT Nusa Palapa Gemilang Tbk</t>
  </si>
  <si>
    <t>Metric</t>
  </si>
  <si>
    <t>Min</t>
  </si>
  <si>
    <t>Q1 / Lower Benchmark</t>
  </si>
  <si>
    <t>Median</t>
  </si>
  <si>
    <t>Q3 / Upper Benchmark</t>
  </si>
  <si>
    <t>Max</t>
  </si>
  <si>
    <t>Gross Profit Margin (GPM)</t>
  </si>
  <si>
    <t>Current Ratio</t>
  </si>
  <si>
    <t>DIO</t>
  </si>
  <si>
    <t>Operating Profit Margin (OPM)</t>
  </si>
  <si>
    <t>Quick Ratio</t>
  </si>
  <si>
    <t>DSO</t>
  </si>
  <si>
    <t>Net Profit Margin (NPM)</t>
  </si>
  <si>
    <t>Inventory Turnover</t>
  </si>
  <si>
    <t>DPO</t>
  </si>
  <si>
    <t>EBITDA Margin</t>
  </si>
  <si>
    <t>Debt to Equity Ratio (DER)</t>
  </si>
  <si>
    <t>CCC</t>
  </si>
  <si>
    <t>ROA</t>
  </si>
  <si>
    <t>NWC</t>
  </si>
  <si>
    <t>ROE</t>
  </si>
  <si>
    <t>Profitability Ratio</t>
  </si>
  <si>
    <t>Competitor Name</t>
  </si>
  <si>
    <t>GPM 2025</t>
  </si>
  <si>
    <t>GPM 2024</t>
  </si>
  <si>
    <t>GPM 2023</t>
  </si>
  <si>
    <t>GPM 2022</t>
  </si>
  <si>
    <t>GPM 2021</t>
  </si>
  <si>
    <t>OPM 2025</t>
  </si>
  <si>
    <t>OPM 2024</t>
  </si>
  <si>
    <t>OPM 2023</t>
  </si>
  <si>
    <t>OPM 2022</t>
  </si>
  <si>
    <t>OPM 2021</t>
  </si>
  <si>
    <t>NPM 2025</t>
  </si>
  <si>
    <t>NPM 2024</t>
  </si>
  <si>
    <t>NPM 2023</t>
  </si>
  <si>
    <t>NPM 2022</t>
  </si>
  <si>
    <t>NPM 2021</t>
  </si>
  <si>
    <t>ROA 2025</t>
  </si>
  <si>
    <t>ROA 2024</t>
  </si>
  <si>
    <t>ROA 2023</t>
  </si>
  <si>
    <t>ROA 2022</t>
  </si>
  <si>
    <t>ROA 2021</t>
  </si>
  <si>
    <t>ROE 2025</t>
  </si>
  <si>
    <t>ROE 2024</t>
  </si>
  <si>
    <t>ROE 2023</t>
  </si>
  <si>
    <t>ROE 2022</t>
  </si>
  <si>
    <t>ROE 2021</t>
  </si>
  <si>
    <t>PT Pupuk Kalimatan Timur</t>
  </si>
  <si>
    <t>PT Saraswati Anugerah Makmur Tbk</t>
  </si>
  <si>
    <t>PT Delta Giri Wacana Tbk</t>
  </si>
  <si>
    <t>PT Nusa Palapa Gemilang Tbk</t>
  </si>
  <si>
    <t>Rasio Keuangan Quartal 2023-2026 (Berdasarkan 3 Perusahaan Pupuk di Indonesia)</t>
  </si>
  <si>
    <t>Rasio Keuangan Quartal 2023-2026 (PT Pupuk Kalimatan Timur)</t>
  </si>
  <si>
    <t>Rasio Keuangan Quartal 2023-2026 (PT Saraswati Anugerah Makmur Tbk)</t>
  </si>
  <si>
    <t>Rasio Keuangan Quartal 2023-2026 (PT Delta Giri Wacana Tbk)</t>
  </si>
  <si>
    <t>Rasio Keuangan Quartal 2023-2026 (PT Nusa Palapa Gemilang Tbk)</t>
  </si>
  <si>
    <t>GPM Q2 2026</t>
  </si>
  <si>
    <t>GPM Q1 2026</t>
  </si>
  <si>
    <t>GPM Q4 2025</t>
  </si>
  <si>
    <t>GPM Q3 2025</t>
  </si>
  <si>
    <t>GPM Q2 2025</t>
  </si>
  <si>
    <t>GPM Q1 2025</t>
  </si>
  <si>
    <t>GPM Q4 2024</t>
  </si>
  <si>
    <t>GPM Q3 2024</t>
  </si>
  <si>
    <t>GPM Q2 2024</t>
  </si>
  <si>
    <t>GPM Q1 2024</t>
  </si>
  <si>
    <t>GPM Q4 2023</t>
  </si>
  <si>
    <t>GPM Q3 2023</t>
  </si>
  <si>
    <t>GPM Q2 2023</t>
  </si>
  <si>
    <t>GPM Q1 2023</t>
  </si>
  <si>
    <t>OPM Q2 2026</t>
  </si>
  <si>
    <t>OPM Q1 2026</t>
  </si>
  <si>
    <t>OPM Q4 2025</t>
  </si>
  <si>
    <t>OPM Q3 2025</t>
  </si>
  <si>
    <t>OPM Q2 2025</t>
  </si>
  <si>
    <t>OPM Q1 2025</t>
  </si>
  <si>
    <t>OPM Q4 2024</t>
  </si>
  <si>
    <t>OPM Q3 2024</t>
  </si>
  <si>
    <t>OPM Q2 2024</t>
  </si>
  <si>
    <t>OPM Q1 2024</t>
  </si>
  <si>
    <t>OPM Q4 2023</t>
  </si>
  <si>
    <t>OPM Q3 2023</t>
  </si>
  <si>
    <t>OPM Q2 2023</t>
  </si>
  <si>
    <t>OPM Q1 2023</t>
  </si>
  <si>
    <t>NPM Q2 2026</t>
  </si>
  <si>
    <t>NPM Q1 2026</t>
  </si>
  <si>
    <t>NPM Q4 2025</t>
  </si>
  <si>
    <t>NPM Q3 2025</t>
  </si>
  <si>
    <t>NPM Q2 2025</t>
  </si>
  <si>
    <t>NPM Q1 2025</t>
  </si>
  <si>
    <t>NPM Q4 2024</t>
  </si>
  <si>
    <t>NPM Q3 2024</t>
  </si>
  <si>
    <t>NPM Q2 2024</t>
  </si>
  <si>
    <t>NPM Q1 2024</t>
  </si>
  <si>
    <t>NPM Q4 2023</t>
  </si>
  <si>
    <t>NPM Q3 2023</t>
  </si>
  <si>
    <t>NPM Q2 2023</t>
  </si>
  <si>
    <t>NPM Q1 2023</t>
  </si>
  <si>
    <t>ROA Q2 2026</t>
  </si>
  <si>
    <t>ROA Q1 2026</t>
  </si>
  <si>
    <t>ROA Q4 2025</t>
  </si>
  <si>
    <t>ROA Q3 2025</t>
  </si>
  <si>
    <t>ROA Q2 2025</t>
  </si>
  <si>
    <t>ROA Q1 2025</t>
  </si>
  <si>
    <t>ROA Q4 2024</t>
  </si>
  <si>
    <t>ROA Q3 2024</t>
  </si>
  <si>
    <t>ROA Q2 2024</t>
  </si>
  <si>
    <t>ROA Q1 2024</t>
  </si>
  <si>
    <t>ROA Q4 2023</t>
  </si>
  <si>
    <t>ROA Q3 2023</t>
  </si>
  <si>
    <t>ROA Q2 2023</t>
  </si>
  <si>
    <t>ROA Q1 2023</t>
  </si>
  <si>
    <t>ROE Q2 2026</t>
  </si>
  <si>
    <t>ROE Q1 2026</t>
  </si>
  <si>
    <t>ROE Q4 2025</t>
  </si>
  <si>
    <t>ROE Q3 2025</t>
  </si>
  <si>
    <t>ROE Q2 2025</t>
  </si>
  <si>
    <t>ROE Q1 2025</t>
  </si>
  <si>
    <t>ROE Q4 2024</t>
  </si>
  <si>
    <t>ROE Q3 2024</t>
  </si>
  <si>
    <t>ROE Q2 2024</t>
  </si>
  <si>
    <t>ROE Q1 2024</t>
  </si>
  <si>
    <t>ROE Q4 2023</t>
  </si>
  <si>
    <t>ROE Q3 2023</t>
  </si>
  <si>
    <t>ROE Q2 2023</t>
  </si>
  <si>
    <t>ROE Q1 2023</t>
  </si>
  <si>
    <t>2026 Kuartal I GPM</t>
  </si>
  <si>
    <t>OPM</t>
  </si>
  <si>
    <t>NPM</t>
  </si>
  <si>
    <t>TAHUNAN</t>
  </si>
  <si>
    <t>QUARTAL</t>
  </si>
  <si>
    <t>FY 2025</t>
  </si>
  <si>
    <t>FY 2024</t>
  </si>
  <si>
    <t>FY 2023</t>
  </si>
  <si>
    <t>FY 2022</t>
  </si>
  <si>
    <t>FY 2021</t>
  </si>
  <si>
    <t>Q2 2026</t>
  </si>
  <si>
    <t>Q1 2026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</si>
  <si>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</si>
  <si>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</si>
  <si>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</si>
  <si>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</si>
  <si>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</si>
  <si>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</si>
  <si>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</si>
  <si>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</si>
  <si>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</si>
  <si>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</si>
  <si>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</si>
  <si>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</si>
  <si>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Days Inventory Outstanding</t>
  </si>
  <si>
    <t>Days Sales Outstanding</t>
  </si>
  <si>
    <t>Days Payable Outstanding</t>
  </si>
  <si>
    <t>Cash Conversion Cycle (CCC)</t>
  </si>
  <si>
    <t>Net Working Capital</t>
  </si>
  <si>
    <t>EBITDA MARGIN</t>
  </si>
  <si>
    <t>PT Saraswati Anugerah Makmur Tbk - INCOME STATEMENT</t>
  </si>
  <si>
    <t>PT Saraswati Anugerah Makmur Tbk - BALANCE SHEET</t>
  </si>
  <si>
    <t>PT Saraswati Anugerah Makmur Tbk - CASH FLOW</t>
  </si>
  <si>
    <t>PT Saraswati Anugerah Makmur Tbk - RATIOS</t>
  </si>
  <si>
    <t>Saraswati</t>
  </si>
  <si>
    <t>Keterangan</t>
  </si>
  <si>
    <t>Fiscal Year</t>
  </si>
  <si>
    <t>TTM</t>
  </si>
  <si>
    <t>Current</t>
  </si>
  <si>
    <t>Item</t>
  </si>
  <si>
    <t>2024 (Rp) Juni</t>
  </si>
  <si>
    <t>2023 (Rp) Juni</t>
  </si>
  <si>
    <t>2022 (Rp) Juni</t>
  </si>
  <si>
    <t>2021 (Rp) Juni</t>
  </si>
  <si>
    <t>Historical Beban Gaji Konsolidasi</t>
  </si>
  <si>
    <t>Bahan baku</t>
  </si>
  <si>
    <t>Period Ending</t>
  </si>
  <si>
    <t>Sales (Penjualan)</t>
  </si>
  <si>
    <t>Bahan pembantu</t>
  </si>
  <si>
    <r>
      <rPr>
        <rFont val="ui-sans-serif, system-ui, sans-serif, &quot;Apple Color Emoji&quot;, &quot;Segoe UI Emoji&quot;, &quot;Segoe UI Symbol&quot;, &quot;Noto Color Emoji&quot;"/>
        <color rgb="FF1155CC"/>
        <sz val="12.0"/>
        <u/>
      </rPr>
      <t>Revenue</t>
    </r>
  </si>
  <si>
    <t>Cash &amp; Equivalents</t>
  </si>
  <si>
    <t>Net Income</t>
  </si>
  <si>
    <r>
      <rPr>
        <rFont val="ui-sans-serif, system-ui, sans-serif, &quot;Apple Color Emoji&quot;, &quot;Segoe UI Emoji&quot;, &quot;Segoe UI Symbol&quot;, &quot;Noto Color Emoji&quot;"/>
        <color rgb="FF1155CC"/>
        <sz val="12.0"/>
        <u/>
      </rPr>
      <t>Market Capitalization</t>
    </r>
  </si>
  <si>
    <t>Cost of Sales (Beban Pokok Penjualan)</t>
  </si>
  <si>
    <t>Revenue Growth (YoY)</t>
  </si>
  <si>
    <t>Cash &amp; Short-Term Investments</t>
  </si>
  <si>
    <t>Depreciation &amp; Amortization</t>
  </si>
  <si>
    <t>Market Cap Growth</t>
  </si>
  <si>
    <t>Gross Profit (Laba Bruto)</t>
  </si>
  <si>
    <t>Beban Gaji PHL</t>
  </si>
  <si>
    <t>Cost of Revenue</t>
  </si>
  <si>
    <t>Cash Growth</t>
  </si>
  <si>
    <t>Other Operating Activities</t>
  </si>
  <si>
    <t>Enterprise Value</t>
  </si>
  <si>
    <t>Other Income (Pendapatan lain-lain)</t>
  </si>
  <si>
    <t>Beban Gaji Staff Pabrik</t>
  </si>
  <si>
    <t>Gross Profit</t>
  </si>
  <si>
    <t>Accounts Receivable</t>
  </si>
  <si>
    <t>Operating Cash Flow</t>
  </si>
  <si>
    <t>Last Close Price</t>
  </si>
  <si>
    <t>Finance Income (Pendapatan keuangan)</t>
  </si>
  <si>
    <t>Beban Gaji Staff Kantor</t>
  </si>
  <si>
    <t>Selling, General &amp; Admin</t>
  </si>
  <si>
    <t>Receivables</t>
  </si>
  <si>
    <t>Operating Cash Flow Growth</t>
  </si>
  <si>
    <t>-</t>
  </si>
  <si>
    <t>PE Ratio</t>
  </si>
  <si>
    <t>Selling Expenses (Beban penjualan)</t>
  </si>
  <si>
    <t>Beban Gaji BOD</t>
  </si>
  <si>
    <t>Other Operating Expenses</t>
  </si>
  <si>
    <t>Inventory</t>
  </si>
  <si>
    <t>Capital Expenditures</t>
  </si>
  <si>
    <t>PS Ratio</t>
  </si>
  <si>
    <t>General &amp; Administrative Expenses (Beban umum &amp; administrasi)</t>
  </si>
  <si>
    <t>Beban Gaji Principal</t>
  </si>
  <si>
    <t>Pemakaian bahan baku dan pembantu</t>
  </si>
  <si>
    <t>Operating Expenses</t>
  </si>
  <si>
    <t>Prepaid Expenses</t>
  </si>
  <si>
    <t>Sale of Property, Plant &amp; Equipment</t>
  </si>
  <si>
    <t>PB Ratio</t>
  </si>
  <si>
    <t>Finance Expenses (Beban keuangan)</t>
  </si>
  <si>
    <t>Beban Gaji Managemen</t>
  </si>
  <si>
    <t>Pemakaian bahan baku</t>
  </si>
  <si>
    <t>Operating Income</t>
  </si>
  <si>
    <t>Other Current Assets</t>
  </si>
  <si>
    <t>Investment in Securities</t>
  </si>
  <si>
    <t>P/TBV Ratio</t>
  </si>
  <si>
    <t>Other Expenses (Beban lain-lain)</t>
  </si>
  <si>
    <t>Beban Tenaga Kerja Tidak Langsung</t>
  </si>
  <si>
    <t>Pemakaian bahan pembantu</t>
  </si>
  <si>
    <t>Interest Expense</t>
  </si>
  <si>
    <t>Total Current Assets</t>
  </si>
  <si>
    <t>Investing Cash Flow</t>
  </si>
  <si>
    <t>P/FCF Ratio</t>
  </si>
  <si>
    <t>Profit Before Tax (Laba Sebelum Pajak)</t>
  </si>
  <si>
    <t>Beban Tenaga Kerja Langsung</t>
  </si>
  <si>
    <t>Jumlah (Catatan 6)</t>
  </si>
  <si>
    <t>Interest &amp; Investment Income</t>
  </si>
  <si>
    <t>Property, Plant &amp; Equipment</t>
  </si>
  <si>
    <t>Short-Term Debt Issued</t>
  </si>
  <si>
    <t>P/OCF Ratio</t>
  </si>
  <si>
    <t>Current Tax (Pajak kini)</t>
  </si>
  <si>
    <t>Beban Gaji Staff Laboratorium</t>
  </si>
  <si>
    <t>Currency Exchange Gain (Loss)</t>
  </si>
  <si>
    <t>Long-Term Investments</t>
  </si>
  <si>
    <t>Long-Term Debt Issued</t>
  </si>
  <si>
    <t>EV/Sales Ratio</t>
  </si>
  <si>
    <t>Deferred Tax (Pajak tangguhan)</t>
  </si>
  <si>
    <t>Total Beban Gaji</t>
  </si>
  <si>
    <t>Gaji dan upah tenaga kerja</t>
  </si>
  <si>
    <t>Other Non Operating Income (Expenses)</t>
  </si>
  <si>
    <t>Long-Term Deferred Tax Assets</t>
  </si>
  <si>
    <t>Total Debt Issued</t>
  </si>
  <si>
    <t>EV/EBITDA Ratio</t>
  </si>
  <si>
    <t>Income Tax Expense (Beban Pajak Penghasilan)</t>
  </si>
  <si>
    <t>Total Beban</t>
  </si>
  <si>
    <t>Penyusutan (Catatan 8)</t>
  </si>
  <si>
    <t>EBT Excluding Unusual Items</t>
  </si>
  <si>
    <t>Total Assets</t>
  </si>
  <si>
    <t>Short-Term Debt Repaid</t>
  </si>
  <si>
    <t>EV/EBIT Ratio</t>
  </si>
  <si>
    <t>Profit for the Year (Laba Tahun Berjalan)</t>
  </si>
  <si>
    <t>% Beban Gaji terhadap Total Beban</t>
  </si>
  <si>
    <t>Biaya overhead pabrik</t>
  </si>
  <si>
    <t>Gain (Loss) on Sale of Assets</t>
  </si>
  <si>
    <t>Accounts Payable</t>
  </si>
  <si>
    <t>Long-Term Debt Repaid</t>
  </si>
  <si>
    <t>EV/FCF Ratio</t>
  </si>
  <si>
    <t>% Beban Gaji terhadap Revenue</t>
  </si>
  <si>
    <t>Jumlah biaya produksi</t>
  </si>
  <si>
    <t>Other Unusual Items</t>
  </si>
  <si>
    <t>Accrued Expenses</t>
  </si>
  <si>
    <t>Total Debt Repaid</t>
  </si>
  <si>
    <t>Debt / Equity Ratio</t>
  </si>
  <si>
    <t xml:space="preserve">Laba Operasi </t>
  </si>
  <si>
    <t>Total Beban Gaji (Milliar)</t>
  </si>
  <si>
    <t>Persediaan barang jadi awal tahun</t>
  </si>
  <si>
    <t>Pretax Income</t>
  </si>
  <si>
    <t>Short-Term Debt</t>
  </si>
  <si>
    <t>Net Debt Issued (Repaid)</t>
  </si>
  <si>
    <t>Debt / EBITDA Ratio</t>
  </si>
  <si>
    <t>Persediaan barang jadi akhir tahun</t>
  </si>
  <si>
    <t>Income Tax Expense</t>
  </si>
  <si>
    <t>Current Portion of Long-Term Debt</t>
  </si>
  <si>
    <t>Common Dividends Paid</t>
  </si>
  <si>
    <t>Debt / FCF Ratio</t>
  </si>
  <si>
    <t>Angkut dan distribusi</t>
  </si>
  <si>
    <t>Earnings From Continuing Operations</t>
  </si>
  <si>
    <t>Current Portion of Leases</t>
  </si>
  <si>
    <t>Financing Cash Flow</t>
  </si>
  <si>
    <t>Net Debt / Equity Ratio</t>
  </si>
  <si>
    <t>Historical Beban Transport Konsolidasi</t>
  </si>
  <si>
    <t>Pemasaran</t>
  </si>
  <si>
    <t>Minority Interest in Earnings</t>
  </si>
  <si>
    <t>Current Income Taxes Payable</t>
  </si>
  <si>
    <t>Net Cash Flow</t>
  </si>
  <si>
    <t>Net Debt / EBITDA Ratio</t>
  </si>
  <si>
    <t>Penelitian dan pengembangan</t>
  </si>
  <si>
    <t>Current Unearned Revenue</t>
  </si>
  <si>
    <t>Free Cash Flow</t>
  </si>
  <si>
    <t>Net Debt / FCF Ratio</t>
  </si>
  <si>
    <t>Analisa</t>
  </si>
  <si>
    <t>Net Income to Common</t>
  </si>
  <si>
    <t>Other Current Liabilities</t>
  </si>
  <si>
    <t>Free Cash Flow Growth</t>
  </si>
  <si>
    <t>Asset Turnover</t>
  </si>
  <si>
    <t>Beban Transportasi Produk Jadi</t>
  </si>
  <si>
    <t>Promosi</t>
  </si>
  <si>
    <t>Net Income Growth</t>
  </si>
  <si>
    <t>Total Current Liabilities</t>
  </si>
  <si>
    <t>Free Cash Flow Margin</t>
  </si>
  <si>
    <t>Beban Transportasi Bahan Baku</t>
  </si>
  <si>
    <t>Biaya gaji dan tunjangan</t>
  </si>
  <si>
    <t>Shares Outstanding (Basic)</t>
  </si>
  <si>
    <t>Long-Term Debt</t>
  </si>
  <si>
    <t>Free Cash Flow Per Share</t>
  </si>
  <si>
    <t>Beban Transportasi Impor</t>
  </si>
  <si>
    <t>Biaya kantor dan umum</t>
  </si>
  <si>
    <t>Shares Outstanding (Diluted)</t>
  </si>
  <si>
    <t>Long-Term Leases</t>
  </si>
  <si>
    <t>Cash Interest Paid</t>
  </si>
  <si>
    <t>Beban Transportasi Lainnya</t>
  </si>
  <si>
    <t>Biaya penyusutan (Catatan 8)</t>
  </si>
  <si>
    <t>EPS (Basic)</t>
  </si>
  <si>
    <t>Pension &amp; Post-Retirement Benefits</t>
  </si>
  <si>
    <t>Cash Income Tax Paid</t>
  </si>
  <si>
    <t>Return on Equity (ROE)</t>
  </si>
  <si>
    <t>Total Biaya Transportasi</t>
  </si>
  <si>
    <t>Biaya profesional fee</t>
  </si>
  <si>
    <t>EPS (Diluted)</t>
  </si>
  <si>
    <t>Total Liabilities</t>
  </si>
  <si>
    <t>Levered Free Cash Flow</t>
  </si>
  <si>
    <t>Return on Assets (ROA)</t>
  </si>
  <si>
    <t>% Beban Transportasi to Total Beban</t>
  </si>
  <si>
    <t>Biaya asuransi</t>
  </si>
  <si>
    <t>EPS Growth</t>
  </si>
  <si>
    <t>Common Stock</t>
  </si>
  <si>
    <t>Unlevered Free Cash Flow</t>
  </si>
  <si>
    <t>Return on Invested Capital (ROIC)</t>
  </si>
  <si>
    <t>% Biaya Transportasi to Revenue</t>
  </si>
  <si>
    <t>Biaya perjalanan dinas</t>
  </si>
  <si>
    <t>Additional Paid-In Capital</t>
  </si>
  <si>
    <t>Return on Capital Employed (ROCE)</t>
  </si>
  <si>
    <t>Biaya Transport Produk Jadi per kg</t>
  </si>
  <si>
    <t>Biaya utilitas</t>
  </si>
  <si>
    <t>Retained Earnings</t>
  </si>
  <si>
    <t>Earnings Yield</t>
  </si>
  <si>
    <t>Total Biaya Transportasi (Milliar)</t>
  </si>
  <si>
    <t>Biaya perawatan</t>
  </si>
  <si>
    <t>Dividend Per Share</t>
  </si>
  <si>
    <t>Comprehensive Income &amp; Other</t>
  </si>
  <si>
    <t>FCF Yield</t>
  </si>
  <si>
    <t>Bunga MTN</t>
  </si>
  <si>
    <t>Dividend Growth</t>
  </si>
  <si>
    <t>Total Common Equity</t>
  </si>
  <si>
    <t>Dividend Yield</t>
  </si>
  <si>
    <t>Jasa giro</t>
  </si>
  <si>
    <t>Gross Margin</t>
  </si>
  <si>
    <t>Minority Interest</t>
  </si>
  <si>
    <t>Payout Ratio</t>
  </si>
  <si>
    <t>Historical Beban Pinjaman, Operasional, dan HPP</t>
  </si>
  <si>
    <t>Bunga pinjaman</t>
  </si>
  <si>
    <t>Operating Margin</t>
  </si>
  <si>
    <t>Shareholders' Equity</t>
  </si>
  <si>
    <t>Total Shareholder Return</t>
  </si>
  <si>
    <t>Jumlah</t>
  </si>
  <si>
    <t>Profit Margin</t>
  </si>
  <si>
    <t>Total Liabilities &amp; Equity</t>
  </si>
  <si>
    <t>Pendapatan denda</t>
  </si>
  <si>
    <t>Total Debt</t>
  </si>
  <si>
    <t>Beban Marjin Pinjaman</t>
  </si>
  <si>
    <t>Sewa</t>
  </si>
  <si>
    <t>EBITDA</t>
  </si>
  <si>
    <t>Net Cash (Debt)</t>
  </si>
  <si>
    <t>Beban Marjin Pinjaman (Milliar)</t>
  </si>
  <si>
    <t>Pendapatan selisih kurs</t>
  </si>
  <si>
    <t>Net Cash Per Share</t>
  </si>
  <si>
    <t>% Beban Margin Pinjaman to Revenue</t>
  </si>
  <si>
    <t>Lainnya (dibawah Rp50000000)</t>
  </si>
  <si>
    <t>D&amp;A For EBITDA</t>
  </si>
  <si>
    <t>Filing Date Shares Outstanding</t>
  </si>
  <si>
    <t>Pemulihan piutang</t>
  </si>
  <si>
    <t>EBIT</t>
  </si>
  <si>
    <t>Total Common Shares Outstanding</t>
  </si>
  <si>
    <t>Beban Operasional Pemasaran</t>
  </si>
  <si>
    <t>Despatch</t>
  </si>
  <si>
    <t>EBIT Margin</t>
  </si>
  <si>
    <t>Working Capital</t>
  </si>
  <si>
    <t>Beban Operasional Pemasaran (Milliar)</t>
  </si>
  <si>
    <t>Penurunan nilai piutang</t>
  </si>
  <si>
    <t>Effective Tax Rate</t>
  </si>
  <si>
    <t>Book Value Per Share</t>
  </si>
  <si>
    <t>% BOP to Revenue</t>
  </si>
  <si>
    <t>Beban denda</t>
  </si>
  <si>
    <t>Tangible Book Value</t>
  </si>
  <si>
    <t>Lainnya (dibawah Rp100000000)</t>
  </si>
  <si>
    <t>Tangible Book Value Per Share</t>
  </si>
  <si>
    <t>Harga Pokok Penjualan</t>
  </si>
  <si>
    <t>Source:</t>
  </si>
  <si>
    <t>Land</t>
  </si>
  <si>
    <t>Harga Pokok Penjualan (Milliar)</t>
  </si>
  <si>
    <t>https://stockanalysis.com/quote/idx/SAMF/financials/ratios/?utm_source=chatgpt.com</t>
  </si>
  <si>
    <t>Buildings</t>
  </si>
  <si>
    <t>% HPP to Revenue</t>
  </si>
  <si>
    <t>Machinery</t>
  </si>
  <si>
    <t>Construction In Progress</t>
  </si>
  <si>
    <t>Fiscal Quarter</t>
  </si>
  <si>
    <r>
      <rPr>
        <rFont val="ui-sans-serif, system-ui, sans-serif, &quot;Apple Color Emoji&quot;, &quot;Segoe UI Emoji&quot;, &quot;Segoe UI Symbol&quot;, &quot;Noto Color Emoji&quot;"/>
        <color rgb="FF1155CC"/>
        <sz val="12.0"/>
        <u/>
      </rPr>
      <t>Revenue</t>
    </r>
  </si>
  <si>
    <r>
      <rPr>
        <rFont val="ui-sans-serif, system-ui, sans-serif, &quot;Apple Color Emoji&quot;, &quot;Segoe UI Emoji&quot;, &quot;Segoe UI Symbol&quot;, &quot;Noto Color Emoji&quot;"/>
        <color rgb="FF1155CC"/>
        <sz val="12.0"/>
        <u/>
      </rPr>
      <t>Market Capitalization</t>
    </r>
  </si>
  <si>
    <t>Short-Term Investments</t>
  </si>
  <si>
    <t>Market Cap Growth (YoY)</t>
  </si>
  <si>
    <t>Cash Growth (YoY)</t>
  </si>
  <si>
    <t>Operating Cash Flow Growth (YoY)</t>
  </si>
  <si>
    <t>Other Financing Activities</t>
  </si>
  <si>
    <t>Miscellaneous Cash Flow Adjustments</t>
  </si>
  <si>
    <t>Net Income Growth (YoY)</t>
  </si>
  <si>
    <t>Free Cash Flow Growth (YoY)</t>
  </si>
  <si>
    <t>Shares Change (YoY)</t>
  </si>
  <si>
    <t>Other Long-Term Liabilities</t>
  </si>
  <si>
    <t>EPS Growth (YoY)</t>
  </si>
  <si>
    <t>Dividend Growth (YoY)</t>
  </si>
  <si>
    <t>Net Cash Growth (YoY)</t>
  </si>
  <si>
    <t>PT Delta Giri Wacana Tbk - INCOME STATEMENT</t>
  </si>
  <si>
    <t>PT Delta Giri Wacana Tbk - BALANCE SHEET</t>
  </si>
  <si>
    <t>PT Delta Giri Wacana Tbk - CASH FLOW</t>
  </si>
  <si>
    <t>PT Delta Giri Wacana Tbk - RATIOS</t>
  </si>
  <si>
    <t>Persediaan awal bahan baku</t>
  </si>
  <si>
    <t>Pembelian bahan baku</t>
  </si>
  <si>
    <r>
      <rPr>
        <rFont val="ui-sans-serif, system-ui, sans-serif, &quot;Apple Color Emoji&quot;, &quot;Segoe UI Emoji&quot;, &quot;Segoe UI Symbol&quot;, &quot;Noto Color Emoji&quot;"/>
        <color rgb="FF1155CC"/>
        <sz val="12.0"/>
        <u/>
      </rPr>
      <t>Revenue</t>
    </r>
  </si>
  <si>
    <r>
      <rPr>
        <rFont val="ui-sans-serif, system-ui, sans-serif, &quot;Apple Color Emoji&quot;, &quot;Segoe UI Emoji&quot;, &quot;Segoe UI Symbol&quot;, &quot;Noto Color Emoji&quot;"/>
        <color rgb="FF1155CC"/>
        <sz val="12.0"/>
        <u/>
      </rPr>
      <t>Market Capitalization</t>
    </r>
  </si>
  <si>
    <t>Jumlah bahan baku yang tersedia</t>
  </si>
  <si>
    <t>Persediaan akhir bahan baku</t>
  </si>
  <si>
    <t>Other Amortization</t>
  </si>
  <si>
    <t>Jumlah pemakaian bahan baku</t>
  </si>
  <si>
    <t>Beban produksi tidak langsung</t>
  </si>
  <si>
    <t>Other Receivables</t>
  </si>
  <si>
    <t>Persediaan awal barang dalam proses</t>
  </si>
  <si>
    <t>Persediaan akhir barang dalam proses</t>
  </si>
  <si>
    <t>Total beban pokok produksi</t>
  </si>
  <si>
    <t>Cash Acquisitions</t>
  </si>
  <si>
    <t>Persediaan awal barang jadi</t>
  </si>
  <si>
    <t>Sale (Purchase) of Real Estate</t>
  </si>
  <si>
    <t>Persediaan akhir barang jadi</t>
  </si>
  <si>
    <t>Total Beban Pokok Penjualan</t>
  </si>
  <si>
    <t>Goodwill</t>
  </si>
  <si>
    <t>Other Investing Activities</t>
  </si>
  <si>
    <t>Upah tenaga kerja langsung</t>
  </si>
  <si>
    <t>Other Intangible Assets</t>
  </si>
  <si>
    <t>Biaya penyusutan (Catatan 9)</t>
  </si>
  <si>
    <t>Utilitas dan bahan bakar</t>
  </si>
  <si>
    <t>Other Long-Term Assets</t>
  </si>
  <si>
    <t>Perawatan dan pemeliharaan pabrik</t>
  </si>
  <si>
    <t>Lain-lain</t>
  </si>
  <si>
    <t>Total</t>
  </si>
  <si>
    <t>Beban Marketing &amp; Penjualan</t>
  </si>
  <si>
    <t>Issuance of Common Stock</t>
  </si>
  <si>
    <t>Promosi dan pemasaran</t>
  </si>
  <si>
    <t>Pengujian</t>
  </si>
  <si>
    <t>Transportasi</t>
  </si>
  <si>
    <t>Subtotal</t>
  </si>
  <si>
    <t>Foreign Exchange Rate Adjustments</t>
  </si>
  <si>
    <t>Beban Umum dan Administrasi</t>
  </si>
  <si>
    <t>Gaji dan tunjangan karyawan</t>
  </si>
  <si>
    <t>Transportasi dan perjalanan</t>
  </si>
  <si>
    <t>Keperluan kantor</t>
  </si>
  <si>
    <t>Retribusi dan Perijinan</t>
  </si>
  <si>
    <t>Buyback Yield / Dilution</t>
  </si>
  <si>
    <t>Jasa Profesional</t>
  </si>
  <si>
    <t>Long-Term Deferred Tax Liabilities</t>
  </si>
  <si>
    <t>Pemeliharaan dan perbaikan</t>
  </si>
  <si>
    <t>Asuransi</t>
  </si>
  <si>
    <t>Pajak</t>
  </si>
  <si>
    <t>Imbalan pascakerja</t>
  </si>
  <si>
    <t>Penyusutan Aset</t>
  </si>
  <si>
    <t>Penghasilan bunga bank</t>
  </si>
  <si>
    <t>Lainnya</t>
  </si>
  <si>
    <t>Beban Lain-lain</t>
  </si>
  <si>
    <t>Advertising Expenses</t>
  </si>
  <si>
    <t>Pinjaman Bank</t>
  </si>
  <si>
    <t>Administrasi bank</t>
  </si>
  <si>
    <t>Pembiayaan konsumen</t>
  </si>
  <si>
    <t>https://stockanalysis.com/quote/idx/DGWG/financials/</t>
  </si>
  <si>
    <t>Pendapatan Lain-lain</t>
  </si>
  <si>
    <t>Penjualan/penghapusan aset</t>
  </si>
  <si>
    <t>Balance Sheet - Assets</t>
  </si>
  <si>
    <t>Cash Flow - Operating Activities</t>
  </si>
  <si>
    <t>Ratios - Total Valuation</t>
  </si>
  <si>
    <t>Revenue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</si>
  <si>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Market Capitalization</t>
    </r>
  </si>
  <si>
    <t>Ratios - Price Ratios</t>
  </si>
  <si>
    <t>Cash Flow -  Investing Activities</t>
  </si>
  <si>
    <t>Ratios - EV Ratios</t>
  </si>
  <si>
    <t>Balance Sheet - Liabilities</t>
  </si>
  <si>
    <t>Cash Flow -  Financing Activities</t>
  </si>
  <si>
    <t>Ratios - Financial Efficiency</t>
  </si>
  <si>
    <t>Lease Payments</t>
  </si>
  <si>
    <t>Income Statement - Additional Metrics</t>
  </si>
  <si>
    <t>Repurchase of Common Stock</t>
  </si>
  <si>
    <t>Cash Flow -  Net Cash Flow</t>
  </si>
  <si>
    <t>Balance Sheet - Shareholders' Equity</t>
  </si>
  <si>
    <t>Cash Flow -  Free Cash Flow</t>
  </si>
  <si>
    <t>Ratios - Yields</t>
  </si>
  <si>
    <t>Balance Sheet - Additional Metrics</t>
  </si>
  <si>
    <t>Free Cash Flow After Leases</t>
  </si>
  <si>
    <t>Cash Flow -  Additional Metrics</t>
  </si>
  <si>
    <t>end of 2024</t>
  </si>
  <si>
    <t>end of 2023</t>
  </si>
  <si>
    <t>end of 2022</t>
  </si>
  <si>
    <t>end of 2021</t>
  </si>
  <si>
    <t>end of 2020</t>
  </si>
  <si>
    <t>end of 2025</t>
  </si>
  <si>
    <t>PUPUK KALTIM</t>
  </si>
  <si>
    <t xml:space="preserve">average inventory </t>
  </si>
  <si>
    <t>COGS</t>
  </si>
  <si>
    <t>Current Asset</t>
  </si>
  <si>
    <t>Current Liabilities</t>
  </si>
  <si>
    <t>PT Pupuk Kalimantan Timur</t>
  </si>
  <si>
    <t>PT Nusa Palapa Gemilang Tbk - INCOME STATEMENT</t>
  </si>
  <si>
    <t>PT Nusa Palapa Gemilang Tbk - BALANCE SHEET</t>
  </si>
  <si>
    <t>PT Nusa Palapa Gemilang Tbk - CASH FLOW</t>
  </si>
  <si>
    <t>PT Nusa Palapa Gemilang Tbk - RATIOS</t>
  </si>
  <si>
    <r>
      <rPr>
        <rFont val="ui-sans-serif, system-ui, sans-serif, &quot;Apple Color Emoji&quot;, &quot;Segoe UI Emoji&quot;, &quot;Segoe UI Symbol&quot;, &quot;Noto Color Emoji&quot;"/>
        <color rgb="FF1155CC"/>
        <sz val="12.0"/>
        <u/>
      </rPr>
      <t>Revenue</t>
    </r>
  </si>
  <si>
    <r>
      <rPr>
        <rFont val="ui-sans-serif, system-ui, sans-serif, &quot;Apple Color Emoji&quot;, &quot;Segoe UI Emoji&quot;, &quot;Segoe UI Symbol&quot;, &quot;Noto Color Emoji&quot;"/>
        <color rgb="FF1155CC"/>
        <sz val="12.0"/>
        <u/>
      </rPr>
      <t>Market Capitalization</t>
    </r>
  </si>
  <si>
    <t>Revenue Growth</t>
  </si>
  <si>
    <t>Sale (Purchase) of Intangibles</t>
  </si>
  <si>
    <t>Mentahan</t>
  </si>
  <si>
    <t>PENJUALAN</t>
  </si>
  <si>
    <t>BEBAN POKOK PENJUALAN</t>
  </si>
  <si>
    <t>Shares Change</t>
  </si>
  <si>
    <t>LABA (RUGI) KOTOR</t>
  </si>
  <si>
    <t>BEBAN USAHA</t>
  </si>
  <si>
    <t>Beban penjualan</t>
  </si>
  <si>
    <t>Beban administrasi dan umum</t>
  </si>
  <si>
    <t>LABA (RUGI) USAHA</t>
  </si>
  <si>
    <t>Pendapatan lain-lain</t>
  </si>
  <si>
    <t>Beban lain-lain</t>
  </si>
  <si>
    <t>Beban keuangan</t>
  </si>
  <si>
    <t>LABA (RUGI) SEBELUM PAJAK PENGHASILAN</t>
  </si>
  <si>
    <t>MANFAAT (BEBAN) PAJAK PENGHASILAN - NETO</t>
  </si>
  <si>
    <t>Pajak kini</t>
  </si>
  <si>
    <t>Pajak tangguhan</t>
  </si>
  <si>
    <t>Net Cash Growth</t>
  </si>
  <si>
    <t>LABA (RUGI) NETO TAHUN BERJALAN</t>
  </si>
  <si>
    <t>PENGHASILAN KOMPREHENSIF LAIN</t>
  </si>
  <si>
    <t>Pos yang tidak akan direKLASIFIKASI ke laba rugi</t>
  </si>
  <si>
    <t>Pengukuran kembali liabilitas imbalan kerja jangka panjang</t>
  </si>
  <si>
    <t>Beban pajak terkait</t>
  </si>
  <si>
    <t>LABA (RUGI) KOMPREHENSIF TAHUN BERJALAN</t>
  </si>
  <si>
    <t>LABA (RUGI) PER SAHAM DASAR</t>
  </si>
  <si>
    <t>https://stockanalysis.com/quote/idx/NPGF/financials/income-statement/</t>
  </si>
  <si>
    <r>
      <rPr>
        <rFont val="ui-sans-serif, system-ui, sans-serif, &quot;Apple Color Emoji&quot;, &quot;Segoe UI Emoji&quot;, &quot;Segoe UI Symbol&quot;, &quot;Noto Color Emoji&quot;"/>
        <color rgb="FF1155CC"/>
        <sz val="12.0"/>
        <u/>
      </rPr>
      <t>Revenue</t>
    </r>
  </si>
  <si>
    <r>
      <rPr>
        <rFont val="ui-sans-serif, system-ui, sans-serif, &quot;Apple Color Emoji&quot;, &quot;Segoe UI Emoji&quot;, &quot;Segoe UI Symbol&quot;, &quot;Noto Color Emoji&quot;"/>
        <color rgb="FF1155CC"/>
        <sz val="12.0"/>
        <u/>
      </rPr>
      <t>Market Capitalization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</si>
</sst>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, yyyy"/>
    <numFmt numFmtId="165" formatCode="[$Rp]#,##0"/>
    <numFmt numFmtId="166" formatCode="d-mmm-yy"/>
    <numFmt numFmtId="167" formatCode="d mmm yyyy"/>
  </numFmts>
  <fonts count="2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rgb="FFFF0000"/>
      <name val="Arial"/>
    </font>
    <font>
      <sz val="12.0"/>
      <color theme="1"/>
      <name val="Arial"/>
    </font>
    <font>
      <sz val="12.0"/>
      <color rgb="FF111827"/>
      <name val="Arial"/>
    </font>
    <font>
      <sz val="12.0"/>
      <color rgb="FF111827"/>
      <name val="Ui-sans-serif"/>
    </font>
    <font>
      <b/>
      <color rgb="FF111827"/>
      <name val="Arial"/>
    </font>
    <font>
      <b/>
      <color rgb="FF111827"/>
      <name val="Ui-sans-serif"/>
    </font>
    <font>
      <b/>
      <sz val="12.0"/>
      <color theme="1"/>
      <name val="Arial"/>
    </font>
    <font>
      <color rgb="FF111827"/>
      <name val="Ui-sans-serif"/>
    </font>
    <font>
      <b/>
      <sz val="12.0"/>
      <color rgb="FF111827"/>
      <name val="Ui-sans-serif"/>
    </font>
    <font>
      <color rgb="FF111827"/>
      <name val="Arial"/>
    </font>
    <font>
      <u/>
      <sz val="12.0"/>
      <color rgb="FF1155CC"/>
      <name val="Ui-sans-serif"/>
    </font>
    <font>
      <color rgb="FFDC2626"/>
      <name val="Ui-sans-serif"/>
    </font>
    <font>
      <color rgb="FF15803D"/>
      <name val="Ui-sans-serif"/>
    </font>
    <font>
      <sz val="11.0"/>
      <color rgb="FF111827"/>
      <name val="Arial"/>
    </font>
    <font>
      <u/>
      <color rgb="FF1155CC"/>
      <name val="Arial"/>
    </font>
    <font>
      <u/>
      <sz val="12.0"/>
      <color rgb="FF1155CC"/>
      <name val="Ui-sans-serif"/>
    </font>
    <font>
      <u/>
      <sz val="12.0"/>
      <color rgb="FF1155CC"/>
      <name val="Ui-sans-serif"/>
    </font>
    <font>
      <color rgb="FF1F2937"/>
      <name val="Inherit"/>
    </font>
    <font>
      <u/>
      <color rgb="FF1155CC"/>
      <name val="Arial"/>
    </font>
    <font>
      <u/>
      <color rgb="FF1155CC"/>
      <name val="Ui-sans-serif"/>
    </font>
    <font>
      <b/>
      <color rgb="FF1F2937"/>
      <name val="Arial"/>
    </font>
    <font>
      <color rgb="FF15803D"/>
      <name val="Arial"/>
    </font>
    <font>
      <color rgb="FFDC2626"/>
      <name val="Arial"/>
    </font>
    <font>
      <sz val="11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theme="8"/>
        <bgColor theme="8"/>
      </patternFill>
    </fill>
    <fill>
      <patternFill patternType="solid">
        <fgColor rgb="FFC27BA0"/>
        <bgColor rgb="FFC27BA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6F7F8"/>
        <bgColor rgb="FFF6F7F8"/>
      </patternFill>
    </fill>
    <fill>
      <patternFill patternType="solid">
        <fgColor rgb="FF93C47D"/>
        <bgColor rgb="FF93C47D"/>
      </patternFill>
    </fill>
    <fill>
      <patternFill patternType="solid">
        <fgColor rgb="FFF2F9FF"/>
        <bgColor rgb="FFF2F9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1D5DB"/>
      </right>
      <top style="thin">
        <color rgb="FFD1D5DB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D1D5DB"/>
      </right>
      <bottom style="thin">
        <color rgb="FFD1D5DB"/>
      </bottom>
    </border>
    <border>
      <bottom style="thin">
        <color rgb="FFD1D5DB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medium">
        <color rgb="FFD1D5DB"/>
      </bottom>
    </border>
    <border>
      <top style="thin">
        <color rgb="FFD1D5DB"/>
      </top>
      <bottom style="medium">
        <color rgb="FFD1D5DB"/>
      </bottom>
    </border>
  </borders>
  <cellStyleXfs count="1">
    <xf borderId="0" fillId="0" fontId="0" numFmtId="0" applyAlignment="1" applyFont="1"/>
  </cellStyleXfs>
  <cellXfs count="3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1" fillId="0" fontId="1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2" fontId="2" numFmtId="0" xfId="0" applyAlignment="1" applyFill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shrinkToFit="0" wrapText="1"/>
    </xf>
    <xf borderId="4" fillId="0" fontId="2" numFmtId="0" xfId="0" applyBorder="1" applyFont="1"/>
    <xf borderId="4" fillId="0" fontId="2" numFmtId="10" xfId="0" applyBorder="1" applyFont="1" applyNumberFormat="1"/>
    <xf borderId="4" fillId="3" fontId="2" numFmtId="10" xfId="0" applyBorder="1" applyFill="1" applyFont="1" applyNumberFormat="1"/>
    <xf borderId="4" fillId="0" fontId="2" numFmtId="4" xfId="0" applyAlignment="1" applyBorder="1" applyFont="1" applyNumberFormat="1">
      <alignment horizontal="center"/>
    </xf>
    <xf borderId="4" fillId="3" fontId="2" numFmtId="4" xfId="0" applyAlignment="1" applyBorder="1" applyFill="1" applyFont="1" applyNumberFormat="1">
      <alignment horizontal="center"/>
    </xf>
    <xf borderId="0" fillId="2" fontId="2" numFmtId="0" xfId="0" applyFill="1" applyFont="1"/>
    <xf borderId="4" fillId="0" fontId="2" numFmtId="4" xfId="0" applyAlignment="1" applyBorder="1" applyFont="1" applyNumberFormat="1">
      <alignment vertical="bottom"/>
    </xf>
    <xf borderId="4" fillId="0" fontId="2" numFmtId="10" xfId="0" applyAlignment="1" applyBorder="1" applyFont="1" applyNumberFormat="1">
      <alignment horizontal="right" vertical="bottom"/>
    </xf>
    <xf borderId="4" fillId="3" fontId="2" numFmtId="10" xfId="0" applyAlignment="1" applyBorder="1" applyFill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4" fillId="0" fontId="2" numFmtId="4" xfId="0" applyAlignment="1" applyBorder="1" applyFont="1" applyNumberFormat="1">
      <alignment horizontal="center" vertical="bottom"/>
    </xf>
    <xf borderId="4" fillId="3" fontId="2" numFmtId="4" xfId="0" applyAlignment="1" applyBorder="1" applyFill="1" applyFont="1" applyNumberFormat="1">
      <alignment horizontal="center" vertical="bottom"/>
    </xf>
    <xf borderId="0" fillId="2" fontId="1" numFmtId="0" xfId="0" applyAlignment="1" applyFill="1" applyFont="1">
      <alignment horizontal="right"/>
    </xf>
    <xf borderId="4" fillId="3" fontId="2" numFmtId="10" xfId="0" applyAlignment="1" applyBorder="1" applyFill="1" applyFont="1" applyNumberFormat="1">
      <alignment horizontal="center" vertical="bottom"/>
    </xf>
    <xf borderId="4" fillId="0" fontId="2" numFmtId="4" xfId="0" applyAlignment="1" applyBorder="1" applyFont="1" applyNumberFormat="1">
      <alignment horizontal="right" vertical="bottom"/>
    </xf>
    <xf borderId="0" fillId="2" fontId="2" numFmtId="0" xfId="0" applyAlignment="1" applyFill="1" applyFont="1">
      <alignment horizontal="right"/>
    </xf>
    <xf borderId="4" fillId="0" fontId="2" numFmtId="0" xfId="0" applyAlignment="1" applyBorder="1" applyFont="1">
      <alignment vertical="bottom"/>
    </xf>
    <xf borderId="4" fillId="0" fontId="2" numFmtId="10" xfId="0" applyAlignment="1" applyBorder="1" applyFont="1" applyNumberFormat="1">
      <alignment vertical="bottom"/>
    </xf>
    <xf borderId="4" fillId="3" fontId="2" numFmtId="10" xfId="0" applyAlignment="1" applyBorder="1" applyFill="1" applyFont="1" applyNumberFormat="1">
      <alignment vertical="bottom"/>
    </xf>
    <xf borderId="4" fillId="0" fontId="4" numFmtId="0" xfId="0" applyAlignment="1" applyBorder="1" applyFont="1">
      <alignment vertical="bottom"/>
    </xf>
    <xf borderId="0" fillId="0" fontId="2" numFmtId="0" xfId="0" applyAlignment="1" applyFont="1">
      <alignment horizontal="left" vertical="bottom"/>
    </xf>
    <xf borderId="4" fillId="0" fontId="2" numFmtId="10" xfId="0" applyAlignment="1" applyBorder="1" applyFont="1" applyNumberFormat="1">
      <alignment horizontal="center" vertical="bottom"/>
    </xf>
    <xf borderId="0" fillId="0" fontId="2" numFmtId="10" xfId="0" applyFont="1" applyNumberFormat="1"/>
    <xf borderId="0" fillId="0" fontId="2" numFmtId="0" xfId="0" applyAlignment="1" applyFont="1">
      <alignment horizontal="right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horizontal="center" vertical="center"/>
    </xf>
    <xf borderId="0" fillId="6" fontId="1" numFmtId="0" xfId="0" applyAlignment="1" applyFill="1" applyFont="1">
      <alignment horizontal="center" vertical="center"/>
    </xf>
    <xf borderId="0" fillId="7" fontId="1" numFmtId="0" xfId="0" applyAlignment="1" applyFill="1" applyFont="1">
      <alignment horizontal="center" vertical="center"/>
    </xf>
    <xf borderId="0" fillId="8" fontId="1" numFmtId="0" xfId="0" applyAlignment="1" applyFill="1" applyFont="1">
      <alignment horizontal="center" vertical="center"/>
    </xf>
    <xf borderId="0" fillId="9" fontId="1" numFmtId="0" xfId="0" applyAlignment="1" applyFill="1" applyFont="1">
      <alignment horizontal="center" vertical="center"/>
    </xf>
    <xf borderId="0" fillId="0" fontId="5" numFmtId="10" xfId="0" applyFont="1" applyNumberFormat="1"/>
    <xf borderId="0" fillId="0" fontId="5" numFmtId="10" xfId="0" applyAlignment="1" applyFont="1" applyNumberFormat="1">
      <alignment vertical="bottom"/>
    </xf>
    <xf borderId="0" fillId="0" fontId="2" numFmtId="10" xfId="0" applyAlignment="1" applyFont="1" applyNumberFormat="1">
      <alignment vertical="bottom"/>
    </xf>
    <xf borderId="5" fillId="10" fontId="6" numFmtId="10" xfId="0" applyAlignment="1" applyBorder="1" applyFill="1" applyFont="1" applyNumberFormat="1">
      <alignment horizontal="right" shrinkToFit="0" wrapText="0"/>
    </xf>
    <xf borderId="5" fillId="10" fontId="7" numFmtId="10" xfId="0" applyAlignment="1" applyBorder="1" applyFill="1" applyFont="1" applyNumberFormat="1">
      <alignment horizontal="right" shrinkToFit="0" wrapText="0"/>
    </xf>
    <xf borderId="5" fillId="11" fontId="6" numFmtId="10" xfId="0" applyAlignment="1" applyBorder="1" applyFill="1" applyFont="1" applyNumberFormat="1">
      <alignment horizontal="right" shrinkToFit="0" wrapText="0"/>
    </xf>
    <xf borderId="0" fillId="0" fontId="2" numFmtId="0" xfId="0" applyFont="1"/>
    <xf borderId="0" fillId="10" fontId="7" numFmtId="10" xfId="0" applyAlignment="1" applyFill="1" applyFont="1" applyNumberFormat="1">
      <alignment horizontal="right" shrinkToFit="0" wrapText="0"/>
    </xf>
    <xf borderId="4" fillId="0" fontId="2" numFmtId="3" xfId="0" applyBorder="1" applyFont="1" applyNumberFormat="1"/>
    <xf borderId="4" fillId="4" fontId="1" numFmtId="0" xfId="0" applyAlignment="1" applyBorder="1" applyFill="1" applyFont="1">
      <alignment vertical="bottom"/>
    </xf>
    <xf borderId="4" fillId="12" fontId="8" numFmtId="0" xfId="0" applyAlignment="1" applyBorder="1" applyFill="1" applyFont="1">
      <alignment horizontal="right" shrinkToFit="0" wrapText="0"/>
    </xf>
    <xf borderId="4" fillId="12" fontId="9" numFmtId="0" xfId="0" applyAlignment="1" applyBorder="1" applyFill="1" applyFont="1">
      <alignment horizontal="right" shrinkToFit="0" wrapText="0"/>
    </xf>
    <xf borderId="4" fillId="3" fontId="8" numFmtId="0" xfId="0" applyAlignment="1" applyBorder="1" applyFill="1" applyFont="1">
      <alignment horizontal="right" shrinkToFit="0" wrapText="0"/>
    </xf>
    <xf borderId="4" fillId="3" fontId="9" numFmtId="0" xfId="0" applyAlignment="1" applyBorder="1" applyFill="1" applyFont="1">
      <alignment horizontal="right" shrinkToFit="0" wrapText="0"/>
    </xf>
    <xf borderId="4" fillId="13" fontId="8" numFmtId="0" xfId="0" applyAlignment="1" applyBorder="1" applyFill="1" applyFont="1">
      <alignment horizontal="right" shrinkToFit="0" wrapText="0"/>
    </xf>
    <xf borderId="4" fillId="13" fontId="9" numFmtId="0" xfId="0" applyAlignment="1" applyBorder="1" applyFill="1" applyFont="1">
      <alignment horizontal="right" shrinkToFit="0" wrapText="0"/>
    </xf>
    <xf borderId="4" fillId="14" fontId="8" numFmtId="0" xfId="0" applyAlignment="1" applyBorder="1" applyFill="1" applyFont="1">
      <alignment horizontal="right" shrinkToFit="0" wrapText="0"/>
    </xf>
    <xf borderId="4" fillId="14" fontId="9" numFmtId="0" xfId="0" applyAlignment="1" applyBorder="1" applyFill="1" applyFont="1">
      <alignment horizontal="right" shrinkToFit="0" wrapText="0"/>
    </xf>
    <xf borderId="4" fillId="15" fontId="8" numFmtId="0" xfId="0" applyAlignment="1" applyBorder="1" applyFill="1" applyFont="1">
      <alignment horizontal="right" shrinkToFit="0" wrapText="0"/>
    </xf>
    <xf borderId="4" fillId="15" fontId="9" numFmtId="0" xfId="0" applyAlignment="1" applyBorder="1" applyFill="1" applyFont="1">
      <alignment horizontal="right" shrinkToFit="0" wrapText="0"/>
    </xf>
    <xf borderId="4" fillId="0" fontId="5" numFmtId="10" xfId="0" applyBorder="1" applyFont="1" applyNumberFormat="1"/>
    <xf borderId="4" fillId="0" fontId="5" numFmtId="10" xfId="0" applyAlignment="1" applyBorder="1" applyFont="1" applyNumberFormat="1">
      <alignment vertical="bottom"/>
    </xf>
    <xf borderId="4" fillId="10" fontId="7" numFmtId="10" xfId="0" applyAlignment="1" applyBorder="1" applyFill="1" applyFont="1" applyNumberFormat="1">
      <alignment horizontal="right" shrinkToFit="0" wrapText="0"/>
    </xf>
    <xf borderId="4" fillId="0" fontId="2" numFmtId="0" xfId="0" applyAlignment="1" applyBorder="1" applyFont="1">
      <alignment horizontal="left"/>
    </xf>
    <xf borderId="4" fillId="10" fontId="6" numFmtId="10" xfId="0" applyAlignment="1" applyBorder="1" applyFill="1" applyFont="1" applyNumberFormat="1">
      <alignment horizontal="right" shrinkToFit="0" wrapText="0"/>
    </xf>
    <xf borderId="0" fillId="11" fontId="2" numFmtId="0" xfId="0" applyAlignment="1" applyFill="1" applyFont="1">
      <alignment vertical="bottom"/>
    </xf>
    <xf borderId="0" fillId="11" fontId="2" numFmtId="0" xfId="0" applyFill="1" applyFont="1"/>
    <xf borderId="0" fillId="11" fontId="7" numFmtId="10" xfId="0" applyAlignment="1" applyFill="1" applyFont="1" applyNumberFormat="1">
      <alignment horizontal="right" shrinkToFit="0" wrapText="0"/>
    </xf>
    <xf borderId="0" fillId="11" fontId="2" numFmtId="0" xfId="0" applyAlignment="1" applyFill="1" applyFont="1">
      <alignment horizontal="left"/>
    </xf>
    <xf borderId="0" fillId="12" fontId="2" numFmtId="0" xfId="0" applyFill="1" applyFont="1"/>
    <xf borderId="0" fillId="12" fontId="2" numFmtId="0" xfId="0" applyAlignment="1" applyFill="1" applyFont="1">
      <alignment horizontal="center"/>
    </xf>
    <xf borderId="6" fillId="12" fontId="5" numFmtId="0" xfId="0" applyAlignment="1" applyBorder="1" applyFill="1" applyFont="1">
      <alignment horizontal="center" vertical="center"/>
    </xf>
    <xf borderId="1" fillId="12" fontId="10" numFmtId="0" xfId="0" applyAlignment="1" applyBorder="1" applyFill="1" applyFont="1">
      <alignment horizontal="center"/>
    </xf>
    <xf borderId="7" fillId="12" fontId="11" numFmtId="0" xfId="0" applyAlignment="1" applyBorder="1" applyFill="1" applyFont="1">
      <alignment horizontal="right" shrinkToFit="0" wrapText="0"/>
    </xf>
    <xf borderId="8" fillId="12" fontId="11" numFmtId="0" xfId="0" applyAlignment="1" applyBorder="1" applyFill="1" applyFont="1">
      <alignment horizontal="right" shrinkToFit="0" wrapText="0"/>
    </xf>
    <xf borderId="9" fillId="0" fontId="3" numFmtId="0" xfId="0" applyBorder="1" applyFont="1"/>
    <xf borderId="4" fillId="12" fontId="12" numFmtId="0" xfId="0" applyAlignment="1" applyBorder="1" applyFill="1" applyFont="1">
      <alignment horizontal="right" shrinkToFit="0" wrapText="0"/>
    </xf>
    <xf borderId="0" fillId="2" fontId="2" numFmtId="4" xfId="0" applyFill="1" applyFont="1" applyNumberFormat="1"/>
    <xf borderId="4" fillId="0" fontId="5" numFmtId="0" xfId="0" applyAlignment="1" applyBorder="1" applyFont="1">
      <alignment vertical="bottom"/>
    </xf>
    <xf borderId="4" fillId="16" fontId="5" numFmtId="4" xfId="0" applyBorder="1" applyFill="1" applyFont="1" applyNumberFormat="1"/>
    <xf borderId="4" fillId="0" fontId="5" numFmtId="4" xfId="0" applyBorder="1" applyFont="1" applyNumberFormat="1"/>
    <xf borderId="4" fillId="0" fontId="5" numFmtId="0" xfId="0" applyBorder="1" applyFont="1"/>
    <xf borderId="0" fillId="17" fontId="2" numFmtId="4" xfId="0" applyFill="1" applyFont="1" applyNumberFormat="1"/>
    <xf borderId="5" fillId="16" fontId="7" numFmtId="0" xfId="0" applyAlignment="1" applyBorder="1" applyFill="1" applyFont="1">
      <alignment horizontal="right" shrinkToFit="0" wrapText="0"/>
    </xf>
    <xf borderId="4" fillId="10" fontId="6" numFmtId="0" xfId="0" applyAlignment="1" applyBorder="1" applyFill="1" applyFont="1">
      <alignment horizontal="right"/>
    </xf>
    <xf borderId="5" fillId="10" fontId="7" numFmtId="0" xfId="0" applyAlignment="1" applyBorder="1" applyFill="1" applyFont="1">
      <alignment horizontal="right"/>
    </xf>
    <xf borderId="4" fillId="0" fontId="6" numFmtId="3" xfId="0" applyAlignment="1" applyBorder="1" applyFont="1" applyNumberFormat="1">
      <alignment horizontal="right"/>
    </xf>
    <xf borderId="4" fillId="0" fontId="6" numFmtId="0" xfId="0" applyAlignment="1" applyBorder="1" applyFont="1">
      <alignment horizontal="right"/>
    </xf>
    <xf borderId="10" fillId="17" fontId="7" numFmtId="0" xfId="0" applyAlignment="1" applyBorder="1" applyFill="1" applyFont="1">
      <alignment horizontal="right" shrinkToFit="0" wrapText="0"/>
    </xf>
    <xf borderId="5" fillId="16" fontId="6" numFmtId="0" xfId="0" applyAlignment="1" applyBorder="1" applyFill="1" applyFont="1">
      <alignment horizontal="right" shrinkToFit="0" wrapText="0"/>
    </xf>
    <xf borderId="4" fillId="16" fontId="7" numFmtId="0" xfId="0" applyAlignment="1" applyBorder="1" applyFill="1" applyFont="1">
      <alignment horizontal="right" shrinkToFit="0" wrapText="0"/>
    </xf>
    <xf borderId="4" fillId="0" fontId="7" numFmtId="0" xfId="0" applyAlignment="1" applyBorder="1" applyFont="1">
      <alignment horizontal="right" shrinkToFit="0" wrapText="0"/>
    </xf>
    <xf borderId="5" fillId="17" fontId="7" numFmtId="0" xfId="0" applyAlignment="1" applyBorder="1" applyFill="1" applyFont="1">
      <alignment horizontal="right" shrinkToFit="0" wrapText="0"/>
    </xf>
    <xf borderId="4" fillId="10" fontId="7" numFmtId="0" xfId="0" applyAlignment="1" applyBorder="1" applyFill="1" applyFont="1">
      <alignment horizontal="right" shrinkToFit="0" wrapText="0"/>
    </xf>
    <xf borderId="5" fillId="10" fontId="7" numFmtId="0" xfId="0" applyAlignment="1" applyBorder="1" applyFill="1" applyFont="1">
      <alignment horizontal="right" shrinkToFit="0" wrapText="0"/>
    </xf>
    <xf borderId="0" fillId="0" fontId="5" numFmtId="0" xfId="0" applyFont="1"/>
    <xf borderId="4" fillId="16" fontId="5" numFmtId="0" xfId="0" applyBorder="1" applyFill="1" applyFont="1"/>
    <xf borderId="4" fillId="10" fontId="6" numFmtId="3" xfId="0" applyAlignment="1" applyBorder="1" applyFill="1" applyFont="1" applyNumberFormat="1">
      <alignment horizontal="right"/>
    </xf>
    <xf borderId="4" fillId="10" fontId="7" numFmtId="3" xfId="0" applyAlignment="1" applyBorder="1" applyFill="1" applyFont="1" applyNumberFormat="1">
      <alignment horizontal="right" shrinkToFit="0" wrapText="0"/>
    </xf>
    <xf borderId="4" fillId="0" fontId="7" numFmtId="3" xfId="0" applyAlignment="1" applyBorder="1" applyFont="1" applyNumberFormat="1">
      <alignment horizontal="right" shrinkToFit="0" wrapText="0"/>
    </xf>
    <xf borderId="0" fillId="12" fontId="2" numFmtId="0" xfId="0" applyAlignment="1" applyFill="1" applyFont="1">
      <alignment vertical="bottom"/>
    </xf>
    <xf borderId="7" fillId="12" fontId="11" numFmtId="0" xfId="0" applyAlignment="1" applyBorder="1" applyFill="1" applyFont="1">
      <alignment horizontal="right" vertical="bottom"/>
    </xf>
    <xf borderId="8" fillId="12" fontId="11" numFmtId="0" xfId="0" applyAlignment="1" applyBorder="1" applyFill="1" applyFont="1">
      <alignment horizontal="right" vertical="bottom"/>
    </xf>
    <xf borderId="5" fillId="16" fontId="7" numFmtId="1" xfId="0" applyAlignment="1" applyBorder="1" applyFill="1" applyFont="1" applyNumberFormat="1">
      <alignment horizontal="right" shrinkToFit="0" wrapText="0"/>
    </xf>
    <xf borderId="5" fillId="16" fontId="7" numFmtId="1" xfId="0" applyAlignment="1" applyBorder="1" applyFill="1" applyFont="1" applyNumberFormat="1">
      <alignment horizontal="right" vertical="bottom"/>
    </xf>
    <xf borderId="5" fillId="16" fontId="7" numFmtId="0" xfId="0" applyAlignment="1" applyBorder="1" applyFill="1" applyFont="1">
      <alignment horizontal="right" vertical="bottom"/>
    </xf>
    <xf borderId="4" fillId="0" fontId="5" numFmtId="1" xfId="0" applyBorder="1" applyFont="1" applyNumberFormat="1"/>
    <xf borderId="4" fillId="0" fontId="7" numFmtId="1" xfId="0" applyAlignment="1" applyBorder="1" applyFont="1" applyNumberFormat="1">
      <alignment horizontal="right" vertical="bottom"/>
    </xf>
    <xf borderId="4" fillId="16" fontId="7" numFmtId="1" xfId="0" applyAlignment="1" applyBorder="1" applyFill="1" applyFont="1" applyNumberFormat="1">
      <alignment horizontal="right" shrinkToFit="0" wrapText="0"/>
    </xf>
    <xf borderId="4" fillId="16" fontId="6" numFmtId="0" xfId="0" applyAlignment="1" applyBorder="1" applyFill="1" applyFont="1">
      <alignment horizontal="right" shrinkToFit="0" wrapText="0"/>
    </xf>
    <xf borderId="4" fillId="0" fontId="6" numFmtId="0" xfId="0" applyAlignment="1" applyBorder="1" applyFont="1">
      <alignment horizontal="right" vertical="bottom"/>
    </xf>
    <xf borderId="0" fillId="16" fontId="2" numFmtId="1" xfId="0" applyFill="1" applyFont="1" applyNumberFormat="1"/>
    <xf borderId="0" fillId="16" fontId="2" numFmtId="0" xfId="0" applyFill="1" applyFont="1"/>
    <xf borderId="4" fillId="16" fontId="5" numFmtId="1" xfId="0" applyBorder="1" applyFill="1" applyFont="1" applyNumberFormat="1"/>
    <xf borderId="4" fillId="16" fontId="5" numFmtId="0" xfId="0" applyAlignment="1" applyBorder="1" applyFill="1" applyFont="1">
      <alignment vertical="bottom"/>
    </xf>
    <xf borderId="4" fillId="0" fontId="7" numFmtId="0" xfId="0" applyAlignment="1" applyBorder="1" applyFont="1">
      <alignment horizontal="right" vertical="bottom"/>
    </xf>
    <xf borderId="4" fillId="16" fontId="7" numFmtId="1" xfId="0" applyAlignment="1" applyBorder="1" applyFill="1" applyFont="1" applyNumberFormat="1">
      <alignment horizontal="right" vertical="bottom"/>
    </xf>
    <xf borderId="4" fillId="16" fontId="6" numFmtId="0" xfId="0" applyAlignment="1" applyBorder="1" applyFill="1" applyFont="1">
      <alignment horizontal="right" vertical="bottom"/>
    </xf>
    <xf borderId="11" fillId="0" fontId="7" numFmtId="0" xfId="0" applyAlignment="1" applyBorder="1" applyFont="1">
      <alignment horizontal="right" shrinkToFit="0" wrapText="0"/>
    </xf>
    <xf borderId="0" fillId="0" fontId="7" numFmtId="0" xfId="0" applyAlignment="1" applyFont="1">
      <alignment horizontal="right" shrinkToFit="0" wrapText="0"/>
    </xf>
    <xf borderId="5" fillId="0" fontId="7" numFmtId="0" xfId="0" applyAlignment="1" applyBorder="1" applyFont="1">
      <alignment horizontal="right" vertical="bottom"/>
    </xf>
    <xf borderId="5" fillId="2" fontId="7" numFmtId="1" xfId="0" applyAlignment="1" applyBorder="1" applyFill="1" applyFont="1" applyNumberFormat="1">
      <alignment horizontal="right" vertical="bottom"/>
    </xf>
    <xf borderId="5" fillId="2" fontId="7" numFmtId="0" xfId="0" applyAlignment="1" applyBorder="1" applyFill="1" applyFont="1">
      <alignment horizontal="right" vertical="bottom"/>
    </xf>
    <xf borderId="4" fillId="16" fontId="7" numFmtId="0" xfId="0" applyAlignment="1" applyBorder="1" applyFill="1" applyFont="1">
      <alignment horizontal="right" vertical="bottom"/>
    </xf>
    <xf borderId="0" fillId="0" fontId="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12" fontId="1" numFmtId="0" xfId="0" applyAlignment="1" applyFill="1" applyFont="1">
      <alignment vertical="bottom"/>
    </xf>
    <xf borderId="6" fillId="12" fontId="10" numFmtId="0" xfId="0" applyAlignment="1" applyBorder="1" applyFill="1" applyFont="1">
      <alignment horizontal="center" vertical="center"/>
    </xf>
    <xf borderId="0" fillId="2" fontId="2" numFmtId="10" xfId="0" applyFill="1" applyFont="1" applyNumberFormat="1"/>
    <xf borderId="4" fillId="16" fontId="5" numFmtId="10" xfId="0" applyBorder="1" applyFill="1" applyFont="1" applyNumberFormat="1"/>
    <xf borderId="0" fillId="16" fontId="2" numFmtId="10" xfId="0" applyFill="1" applyFont="1" applyNumberFormat="1"/>
    <xf borderId="5" fillId="10" fontId="11" numFmtId="10" xfId="0" applyAlignment="1" applyBorder="1" applyFill="1" applyFont="1" applyNumberFormat="1">
      <alignment horizontal="right" shrinkToFit="0" wrapText="0"/>
    </xf>
    <xf borderId="0" fillId="0" fontId="13" numFmtId="0" xfId="0" applyFont="1"/>
    <xf borderId="5" fillId="16" fontId="11" numFmtId="10" xfId="0" applyAlignment="1" applyBorder="1" applyFill="1" applyFont="1" applyNumberFormat="1">
      <alignment horizontal="right" shrinkToFit="0" wrapText="0"/>
    </xf>
    <xf borderId="4" fillId="0" fontId="6" numFmtId="0" xfId="0" applyBorder="1" applyFont="1"/>
    <xf borderId="4" fillId="16" fontId="7" numFmtId="10" xfId="0" applyAlignment="1" applyBorder="1" applyFill="1" applyFont="1" applyNumberFormat="1">
      <alignment horizontal="right" shrinkToFit="0" wrapText="0"/>
    </xf>
    <xf borderId="0" fillId="17" fontId="2" numFmtId="0" xfId="0" applyFill="1" applyFont="1"/>
    <xf borderId="0" fillId="17" fontId="1" numFmtId="0" xfId="0" applyAlignment="1" applyFill="1" applyFont="1">
      <alignment vertical="bottom"/>
    </xf>
    <xf borderId="0" fillId="17" fontId="2" numFmtId="0" xfId="0" applyAlignment="1" applyFill="1" applyFont="1">
      <alignment horizontal="right"/>
    </xf>
    <xf borderId="0" fillId="17" fontId="2" numFmtId="0" xfId="0" applyAlignment="1" applyFill="1" applyFont="1">
      <alignment horizontal="left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18" fontId="11" numFmtId="0" xfId="0" applyAlignment="1" applyFill="1" applyFont="1">
      <alignment vertical="bottom"/>
    </xf>
    <xf borderId="7" fillId="18" fontId="11" numFmtId="0" xfId="0" applyAlignment="1" applyBorder="1" applyFill="1" applyFont="1">
      <alignment horizontal="right" vertical="bottom"/>
    </xf>
    <xf borderId="8" fillId="18" fontId="11" numFmtId="0" xfId="0" applyAlignment="1" applyBorder="1" applyFill="1" applyFont="1">
      <alignment horizontal="right" vertical="bottom"/>
    </xf>
    <xf borderId="0" fillId="18" fontId="2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vertical="bottom"/>
    </xf>
    <xf borderId="0" fillId="10" fontId="2" numFmtId="0" xfId="0" applyAlignment="1" applyFill="1" applyFont="1">
      <alignment vertical="bottom"/>
    </xf>
    <xf borderId="0" fillId="10" fontId="13" numFmtId="0" xfId="0" applyAlignment="1" applyFill="1" applyFont="1">
      <alignment horizontal="right" vertical="bottom"/>
    </xf>
    <xf borderId="0" fillId="18" fontId="11" numFmtId="164" xfId="0" applyAlignment="1" applyFill="1" applyFont="1" applyNumberFormat="1">
      <alignment horizontal="right" vertical="bottom"/>
    </xf>
    <xf borderId="0" fillId="18" fontId="2" numFmtId="164" xfId="0" applyAlignment="1" applyFill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5" fillId="10" fontId="7" numFmtId="3" xfId="0" applyAlignment="1" applyBorder="1" applyFill="1" applyFont="1" applyNumberFormat="1">
      <alignment horizontal="right" vertical="bottom"/>
    </xf>
    <xf borderId="11" fillId="10" fontId="7" numFmtId="3" xfId="0" applyAlignment="1" applyBorder="1" applyFill="1" applyFont="1" applyNumberFormat="1">
      <alignment horizontal="right" vertical="bottom"/>
    </xf>
    <xf borderId="0" fillId="18" fontId="7" numFmtId="0" xfId="0" applyAlignment="1" applyFill="1" applyFont="1">
      <alignment vertical="bottom"/>
    </xf>
    <xf borderId="0" fillId="10" fontId="2" numFmtId="3" xfId="0" applyAlignment="1" applyFill="1" applyFont="1" applyNumberFormat="1">
      <alignment vertical="bottom"/>
    </xf>
    <xf borderId="10" fillId="10" fontId="15" numFmtId="10" xfId="0" applyAlignment="1" applyBorder="1" applyFill="1" applyFont="1" applyNumberFormat="1">
      <alignment horizontal="right" vertical="bottom"/>
    </xf>
    <xf borderId="10" fillId="10" fontId="16" numFmtId="10" xfId="0" applyAlignment="1" applyBorder="1" applyFill="1" applyFont="1" applyNumberFormat="1">
      <alignment horizontal="right" vertical="bottom"/>
    </xf>
    <xf borderId="12" fillId="10" fontId="16" numFmtId="10" xfId="0" applyAlignment="1" applyBorder="1" applyFill="1" applyFont="1" applyNumberFormat="1">
      <alignment horizontal="right" vertical="bottom"/>
    </xf>
    <xf borderId="0" fillId="10" fontId="2" numFmtId="10" xfId="0" applyAlignment="1" applyFill="1" applyFont="1" applyNumberFormat="1">
      <alignment vertical="bottom"/>
    </xf>
    <xf borderId="10" fillId="10" fontId="7" numFmtId="3" xfId="0" applyAlignment="1" applyBorder="1" applyFill="1" applyFont="1" applyNumberFormat="1">
      <alignment horizontal="right" vertical="bottom"/>
    </xf>
    <xf borderId="12" fillId="10" fontId="7" numFmtId="3" xfId="0" applyAlignment="1" applyBorder="1" applyFill="1" applyFont="1" applyNumberFormat="1">
      <alignment horizontal="right" vertical="bottom"/>
    </xf>
    <xf borderId="10" fillId="10" fontId="7" numFmtId="0" xfId="0" applyAlignment="1" applyBorder="1" applyFill="1" applyFont="1">
      <alignment horizontal="right" vertical="bottom"/>
    </xf>
    <xf borderId="12" fillId="10" fontId="7" numFmtId="0" xfId="0" applyAlignment="1" applyBorder="1" applyFill="1" applyFont="1">
      <alignment horizontal="right" vertical="bottom"/>
    </xf>
    <xf borderId="5" fillId="10" fontId="15" numFmtId="10" xfId="0" applyAlignment="1" applyBorder="1" applyFill="1" applyFont="1" applyNumberFormat="1">
      <alignment horizontal="right" vertical="bottom"/>
    </xf>
    <xf borderId="5" fillId="10" fontId="16" numFmtId="10" xfId="0" applyAlignment="1" applyBorder="1" applyFill="1" applyFont="1" applyNumberFormat="1">
      <alignment horizontal="right" vertical="bottom"/>
    </xf>
    <xf borderId="5" fillId="10" fontId="11" numFmtId="0" xfId="0" applyAlignment="1" applyBorder="1" applyFill="1" applyFont="1">
      <alignment horizontal="right" vertical="bottom"/>
    </xf>
    <xf borderId="11" fillId="10" fontId="11" numFmtId="0" xfId="0" applyAlignment="1" applyBorder="1" applyFill="1" applyFont="1">
      <alignment horizontal="right" vertical="bottom"/>
    </xf>
    <xf borderId="5" fillId="10" fontId="7" numFmtId="0" xfId="0" applyAlignment="1" applyBorder="1" applyFill="1" applyFont="1">
      <alignment horizontal="right" vertical="bottom"/>
    </xf>
    <xf borderId="11" fillId="10" fontId="7" numFmtId="0" xfId="0" applyAlignment="1" applyBorder="1" applyFill="1" applyFont="1">
      <alignment horizontal="right" vertical="bottom"/>
    </xf>
    <xf borderId="4" fillId="0" fontId="2" numFmtId="3" xfId="0" applyAlignment="1" applyBorder="1" applyFont="1" applyNumberFormat="1">
      <alignment vertical="bottom"/>
    </xf>
    <xf borderId="4" fillId="19" fontId="1" numFmtId="0" xfId="0" applyAlignment="1" applyBorder="1" applyFill="1" applyFont="1">
      <alignment vertical="bottom"/>
    </xf>
    <xf borderId="0" fillId="10" fontId="13" numFmtId="0" xfId="0" applyAlignment="1" applyFill="1" applyFont="1">
      <alignment vertical="bottom"/>
    </xf>
    <xf borderId="0" fillId="18" fontId="12" numFmtId="0" xfId="0" applyAlignment="1" applyFill="1" applyFont="1">
      <alignment vertical="bottom"/>
    </xf>
    <xf borderId="13" fillId="10" fontId="12" numFmtId="3" xfId="0" applyAlignment="1" applyBorder="1" applyFill="1" applyFont="1" applyNumberFormat="1">
      <alignment horizontal="right" vertical="bottom"/>
    </xf>
    <xf borderId="14" fillId="10" fontId="12" numFmtId="3" xfId="0" applyAlignment="1" applyBorder="1" applyFill="1" applyFont="1" applyNumberFormat="1">
      <alignment horizontal="right" vertical="bottom"/>
    </xf>
    <xf borderId="4" fillId="0" fontId="1" numFmtId="0" xfId="0" applyAlignment="1" applyBorder="1" applyFont="1">
      <alignment vertical="bottom"/>
    </xf>
    <xf borderId="0" fillId="0" fontId="2" numFmtId="10" xfId="0" applyAlignment="1" applyFont="1" applyNumberFormat="1">
      <alignment horizontal="right" vertical="bottom"/>
    </xf>
    <xf borderId="11" fillId="10" fontId="16" numFmtId="10" xfId="0" applyAlignment="1" applyBorder="1" applyFill="1" applyFont="1" applyNumberFormat="1">
      <alignment horizontal="right" vertical="bottom"/>
    </xf>
    <xf borderId="5" fillId="10" fontId="7" numFmtId="10" xfId="0" applyAlignment="1" applyBorder="1" applyFill="1" applyFont="1" applyNumberFormat="1">
      <alignment horizontal="right" vertical="bottom"/>
    </xf>
    <xf borderId="11" fillId="10" fontId="7" numFmtId="10" xfId="0" applyAlignment="1" applyBorder="1" applyFill="1" applyFont="1" applyNumberFormat="1">
      <alignment horizontal="right" vertical="bottom"/>
    </xf>
    <xf borderId="10" fillId="10" fontId="11" numFmtId="0" xfId="0" applyAlignment="1" applyBorder="1" applyFill="1" applyFont="1">
      <alignment horizontal="right" vertical="bottom"/>
    </xf>
    <xf borderId="12" fillId="10" fontId="15" numFmtId="10" xfId="0" applyAlignment="1" applyBorder="1" applyFill="1" applyFont="1" applyNumberFormat="1">
      <alignment horizontal="right" vertical="bottom"/>
    </xf>
    <xf borderId="5" fillId="10" fontId="6" numFmtId="10" xfId="0" applyAlignment="1" applyBorder="1" applyFill="1" applyFont="1" applyNumberFormat="1">
      <alignment horizontal="right" vertical="bottom"/>
    </xf>
    <xf borderId="5" fillId="10" fontId="12" numFmtId="3" xfId="0" applyAlignment="1" applyBorder="1" applyFill="1" applyFont="1" applyNumberFormat="1">
      <alignment horizontal="right" vertical="bottom"/>
    </xf>
    <xf borderId="11" fillId="10" fontId="12" numFmtId="3" xfId="0" applyAlignment="1" applyBorder="1" applyFill="1" applyFont="1" applyNumberFormat="1">
      <alignment horizontal="right" vertical="bottom"/>
    </xf>
    <xf borderId="0" fillId="20" fontId="7" numFmtId="0" xfId="0" applyAlignment="1" applyFill="1" applyFont="1">
      <alignment vertical="bottom"/>
    </xf>
    <xf borderId="5" fillId="20" fontId="7" numFmtId="10" xfId="0" applyAlignment="1" applyBorder="1" applyFill="1" applyFont="1" applyNumberFormat="1">
      <alignment horizontal="right" vertical="bottom"/>
    </xf>
    <xf borderId="5" fillId="20" fontId="7" numFmtId="0" xfId="0" applyAlignment="1" applyBorder="1" applyFill="1" applyFont="1">
      <alignment horizontal="right" vertical="bottom"/>
    </xf>
    <xf borderId="11" fillId="20" fontId="7" numFmtId="10" xfId="0" applyAlignment="1" applyBorder="1" applyFill="1" applyFont="1" applyNumberFormat="1">
      <alignment horizontal="right" vertical="bottom"/>
    </xf>
    <xf borderId="0" fillId="20" fontId="2" numFmtId="10" xfId="0" applyAlignment="1" applyFill="1" applyFont="1" applyNumberFormat="1">
      <alignment vertical="bottom"/>
    </xf>
    <xf borderId="10" fillId="10" fontId="7" numFmtId="10" xfId="0" applyAlignment="1" applyBorder="1" applyFill="1" applyFont="1" applyNumberFormat="1">
      <alignment horizontal="right" vertical="bottom"/>
    </xf>
    <xf borderId="12" fillId="10" fontId="7" numFmtId="10" xfId="0" applyAlignment="1" applyBorder="1" applyFill="1" applyFont="1" applyNumberFormat="1">
      <alignment horizontal="right" vertical="bottom"/>
    </xf>
    <xf borderId="5" fillId="10" fontId="11" numFmtId="10" xfId="0" applyAlignment="1" applyBorder="1" applyFill="1" applyFont="1" applyNumberFormat="1">
      <alignment horizontal="right" vertical="bottom"/>
    </xf>
    <xf borderId="11" fillId="10" fontId="11" numFmtId="10" xfId="0" applyAlignment="1" applyBorder="1" applyFill="1" applyFont="1" applyNumberFormat="1">
      <alignment horizontal="right" vertical="bottom"/>
    </xf>
    <xf borderId="4" fillId="17" fontId="2" numFmtId="0" xfId="0" applyAlignment="1" applyBorder="1" applyFill="1" applyFont="1">
      <alignment vertical="bottom"/>
    </xf>
    <xf borderId="4" fillId="4" fontId="2" numFmtId="4" xfId="0" applyAlignment="1" applyBorder="1" applyFill="1" applyFont="1" applyNumberFormat="1">
      <alignment vertical="bottom"/>
    </xf>
    <xf borderId="10" fillId="10" fontId="11" numFmtId="10" xfId="0" applyAlignment="1" applyBorder="1" applyFill="1" applyFont="1" applyNumberFormat="1">
      <alignment horizontal="right" vertical="bottom"/>
    </xf>
    <xf borderId="12" fillId="10" fontId="11" numFmtId="10" xfId="0" applyAlignment="1" applyBorder="1" applyFill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17" fontId="2" numFmtId="0" xfId="0" applyAlignment="1" applyFill="1" applyFont="1">
      <alignment vertical="bottom"/>
    </xf>
    <xf borderId="5" fillId="20" fontId="7" numFmtId="3" xfId="0" applyAlignment="1" applyBorder="1" applyFill="1" applyFont="1" applyNumberFormat="1">
      <alignment horizontal="right" vertical="bottom"/>
    </xf>
    <xf borderId="11" fillId="20" fontId="7" numFmtId="3" xfId="0" applyAlignment="1" applyBorder="1" applyFill="1" applyFont="1" applyNumberFormat="1">
      <alignment horizontal="right" vertical="bottom"/>
    </xf>
    <xf borderId="0" fillId="4" fontId="2" numFmtId="0" xfId="0" applyAlignment="1" applyFill="1" applyFont="1">
      <alignment vertical="bottom"/>
    </xf>
    <xf borderId="0" fillId="0" fontId="13" numFmtId="0" xfId="0" applyAlignment="1" applyFont="1">
      <alignment horizontal="left" shrinkToFit="0" wrapText="0"/>
    </xf>
    <xf borderId="0" fillId="0" fontId="11" numFmtId="0" xfId="0" applyAlignment="1" applyFont="1">
      <alignment horizontal="left" shrinkToFit="0" wrapText="0"/>
    </xf>
    <xf borderId="7" fillId="0" fontId="11" numFmtId="0" xfId="0" applyAlignment="1" applyBorder="1" applyFont="1">
      <alignment horizontal="right" shrinkToFit="0" wrapText="0"/>
    </xf>
    <xf borderId="8" fillId="0" fontId="11" numFmtId="0" xfId="0" applyAlignment="1" applyBorder="1" applyFont="1">
      <alignment horizontal="right" shrinkToFit="0" wrapText="0"/>
    </xf>
    <xf borderId="7" fillId="18" fontId="2" numFmtId="0" xfId="0" applyAlignment="1" applyBorder="1" applyFill="1" applyFont="1">
      <alignment vertical="bottom"/>
    </xf>
    <xf borderId="8" fillId="18" fontId="2" numFmtId="0" xfId="0" applyAlignment="1" applyBorder="1" applyFill="1" applyFont="1">
      <alignment vertical="bottom"/>
    </xf>
    <xf borderId="5" fillId="0" fontId="19" numFmtId="0" xfId="0" applyAlignment="1" applyBorder="1" applyFont="1">
      <alignment vertical="bottom"/>
    </xf>
    <xf borderId="5" fillId="10" fontId="2" numFmtId="3" xfId="0" applyAlignment="1" applyBorder="1" applyFill="1" applyFont="1" applyNumberFormat="1">
      <alignment vertical="bottom"/>
    </xf>
    <xf borderId="5" fillId="18" fontId="7" numFmtId="3" xfId="0" applyAlignment="1" applyBorder="1" applyFill="1" applyFont="1" applyNumberFormat="1">
      <alignment vertical="bottom"/>
    </xf>
    <xf borderId="5" fillId="0" fontId="20" numFmtId="3" xfId="0" applyAlignment="1" applyBorder="1" applyFont="1" applyNumberFormat="1">
      <alignment vertical="bottom"/>
    </xf>
    <xf borderId="11" fillId="10" fontId="2" numFmtId="3" xfId="0" applyAlignment="1" applyBorder="1" applyFill="1" applyFont="1" applyNumberFormat="1">
      <alignment vertical="bottom"/>
    </xf>
    <xf borderId="5" fillId="10" fontId="2" numFmtId="10" xfId="0" applyAlignment="1" applyBorder="1" applyFill="1" applyFont="1" applyNumberFormat="1">
      <alignment vertical="bottom"/>
    </xf>
    <xf borderId="5" fillId="18" fontId="7" numFmtId="0" xfId="0" applyAlignment="1" applyBorder="1" applyFill="1" applyFont="1">
      <alignment vertical="bottom"/>
    </xf>
    <xf borderId="0" fillId="18" fontId="11" numFmtId="3" xfId="0" applyAlignment="1" applyFill="1" applyFont="1" applyNumberFormat="1">
      <alignment vertical="bottom"/>
    </xf>
    <xf borderId="5" fillId="10" fontId="11" numFmtId="9" xfId="0" applyAlignment="1" applyBorder="1" applyFill="1" applyFont="1" applyNumberFormat="1">
      <alignment horizontal="right" vertical="bottom"/>
    </xf>
    <xf borderId="11" fillId="10" fontId="2" numFmtId="10" xfId="0" applyAlignment="1" applyBorder="1" applyFill="1" applyFont="1" applyNumberFormat="1">
      <alignment vertical="bottom"/>
    </xf>
    <xf borderId="5" fillId="10" fontId="2" numFmtId="0" xfId="0" applyAlignment="1" applyBorder="1" applyFill="1" applyFont="1">
      <alignment vertical="bottom"/>
    </xf>
    <xf borderId="11" fillId="10" fontId="2" numFmtId="0" xfId="0" applyAlignment="1" applyBorder="1" applyFill="1" applyFont="1">
      <alignment vertical="bottom"/>
    </xf>
    <xf borderId="5" fillId="10" fontId="11" numFmtId="3" xfId="0" applyAlignment="1" applyBorder="1" applyFill="1" applyFont="1" applyNumberFormat="1">
      <alignment horizontal="right" vertical="bottom"/>
    </xf>
    <xf borderId="0" fillId="18" fontId="7" numFmtId="3" xfId="0" applyAlignment="1" applyFill="1" applyFont="1" applyNumberFormat="1">
      <alignment vertical="bottom"/>
    </xf>
    <xf borderId="5" fillId="18" fontId="12" numFmtId="3" xfId="0" applyAlignment="1" applyBorder="1" applyFill="1" applyFont="1" applyNumberFormat="1">
      <alignment vertical="bottom"/>
    </xf>
    <xf borderId="11" fillId="0" fontId="2" numFmtId="0" xfId="0" applyAlignment="1" applyBorder="1" applyFont="1">
      <alignment vertical="bottom"/>
    </xf>
    <xf borderId="5" fillId="18" fontId="12" numFmtId="0" xfId="0" applyAlignment="1" applyBorder="1" applyFill="1" applyFont="1">
      <alignment vertical="bottom"/>
    </xf>
    <xf borderId="5" fillId="0" fontId="2" numFmtId="3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5" fillId="0" fontId="2" numFmtId="10" xfId="0" applyAlignment="1" applyBorder="1" applyFont="1" applyNumberFormat="1">
      <alignment vertical="bottom"/>
    </xf>
    <xf borderId="11" fillId="0" fontId="2" numFmtId="10" xfId="0" applyAlignment="1" applyBorder="1" applyFont="1" applyNumberFormat="1">
      <alignment vertical="bottom"/>
    </xf>
    <xf borderId="11" fillId="0" fontId="2" numFmtId="3" xfId="0" applyAlignment="1" applyBorder="1" applyFont="1" applyNumberFormat="1">
      <alignment vertical="bottom"/>
    </xf>
    <xf borderId="7" fillId="0" fontId="2" numFmtId="3" xfId="0" applyAlignment="1" applyBorder="1" applyFont="1" applyNumberFormat="1">
      <alignment vertical="bottom"/>
    </xf>
    <xf borderId="5" fillId="0" fontId="21" numFmtId="0" xfId="0" applyAlignment="1" applyBorder="1" applyFont="1">
      <alignment horizontal="left" shrinkToFit="0" wrapText="0"/>
    </xf>
    <xf borderId="5" fillId="0" fontId="21" numFmtId="3" xfId="0" applyAlignment="1" applyBorder="1" applyFont="1" applyNumberFormat="1">
      <alignment horizontal="right" shrinkToFit="0" wrapText="0"/>
    </xf>
    <xf borderId="5" fillId="0" fontId="21" numFmtId="3" xfId="0" applyAlignment="1" applyBorder="1" applyFont="1" applyNumberFormat="1">
      <alignment horizontal="left" shrinkToFit="0" wrapText="0"/>
    </xf>
    <xf borderId="5" fillId="0" fontId="21" numFmtId="0" xfId="0" applyAlignment="1" applyBorder="1" applyFont="1">
      <alignment horizontal="right" shrinkToFit="0" wrapText="0"/>
    </xf>
    <xf borderId="0" fillId="0" fontId="11" numFmtId="164" xfId="0" applyAlignment="1" applyFont="1" applyNumberFormat="1">
      <alignment horizontal="right" shrinkToFit="0" wrapText="0"/>
    </xf>
    <xf borderId="0" fillId="0" fontId="21" numFmtId="0" xfId="0" applyAlignment="1" applyFont="1">
      <alignment horizontal="left" shrinkToFit="0" wrapText="0"/>
    </xf>
    <xf borderId="5" fillId="0" fontId="21" numFmtId="10" xfId="0" applyAlignment="1" applyBorder="1" applyFont="1" applyNumberFormat="1">
      <alignment horizontal="right" shrinkToFit="0" wrapText="0"/>
    </xf>
    <xf borderId="11" fillId="0" fontId="21" numFmtId="10" xfId="0" applyAlignment="1" applyBorder="1" applyFont="1" applyNumberFormat="1">
      <alignment horizontal="right" shrinkToFit="0" wrapText="0"/>
    </xf>
    <xf borderId="11" fillId="0" fontId="21" numFmtId="0" xfId="0" applyAlignment="1" applyBorder="1" applyFont="1">
      <alignment horizontal="right" shrinkToFit="0" wrapText="0"/>
    </xf>
    <xf borderId="11" fillId="0" fontId="21" numFmtId="3" xfId="0" applyAlignment="1" applyBorder="1" applyFont="1" applyNumberFormat="1">
      <alignment horizontal="right" shrinkToFit="0" wrapText="0"/>
    </xf>
    <xf borderId="0" fillId="0" fontId="11" numFmtId="0" xfId="0" applyAlignment="1" applyFont="1">
      <alignment horizontal="right" shrinkToFit="0" wrapText="0"/>
    </xf>
    <xf borderId="0" fillId="18" fontId="11" numFmtId="164" xfId="0" applyAlignment="1" applyFill="1" applyFont="1" applyNumberFormat="1">
      <alignment horizontal="right" shrinkToFit="0" wrapText="0"/>
    </xf>
    <xf borderId="0" fillId="10" fontId="7" numFmtId="0" xfId="0" applyAlignment="1" applyFill="1" applyFont="1">
      <alignment horizontal="right" shrinkToFit="0" wrapText="0"/>
    </xf>
    <xf borderId="0" fillId="4" fontId="2" numFmtId="0" xfId="0" applyFill="1" applyFont="1"/>
    <xf borderId="0" fillId="18" fontId="13" numFmtId="0" xfId="0" applyAlignment="1" applyFill="1" applyFont="1">
      <alignment vertical="bottom"/>
    </xf>
    <xf borderId="12" fillId="10" fontId="11" numFmtId="0" xfId="0" applyAlignment="1" applyBorder="1" applyFill="1" applyFont="1">
      <alignment horizontal="right" vertical="bottom"/>
    </xf>
    <xf borderId="0" fillId="20" fontId="2" numFmtId="0" xfId="0" applyAlignment="1" applyFill="1" applyFont="1">
      <alignment vertical="bottom"/>
    </xf>
    <xf borderId="11" fillId="20" fontId="7" numFmtId="0" xfId="0" applyAlignment="1" applyBorder="1" applyFill="1" applyFont="1">
      <alignment horizontal="right" vertical="bottom"/>
    </xf>
    <xf borderId="0" fillId="20" fontId="11" numFmtId="0" xfId="0" applyAlignment="1" applyFill="1" applyFont="1">
      <alignment vertical="bottom"/>
    </xf>
    <xf borderId="10" fillId="20" fontId="11" numFmtId="10" xfId="0" applyAlignment="1" applyBorder="1" applyFill="1" applyFont="1" applyNumberFormat="1">
      <alignment horizontal="right" vertical="bottom"/>
    </xf>
    <xf borderId="12" fillId="20" fontId="11" numFmtId="10" xfId="0" applyAlignment="1" applyBorder="1" applyFill="1" applyFont="1" applyNumberFormat="1">
      <alignment horizontal="right" vertical="bottom"/>
    </xf>
    <xf borderId="0" fillId="18" fontId="17" numFmtId="0" xfId="0" applyAlignment="1" applyFill="1" applyFont="1">
      <alignment vertical="bottom"/>
    </xf>
    <xf borderId="0" fillId="18" fontId="8" numFmtId="0" xfId="0" applyAlignment="1" applyFill="1" applyFont="1">
      <alignment vertical="bottom"/>
    </xf>
    <xf borderId="7" fillId="18" fontId="13" numFmtId="0" xfId="0" applyAlignment="1" applyBorder="1" applyFill="1" applyFont="1">
      <alignment horizontal="right" vertical="bottom"/>
    </xf>
    <xf borderId="8" fillId="18" fontId="13" numFmtId="0" xfId="0" applyAlignment="1" applyBorder="1" applyFill="1" applyFont="1">
      <alignment horizontal="right" vertical="bottom"/>
    </xf>
    <xf borderId="5" fillId="0" fontId="8" numFmtId="0" xfId="0" applyAlignment="1" applyBorder="1" applyFont="1">
      <alignment vertical="bottom"/>
    </xf>
    <xf borderId="0" fillId="18" fontId="13" numFmtId="164" xfId="0" applyAlignment="1" applyFill="1" applyFont="1" applyNumberFormat="1">
      <alignment horizontal="right" vertical="bottom"/>
    </xf>
    <xf borderId="7" fillId="18" fontId="11" numFmtId="3" xfId="0" applyAlignment="1" applyBorder="1" applyFill="1" applyFont="1" applyNumberFormat="1">
      <alignment horizontal="right" vertical="bottom"/>
    </xf>
    <xf borderId="8" fillId="18" fontId="11" numFmtId="3" xfId="0" applyAlignment="1" applyBorder="1" applyFill="1" applyFont="1" applyNumberFormat="1">
      <alignment horizontal="right" vertical="bottom"/>
    </xf>
    <xf borderId="5" fillId="0" fontId="22" numFmtId="0" xfId="0" applyAlignment="1" applyBorder="1" applyFont="1">
      <alignment vertical="bottom"/>
    </xf>
    <xf borderId="5" fillId="10" fontId="13" numFmtId="3" xfId="0" applyAlignment="1" applyBorder="1" applyFill="1" applyFont="1" applyNumberFormat="1">
      <alignment horizontal="right" vertical="bottom"/>
    </xf>
    <xf borderId="11" fillId="10" fontId="13" numFmtId="3" xfId="0" applyAlignment="1" applyBorder="1" applyFill="1" applyFont="1" applyNumberFormat="1">
      <alignment horizontal="right" vertical="bottom"/>
    </xf>
    <xf borderId="5" fillId="18" fontId="13" numFmtId="0" xfId="0" applyAlignment="1" applyBorder="1" applyFill="1" applyFont="1">
      <alignment vertical="bottom"/>
    </xf>
    <xf borderId="5" fillId="18" fontId="11" numFmtId="0" xfId="0" applyAlignment="1" applyBorder="1" applyFill="1" applyFont="1">
      <alignment vertical="bottom"/>
    </xf>
    <xf borderId="11" fillId="10" fontId="11" numFmtId="3" xfId="0" applyAlignment="1" applyBorder="1" applyFill="1" applyFont="1" applyNumberFormat="1">
      <alignment horizontal="right" vertical="bottom"/>
    </xf>
    <xf borderId="5" fillId="0" fontId="23" numFmtId="0" xfId="0" applyAlignment="1" applyBorder="1" applyFont="1">
      <alignment vertical="bottom"/>
    </xf>
    <xf borderId="5" fillId="20" fontId="15" numFmtId="10" xfId="0" applyAlignment="1" applyBorder="1" applyFill="1" applyFont="1" applyNumberFormat="1">
      <alignment horizontal="right" vertical="bottom"/>
    </xf>
    <xf borderId="5" fillId="20" fontId="11" numFmtId="0" xfId="0" applyAlignment="1" applyBorder="1" applyFill="1" applyFont="1">
      <alignment horizontal="right" vertical="bottom"/>
    </xf>
    <xf borderId="5" fillId="20" fontId="16" numFmtId="10" xfId="0" applyAlignment="1" applyBorder="1" applyFill="1" applyFont="1" applyNumberFormat="1">
      <alignment horizontal="right" vertical="bottom"/>
    </xf>
    <xf borderId="11" fillId="20" fontId="11" numFmtId="0" xfId="0" applyAlignment="1" applyBorder="1" applyFill="1" applyFont="1">
      <alignment horizontal="right" vertical="bottom"/>
    </xf>
    <xf borderId="0" fillId="0" fontId="24" numFmtId="0" xfId="0" applyAlignment="1" applyFont="1">
      <alignment vertical="bottom"/>
    </xf>
    <xf borderId="5" fillId="20" fontId="11" numFmtId="0" xfId="0" applyAlignment="1" applyBorder="1" applyFill="1" applyFont="1">
      <alignment vertical="bottom"/>
    </xf>
    <xf borderId="5" fillId="20" fontId="9" numFmtId="0" xfId="0" applyAlignment="1" applyBorder="1" applyFill="1" applyFont="1">
      <alignment vertical="bottom"/>
    </xf>
    <xf borderId="5" fillId="20" fontId="9" numFmtId="3" xfId="0" applyAlignment="1" applyBorder="1" applyFill="1" applyFont="1" applyNumberFormat="1">
      <alignment horizontal="right" vertical="bottom"/>
    </xf>
    <xf borderId="5" fillId="20" fontId="9" numFmtId="0" xfId="0" applyAlignment="1" applyBorder="1" applyFill="1" applyFont="1">
      <alignment horizontal="right" vertical="bottom"/>
    </xf>
    <xf borderId="11" fillId="20" fontId="9" numFmtId="0" xfId="0" applyAlignment="1" applyBorder="1" applyFill="1" applyFont="1">
      <alignment horizontal="right" vertical="bottom"/>
    </xf>
    <xf borderId="5" fillId="10" fontId="25" numFmtId="10" xfId="0" applyAlignment="1" applyBorder="1" applyFill="1" applyFont="1" applyNumberFormat="1">
      <alignment horizontal="right" vertical="bottom"/>
    </xf>
    <xf borderId="5" fillId="10" fontId="26" numFmtId="10" xfId="0" applyAlignment="1" applyBorder="1" applyFill="1" applyFont="1" applyNumberFormat="1">
      <alignment horizontal="right" vertical="bottom"/>
    </xf>
    <xf borderId="5" fillId="10" fontId="13" numFmtId="0" xfId="0" applyAlignment="1" applyBorder="1" applyFill="1" applyFont="1">
      <alignment horizontal="right" vertical="bottom"/>
    </xf>
    <xf borderId="11" fillId="10" fontId="13" numFmtId="0" xfId="0" applyAlignment="1" applyBorder="1" applyFill="1" applyFont="1">
      <alignment horizontal="right" vertical="bottom"/>
    </xf>
    <xf borderId="5" fillId="20" fontId="13" numFmtId="0" xfId="0" applyAlignment="1" applyBorder="1" applyFill="1" applyFont="1">
      <alignment vertical="bottom"/>
    </xf>
    <xf borderId="5" fillId="20" fontId="13" numFmtId="0" xfId="0" applyAlignment="1" applyBorder="1" applyFill="1" applyFont="1">
      <alignment horizontal="right" vertical="bottom"/>
    </xf>
    <xf borderId="11" fillId="20" fontId="13" numFmtId="0" xfId="0" applyAlignment="1" applyBorder="1" applyFill="1" applyFont="1">
      <alignment horizontal="right" vertical="bottom"/>
    </xf>
    <xf borderId="5" fillId="20" fontId="11" numFmtId="3" xfId="0" applyAlignment="1" applyBorder="1" applyFill="1" applyFont="1" applyNumberFormat="1">
      <alignment horizontal="right" vertical="bottom"/>
    </xf>
    <xf borderId="5" fillId="0" fontId="24" numFmtId="0" xfId="0" applyAlignment="1" applyBorder="1" applyFont="1">
      <alignment vertical="bottom"/>
    </xf>
    <xf borderId="5" fillId="18" fontId="9" numFmtId="0" xfId="0" applyAlignment="1" applyBorder="1" applyFill="1" applyFont="1">
      <alignment vertical="bottom"/>
    </xf>
    <xf borderId="5" fillId="10" fontId="9" numFmtId="3" xfId="0" applyAlignment="1" applyBorder="1" applyFill="1" applyFont="1" applyNumberFormat="1">
      <alignment horizontal="right" vertical="bottom"/>
    </xf>
    <xf borderId="5" fillId="10" fontId="9" numFmtId="0" xfId="0" applyAlignment="1" applyBorder="1" applyFill="1" applyFont="1">
      <alignment horizontal="right" vertical="bottom"/>
    </xf>
    <xf borderId="11" fillId="10" fontId="9" numFmtId="3" xfId="0" applyAlignment="1" applyBorder="1" applyFill="1" applyFont="1" applyNumberFormat="1">
      <alignment horizontal="right" vertical="bottom"/>
    </xf>
    <xf borderId="7" fillId="0" fontId="21" numFmtId="0" xfId="0" applyAlignment="1" applyBorder="1" applyFont="1">
      <alignment horizontal="right" shrinkToFit="0" wrapText="0"/>
    </xf>
    <xf borderId="8" fillId="0" fontId="21" numFmtId="0" xfId="0" applyAlignment="1" applyBorder="1" applyFont="1">
      <alignment horizontal="right" shrinkToFit="0" wrapText="0"/>
    </xf>
    <xf borderId="0" fillId="0" fontId="21" numFmtId="164" xfId="0" applyAlignment="1" applyFont="1" applyNumberFormat="1">
      <alignment horizontal="right" shrinkToFit="0" wrapText="0"/>
    </xf>
    <xf borderId="0" fillId="17" fontId="1" numFmtId="0" xfId="0" applyFill="1" applyFont="1"/>
    <xf borderId="5" fillId="18" fontId="21" numFmtId="0" xfId="0" applyAlignment="1" applyBorder="1" applyFill="1" applyFont="1">
      <alignment horizontal="left" shrinkToFit="0" wrapText="0"/>
    </xf>
    <xf borderId="5" fillId="10" fontId="21" numFmtId="3" xfId="0" applyAlignment="1" applyBorder="1" applyFill="1" applyFont="1" applyNumberFormat="1">
      <alignment horizontal="right" shrinkToFit="0" wrapText="0"/>
    </xf>
    <xf borderId="5" fillId="10" fontId="21" numFmtId="0" xfId="0" applyAlignment="1" applyBorder="1" applyFill="1" applyFont="1">
      <alignment horizontal="right" shrinkToFit="0" wrapText="0"/>
    </xf>
    <xf borderId="11" fillId="10" fontId="21" numFmtId="3" xfId="0" applyAlignment="1" applyBorder="1" applyFill="1" applyFont="1" applyNumberFormat="1">
      <alignment horizontal="right" shrinkToFit="0" wrapText="0"/>
    </xf>
    <xf borderId="11" fillId="10" fontId="21" numFmtId="0" xfId="0" applyAlignment="1" applyBorder="1" applyFill="1" applyFont="1">
      <alignment horizontal="right" shrinkToFit="0" wrapText="0"/>
    </xf>
    <xf borderId="0" fillId="0" fontId="2" numFmtId="4" xfId="0" applyFont="1" applyNumberFormat="1"/>
    <xf borderId="0" fillId="0" fontId="2" numFmtId="3" xfId="0" applyFont="1" applyNumberFormat="1"/>
    <xf borderId="0" fillId="12" fontId="1" numFmtId="0" xfId="0" applyFill="1" applyFont="1"/>
    <xf borderId="7" fillId="12" fontId="13" numFmtId="0" xfId="0" applyAlignment="1" applyBorder="1" applyFill="1" applyFont="1">
      <alignment horizontal="right" shrinkToFit="0" wrapText="0"/>
    </xf>
    <xf borderId="0" fillId="10" fontId="21" numFmtId="0" xfId="0" applyAlignment="1" applyFill="1" applyFont="1">
      <alignment horizontal="left" shrinkToFit="0" wrapText="0"/>
    </xf>
    <xf borderId="0" fillId="0" fontId="1" numFmtId="0" xfId="0" applyAlignment="1" applyFont="1">
      <alignment horizontal="center" vertical="center"/>
    </xf>
    <xf borderId="5" fillId="10" fontId="7" numFmtId="3" xfId="0" applyAlignment="1" applyBorder="1" applyFill="1" applyFont="1" applyNumberFormat="1">
      <alignment horizontal="right" shrinkToFit="0" wrapText="0"/>
    </xf>
    <xf borderId="0" fillId="4" fontId="1" numFmtId="0" xfId="0" applyFill="1" applyFont="1"/>
    <xf borderId="0" fillId="10" fontId="8" numFmtId="0" xfId="0" applyAlignment="1" applyFill="1" applyFont="1">
      <alignment vertical="bottom"/>
    </xf>
    <xf borderId="0" fillId="0" fontId="2" numFmtId="165" xfId="0" applyAlignment="1" applyFont="1" applyNumberFormat="1">
      <alignment horizontal="right" vertical="bottom"/>
    </xf>
    <xf borderId="5" fillId="20" fontId="7" numFmtId="0" xfId="0" applyAlignment="1" applyBorder="1" applyFill="1" applyFont="1">
      <alignment vertical="bottom"/>
    </xf>
    <xf borderId="0" fillId="0" fontId="2" numFmtId="165" xfId="0" applyAlignment="1" applyFont="1" applyNumberFormat="1">
      <alignment vertical="bottom"/>
    </xf>
    <xf borderId="4" fillId="0" fontId="2" numFmtId="3" xfId="0" applyAlignment="1" applyBorder="1" applyFont="1" applyNumberFormat="1">
      <alignment horizontal="right" vertical="bottom"/>
    </xf>
    <xf borderId="0" fillId="18" fontId="6" numFmtId="0" xfId="0" applyAlignment="1" applyFill="1" applyFont="1">
      <alignment vertical="bottom"/>
    </xf>
    <xf borderId="5" fillId="20" fontId="12" numFmtId="0" xfId="0" applyAlignment="1" applyBorder="1" applyFill="1" applyFont="1">
      <alignment vertical="bottom"/>
    </xf>
    <xf borderId="5" fillId="20" fontId="12" numFmtId="3" xfId="0" applyAlignment="1" applyBorder="1" applyFill="1" applyFont="1" applyNumberFormat="1">
      <alignment horizontal="right" vertical="bottom"/>
    </xf>
    <xf borderId="11" fillId="20" fontId="12" numFmtId="3" xfId="0" applyAlignment="1" applyBorder="1" applyFill="1" applyFont="1" applyNumberFormat="1">
      <alignment horizontal="right" vertical="bottom"/>
    </xf>
    <xf borderId="11" fillId="10" fontId="15" numFmtId="10" xfId="0" applyAlignment="1" applyBorder="1" applyFill="1" applyFont="1" applyNumberFormat="1">
      <alignment horizontal="right" vertical="bottom"/>
    </xf>
    <xf borderId="11" fillId="20" fontId="15" numFmtId="0" xfId="0" applyAlignment="1" applyBorder="1" applyFill="1" applyFont="1">
      <alignment horizontal="right" vertical="bottom"/>
    </xf>
    <xf borderId="5" fillId="18" fontId="2" numFmtId="0" xfId="0" applyAlignment="1" applyBorder="1" applyFill="1" applyFont="1">
      <alignment vertical="bottom"/>
    </xf>
    <xf borderId="5" fillId="18" fontId="2" numFmtId="3" xfId="0" applyAlignment="1" applyBorder="1" applyFill="1" applyFont="1" applyNumberFormat="1">
      <alignment vertical="bottom"/>
    </xf>
    <xf borderId="5" fillId="18" fontId="11" numFmtId="3" xfId="0" applyAlignment="1" applyBorder="1" applyFill="1" applyFont="1" applyNumberFormat="1">
      <alignment vertical="bottom"/>
    </xf>
    <xf borderId="5" fillId="10" fontId="6" numFmtId="3" xfId="0" applyAlignment="1" applyBorder="1" applyFill="1" applyFont="1" applyNumberFormat="1">
      <alignment horizontal="right" vertical="bottom"/>
    </xf>
    <xf borderId="7" fillId="0" fontId="2" numFmtId="10" xfId="0" applyAlignment="1" applyBorder="1" applyFont="1" applyNumberFormat="1">
      <alignment vertical="bottom"/>
    </xf>
    <xf borderId="5" fillId="0" fontId="2" numFmtId="164" xfId="0" applyAlignment="1" applyBorder="1" applyFont="1" applyNumberFormat="1">
      <alignment vertical="bottom"/>
    </xf>
    <xf borderId="0" fillId="18" fontId="11" numFmtId="0" xfId="0" applyAlignment="1" applyFill="1" applyFont="1">
      <alignment shrinkToFit="0" wrapText="0"/>
    </xf>
    <xf borderId="0" fillId="10" fontId="11" numFmtId="0" xfId="0" applyAlignment="1" applyFill="1" applyFont="1">
      <alignment horizontal="right" shrinkToFit="0" wrapText="0"/>
    </xf>
    <xf borderId="0" fillId="18" fontId="21" numFmtId="0" xfId="0" applyAlignment="1" applyFill="1" applyFont="1">
      <alignment horizontal="left" shrinkToFit="0" wrapText="0"/>
    </xf>
    <xf borderId="0" fillId="10" fontId="21" numFmtId="3" xfId="0" applyAlignment="1" applyFill="1" applyFont="1" applyNumberFormat="1">
      <alignment horizontal="right" shrinkToFit="0" wrapText="0"/>
    </xf>
    <xf borderId="0" fillId="10" fontId="21" numFmtId="0" xfId="0" applyAlignment="1" applyFill="1" applyFont="1">
      <alignment horizontal="right" shrinkToFit="0" wrapText="0"/>
    </xf>
    <xf borderId="0" fillId="10" fontId="11" numFmtId="0" xfId="0" applyAlignment="1" applyFill="1" applyFont="1">
      <alignment shrinkToFit="0" wrapText="0"/>
    </xf>
    <xf borderId="5" fillId="10" fontId="21" numFmtId="10" xfId="0" applyAlignment="1" applyBorder="1" applyFill="1" applyFont="1" applyNumberFormat="1">
      <alignment horizontal="right" shrinkToFit="0" wrapText="0"/>
    </xf>
    <xf borderId="0" fillId="0" fontId="2" numFmtId="166" xfId="0" applyFont="1" applyNumberFormat="1"/>
    <xf borderId="0" fillId="0" fontId="27" numFmtId="0" xfId="0" applyFont="1"/>
    <xf borderId="0" fillId="0" fontId="2" numFmtId="167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76200</xdr:colOff>
      <xdr:row>0</xdr:row>
      <xdr:rowOff>85134450</xdr:rowOff>
    </xdr:from>
    <xdr:ext cx="2838450" cy="3276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364</xdr:row>
      <xdr:rowOff>0</xdr:rowOff>
    </xdr:from>
    <xdr:ext cx="22860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tockanalysis.com/quote/idx/DGWG/financials/" TargetMode="External"/><Relationship Id="rId10" Type="http://schemas.openxmlformats.org/officeDocument/2006/relationships/hyperlink" Target="https://stockanalysis.com/quote/idx/DGWG/market-cap/" TargetMode="External"/><Relationship Id="rId13" Type="http://schemas.openxmlformats.org/officeDocument/2006/relationships/hyperlink" Target="https://stockanalysis.com/quote/idx/NPGF/market-cap/" TargetMode="External"/><Relationship Id="rId12" Type="http://schemas.openxmlformats.org/officeDocument/2006/relationships/hyperlink" Target="https://stockanalysis.com/quote/idx/NPGF/revenue/" TargetMode="External"/><Relationship Id="rId1" Type="http://schemas.openxmlformats.org/officeDocument/2006/relationships/hyperlink" Target="https://stockanalysis.com/quote/idx/SAMF/revenue/" TargetMode="External"/><Relationship Id="rId2" Type="http://schemas.openxmlformats.org/officeDocument/2006/relationships/hyperlink" Target="https://stockanalysis.com/quote/idx/SAMF/market-cap/" TargetMode="External"/><Relationship Id="rId3" Type="http://schemas.openxmlformats.org/officeDocument/2006/relationships/hyperlink" Target="https://stockanalysis.com/quote/idx/SAMF/financials/ratios/?utm_source=chatgpt.com" TargetMode="External"/><Relationship Id="rId4" Type="http://schemas.openxmlformats.org/officeDocument/2006/relationships/hyperlink" Target="https://stockanalysis.com/quote/idx/SAMF/revenue/" TargetMode="External"/><Relationship Id="rId9" Type="http://schemas.openxmlformats.org/officeDocument/2006/relationships/hyperlink" Target="https://stockanalysis.com/quote/idx/DGWG/revenue/" TargetMode="External"/><Relationship Id="rId15" Type="http://schemas.openxmlformats.org/officeDocument/2006/relationships/hyperlink" Target="https://stockanalysis.com/quote/idx/NPGF/revenue/" TargetMode="External"/><Relationship Id="rId14" Type="http://schemas.openxmlformats.org/officeDocument/2006/relationships/hyperlink" Target="https://stockanalysis.com/quote/idx/NPGF/financials/income-statement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stockanalysis.com/quote/idx/NPGF/market-cap/" TargetMode="External"/><Relationship Id="rId5" Type="http://schemas.openxmlformats.org/officeDocument/2006/relationships/hyperlink" Target="https://stockanalysis.com/quote/idx/SAMF/market-cap/" TargetMode="External"/><Relationship Id="rId6" Type="http://schemas.openxmlformats.org/officeDocument/2006/relationships/hyperlink" Target="https://stockanalysis.com/quote/idx/DGWG/revenue/" TargetMode="External"/><Relationship Id="rId7" Type="http://schemas.openxmlformats.org/officeDocument/2006/relationships/hyperlink" Target="https://stockanalysis.com/quote/idx/DGWG/market-cap/" TargetMode="External"/><Relationship Id="rId8" Type="http://schemas.openxmlformats.org/officeDocument/2006/relationships/hyperlink" Target="https://stockanalysis.com/quote/idx/DGWG/financia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7.0"/>
    <col customWidth="1" min="2" max="2" width="32.75"/>
    <col customWidth="1" min="3" max="3" width="15.63"/>
    <col customWidth="1" min="4" max="6" width="12.63"/>
    <col customWidth="1" min="8" max="8" width="11.63"/>
    <col customWidth="1" min="9" max="9" width="38.75"/>
    <col customWidth="1" min="10" max="10" width="27.25"/>
    <col customWidth="1" min="14" max="14" width="10.88"/>
    <col customWidth="1" min="16" max="16" width="28.75"/>
    <col customWidth="1" min="17" max="17" width="28.38"/>
    <col customWidth="1" min="18" max="18" width="24.88"/>
    <col customWidth="1" min="19" max="20" width="13.63"/>
    <col customWidth="1" min="23" max="23" width="25.38"/>
    <col customWidth="1" min="24" max="24" width="28.38"/>
    <col customWidth="1" min="26" max="26" width="37.5"/>
    <col customWidth="1" min="30" max="30" width="22.88"/>
    <col customWidth="1" min="34" max="34" width="43.75"/>
    <col customWidth="1" min="35" max="35" width="28.75"/>
    <col customWidth="1" min="36" max="36" width="17.25"/>
    <col customWidth="1" min="37" max="37" width="22.13"/>
    <col customWidth="1" min="38" max="39" width="17.25"/>
    <col customWidth="1" min="40" max="40" width="33.13"/>
    <col customWidth="1" min="41" max="41" width="30.0"/>
    <col customWidth="1" min="42" max="42" width="17.25"/>
    <col customWidth="1" min="43" max="43" width="31.38"/>
    <col customWidth="1" min="44" max="44" width="29.63"/>
    <col customWidth="1" min="45" max="45" width="19.88"/>
    <col customWidth="1" min="46" max="47" width="17.25"/>
    <col customWidth="1" min="48" max="48" width="20.88"/>
    <col customWidth="1" min="49" max="49" width="17.25"/>
    <col customWidth="1" min="50" max="50" width="25.88"/>
    <col customWidth="1" min="51" max="51" width="40.63"/>
    <col customWidth="1" min="52" max="57" width="17.25"/>
    <col customWidth="1" min="58" max="58" width="11.5"/>
    <col customWidth="1" min="59" max="64" width="17.25"/>
    <col customWidth="1" min="65" max="65" width="27.38"/>
    <col customWidth="1" min="66" max="66" width="11.5"/>
    <col customWidth="1" min="67" max="85" width="17.25"/>
    <col customWidth="1" min="86" max="86" width="54.38"/>
    <col customWidth="1" min="87" max="108" width="17.25"/>
  </cols>
  <sheetData>
    <row r="1">
      <c r="A1" s="1" t="s">
        <v>0</v>
      </c>
      <c r="AY1" s="2"/>
    </row>
    <row r="2">
      <c r="A2" s="3"/>
      <c r="B2" s="4"/>
      <c r="C2" s="5"/>
      <c r="D2" s="4"/>
      <c r="E2" s="4"/>
      <c r="F2" s="4"/>
      <c r="G2" s="6"/>
      <c r="H2" s="3"/>
      <c r="I2" s="4"/>
      <c r="J2" s="7"/>
      <c r="K2" s="4"/>
      <c r="L2" s="4"/>
      <c r="M2" s="4"/>
      <c r="N2" s="8"/>
      <c r="O2" s="3"/>
      <c r="P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9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</row>
    <row r="3">
      <c r="A3" s="3"/>
      <c r="B3" s="10" t="s">
        <v>1</v>
      </c>
      <c r="C3" s="11"/>
      <c r="D3" s="11"/>
      <c r="E3" s="11"/>
      <c r="F3" s="11"/>
      <c r="G3" s="12"/>
      <c r="H3" s="3"/>
      <c r="I3" s="10" t="s">
        <v>2</v>
      </c>
      <c r="J3" s="11"/>
      <c r="K3" s="11"/>
      <c r="L3" s="11"/>
      <c r="M3" s="11"/>
      <c r="N3" s="12"/>
      <c r="O3" s="3"/>
      <c r="P3" s="10" t="s">
        <v>2</v>
      </c>
      <c r="Q3" s="11"/>
      <c r="R3" s="11"/>
      <c r="S3" s="11"/>
      <c r="T3" s="11"/>
      <c r="U3" s="12"/>
      <c r="V3" s="13"/>
      <c r="W3" s="10" t="s">
        <v>3</v>
      </c>
      <c r="X3" s="11"/>
      <c r="Y3" s="11"/>
      <c r="Z3" s="11"/>
      <c r="AA3" s="11"/>
      <c r="AB3" s="12"/>
      <c r="AC3" s="3"/>
      <c r="AD3" s="10" t="s">
        <v>3</v>
      </c>
      <c r="AE3" s="11"/>
      <c r="AF3" s="11"/>
      <c r="AG3" s="11"/>
      <c r="AH3" s="11"/>
      <c r="AI3" s="12"/>
      <c r="AJ3" s="3"/>
      <c r="AK3" s="10" t="s">
        <v>3</v>
      </c>
      <c r="AL3" s="11"/>
      <c r="AM3" s="11"/>
      <c r="AN3" s="11"/>
      <c r="AO3" s="11"/>
      <c r="AP3" s="12"/>
      <c r="AQ3" s="13"/>
      <c r="AR3" s="10" t="s">
        <v>4</v>
      </c>
      <c r="AS3" s="11"/>
      <c r="AT3" s="11"/>
      <c r="AU3" s="11"/>
      <c r="AV3" s="11"/>
      <c r="AW3" s="12"/>
      <c r="AX3" s="9"/>
      <c r="AY3" s="10" t="s">
        <v>4</v>
      </c>
      <c r="AZ3" s="11"/>
      <c r="BA3" s="11"/>
      <c r="BB3" s="11"/>
      <c r="BC3" s="11"/>
      <c r="BD3" s="12"/>
      <c r="BE3" s="3"/>
      <c r="BF3" s="10" t="s">
        <v>4</v>
      </c>
      <c r="BG3" s="11"/>
      <c r="BH3" s="11"/>
      <c r="BI3" s="11"/>
      <c r="BJ3" s="11"/>
      <c r="BK3" s="12"/>
      <c r="BL3" s="13"/>
      <c r="BM3" s="14" t="s">
        <v>5</v>
      </c>
      <c r="BN3" s="11"/>
      <c r="BO3" s="11"/>
      <c r="BP3" s="11"/>
      <c r="BQ3" s="11"/>
      <c r="BR3" s="12"/>
      <c r="BS3" s="15"/>
      <c r="BT3" s="14" t="s">
        <v>5</v>
      </c>
      <c r="BU3" s="11"/>
      <c r="BV3" s="11"/>
      <c r="BW3" s="11"/>
      <c r="BX3" s="11"/>
      <c r="BY3" s="12"/>
      <c r="BZ3" s="15"/>
      <c r="CA3" s="14" t="s">
        <v>5</v>
      </c>
      <c r="CB3" s="11"/>
      <c r="CC3" s="11"/>
      <c r="CD3" s="11"/>
      <c r="CE3" s="11"/>
      <c r="CF3" s="12"/>
      <c r="CG3" s="13"/>
      <c r="CH3" s="14" t="s">
        <v>6</v>
      </c>
      <c r="CI3" s="11"/>
      <c r="CJ3" s="11"/>
      <c r="CK3" s="11"/>
      <c r="CL3" s="11"/>
      <c r="CM3" s="12"/>
      <c r="CN3" s="15"/>
      <c r="CO3" s="14" t="s">
        <v>6</v>
      </c>
      <c r="CP3" s="11"/>
      <c r="CQ3" s="11"/>
      <c r="CR3" s="11"/>
      <c r="CS3" s="11"/>
      <c r="CT3" s="12"/>
      <c r="CU3" s="15"/>
      <c r="CV3" s="14" t="s">
        <v>6</v>
      </c>
      <c r="CW3" s="11"/>
      <c r="CX3" s="11"/>
      <c r="CY3" s="11"/>
      <c r="CZ3" s="11"/>
      <c r="DA3" s="12"/>
    </row>
    <row r="4">
      <c r="A4" s="16"/>
      <c r="B4" s="17" t="s">
        <v>7</v>
      </c>
      <c r="C4" s="18" t="s">
        <v>8</v>
      </c>
      <c r="D4" s="17" t="s">
        <v>9</v>
      </c>
      <c r="E4" s="17" t="s">
        <v>10</v>
      </c>
      <c r="F4" s="17" t="s">
        <v>11</v>
      </c>
      <c r="G4" s="19" t="s">
        <v>12</v>
      </c>
      <c r="H4" s="16"/>
      <c r="I4" s="17" t="s">
        <v>7</v>
      </c>
      <c r="J4" s="18" t="s">
        <v>8</v>
      </c>
      <c r="K4" s="17" t="s">
        <v>9</v>
      </c>
      <c r="L4" s="17" t="s">
        <v>10</v>
      </c>
      <c r="M4" s="17" t="s">
        <v>11</v>
      </c>
      <c r="N4" s="19" t="s">
        <v>12</v>
      </c>
      <c r="O4" s="16"/>
      <c r="P4" s="17" t="s">
        <v>7</v>
      </c>
      <c r="Q4" s="18" t="s">
        <v>8</v>
      </c>
      <c r="R4" s="17" t="s">
        <v>9</v>
      </c>
      <c r="S4" s="17" t="s">
        <v>10</v>
      </c>
      <c r="T4" s="17" t="s">
        <v>11</v>
      </c>
      <c r="U4" s="19" t="s">
        <v>12</v>
      </c>
      <c r="V4" s="20"/>
      <c r="W4" s="17" t="s">
        <v>7</v>
      </c>
      <c r="X4" s="18" t="s">
        <v>8</v>
      </c>
      <c r="Y4" s="17" t="s">
        <v>9</v>
      </c>
      <c r="Z4" s="17" t="s">
        <v>10</v>
      </c>
      <c r="AA4" s="17" t="s">
        <v>11</v>
      </c>
      <c r="AB4" s="19" t="s">
        <v>12</v>
      </c>
      <c r="AC4" s="16"/>
      <c r="AD4" s="17" t="s">
        <v>7</v>
      </c>
      <c r="AE4" s="18" t="s">
        <v>8</v>
      </c>
      <c r="AF4" s="17" t="s">
        <v>9</v>
      </c>
      <c r="AG4" s="17" t="s">
        <v>10</v>
      </c>
      <c r="AH4" s="17" t="s">
        <v>11</v>
      </c>
      <c r="AI4" s="19" t="s">
        <v>12</v>
      </c>
      <c r="AJ4" s="16"/>
      <c r="AK4" s="17" t="s">
        <v>7</v>
      </c>
      <c r="AL4" s="18" t="s">
        <v>8</v>
      </c>
      <c r="AM4" s="17" t="s">
        <v>9</v>
      </c>
      <c r="AN4" s="17" t="s">
        <v>10</v>
      </c>
      <c r="AO4" s="17" t="s">
        <v>11</v>
      </c>
      <c r="AP4" s="19" t="s">
        <v>12</v>
      </c>
      <c r="AQ4" s="20"/>
      <c r="AR4" s="17" t="s">
        <v>7</v>
      </c>
      <c r="AS4" s="18" t="s">
        <v>8</v>
      </c>
      <c r="AT4" s="17" t="s">
        <v>9</v>
      </c>
      <c r="AU4" s="17" t="s">
        <v>10</v>
      </c>
      <c r="AV4" s="17" t="s">
        <v>11</v>
      </c>
      <c r="AW4" s="19" t="s">
        <v>12</v>
      </c>
      <c r="AX4" s="9"/>
      <c r="AY4" s="17" t="s">
        <v>7</v>
      </c>
      <c r="AZ4" s="18" t="s">
        <v>8</v>
      </c>
      <c r="BA4" s="17" t="s">
        <v>9</v>
      </c>
      <c r="BB4" s="17" t="s">
        <v>10</v>
      </c>
      <c r="BC4" s="17" t="s">
        <v>11</v>
      </c>
      <c r="BD4" s="19" t="s">
        <v>12</v>
      </c>
      <c r="BE4" s="16"/>
      <c r="BF4" s="17" t="s">
        <v>7</v>
      </c>
      <c r="BG4" s="18" t="s">
        <v>8</v>
      </c>
      <c r="BH4" s="17" t="s">
        <v>9</v>
      </c>
      <c r="BI4" s="17" t="s">
        <v>10</v>
      </c>
      <c r="BJ4" s="17" t="s">
        <v>11</v>
      </c>
      <c r="BK4" s="19" t="s">
        <v>12</v>
      </c>
      <c r="BL4" s="20"/>
      <c r="BM4" s="21" t="s">
        <v>7</v>
      </c>
      <c r="BN4" s="22" t="s">
        <v>8</v>
      </c>
      <c r="BO4" s="21" t="s">
        <v>9</v>
      </c>
      <c r="BP4" s="21" t="s">
        <v>10</v>
      </c>
      <c r="BQ4" s="21" t="s">
        <v>11</v>
      </c>
      <c r="BR4" s="23" t="s">
        <v>12</v>
      </c>
      <c r="BS4" s="15"/>
      <c r="BT4" s="21" t="s">
        <v>7</v>
      </c>
      <c r="BU4" s="22" t="s">
        <v>8</v>
      </c>
      <c r="BV4" s="21" t="s">
        <v>9</v>
      </c>
      <c r="BW4" s="21" t="s">
        <v>10</v>
      </c>
      <c r="BX4" s="21" t="s">
        <v>11</v>
      </c>
      <c r="BY4" s="23" t="s">
        <v>12</v>
      </c>
      <c r="BZ4" s="15"/>
      <c r="CA4" s="21" t="s">
        <v>7</v>
      </c>
      <c r="CB4" s="22" t="s">
        <v>8</v>
      </c>
      <c r="CC4" s="21" t="s">
        <v>9</v>
      </c>
      <c r="CD4" s="21" t="s">
        <v>10</v>
      </c>
      <c r="CE4" s="21" t="s">
        <v>11</v>
      </c>
      <c r="CF4" s="23" t="s">
        <v>12</v>
      </c>
      <c r="CG4" s="20"/>
      <c r="CH4" s="21" t="s">
        <v>7</v>
      </c>
      <c r="CI4" s="22" t="s">
        <v>8</v>
      </c>
      <c r="CJ4" s="21" t="s">
        <v>9</v>
      </c>
      <c r="CK4" s="21" t="s">
        <v>10</v>
      </c>
      <c r="CL4" s="21" t="s">
        <v>11</v>
      </c>
      <c r="CM4" s="23" t="s">
        <v>12</v>
      </c>
      <c r="CN4" s="15"/>
      <c r="CO4" s="21" t="s">
        <v>7</v>
      </c>
      <c r="CP4" s="22" t="s">
        <v>8</v>
      </c>
      <c r="CQ4" s="21" t="s">
        <v>9</v>
      </c>
      <c r="CR4" s="21" t="s">
        <v>10</v>
      </c>
      <c r="CS4" s="21" t="s">
        <v>11</v>
      </c>
      <c r="CT4" s="23" t="s">
        <v>12</v>
      </c>
      <c r="CU4" s="15"/>
      <c r="CV4" s="21" t="s">
        <v>7</v>
      </c>
      <c r="CW4" s="22" t="s">
        <v>8</v>
      </c>
      <c r="CX4" s="21" t="s">
        <v>9</v>
      </c>
      <c r="CY4" s="21" t="s">
        <v>10</v>
      </c>
      <c r="CZ4" s="21" t="s">
        <v>11</v>
      </c>
      <c r="DA4" s="23" t="s">
        <v>12</v>
      </c>
    </row>
    <row r="5">
      <c r="B5" s="24" t="s">
        <v>13</v>
      </c>
      <c r="C5" s="25">
        <f t="array" ref="C5">MIN(TOCOL(C15:G17,1))</f>
        <v>-0.0077</v>
      </c>
      <c r="D5" s="26">
        <f t="array" ref="D5">_xlfn.QUARTILE.INC(TOCOL(C15:G17,1),1)</f>
        <v>0.2194</v>
      </c>
      <c r="E5" s="26">
        <f t="array" ref="E5">MEDIAN(TOCOL(C15:G17,1))</f>
        <v>0.2402</v>
      </c>
      <c r="F5" s="26">
        <f t="array" ref="F5">_xlfn.QUARTILE.INC(TOCOL(C15:G17,1),3)</f>
        <v>0.24855</v>
      </c>
      <c r="G5" s="25">
        <f t="array" ref="G5">MAX(TOCOL(C14:G17,1))</f>
        <v>0.2766</v>
      </c>
      <c r="I5" s="24" t="s">
        <v>14</v>
      </c>
      <c r="J5" s="27">
        <f t="array" ref="J5">MIN(TOCOL(C42:G44,1))</f>
        <v>0.83</v>
      </c>
      <c r="K5" s="28">
        <f t="array" ref="K5">_xlfn.QUARTILE.INC(TOCOL(C42:G44,1),1)</f>
        <v>1.185</v>
      </c>
      <c r="L5" s="28">
        <f t="array" ref="L5">MEDIAN(TOCOL(C42:G44,1))</f>
        <v>1.39</v>
      </c>
      <c r="M5" s="28">
        <f t="array" ref="M5">_xlfn.QUARTILE.INC(TOCOL(C42:G44,1),3)</f>
        <v>2.015</v>
      </c>
      <c r="N5" s="27">
        <f t="array" ref="N5">MAX(TOCOL(C42:G44,1))</f>
        <v>5.18</v>
      </c>
      <c r="P5" s="24" t="s">
        <v>15</v>
      </c>
      <c r="Q5" s="27" t="str">
        <f t="array" ref="Q5">MIN(TOCOL(C56:F59,1))</f>
        <v>#REF!</v>
      </c>
      <c r="R5" s="28" t="str">
        <f t="array" ref="R5">_xlfn.QUARTILE.INC(TOCOL(C56:F59,1),1)</f>
        <v>#REF!</v>
      </c>
      <c r="S5" s="28" t="str">
        <f t="array" ref="S5">MEDIAN(TOCOL(C56:F59,1))</f>
        <v>#REF!</v>
      </c>
      <c r="T5" s="28" t="str">
        <f t="array" ref="T5">_xlfn.QUARTILE.INC(TOCOL(C56:F59,1),3)</f>
        <v>#REF!</v>
      </c>
      <c r="U5" s="27" t="str">
        <f t="array" ref="U5">MAX(TOCOL(C56:F59,1))</f>
        <v>#REF!</v>
      </c>
      <c r="V5" s="29"/>
      <c r="W5" s="24" t="s">
        <v>13</v>
      </c>
      <c r="X5" s="25">
        <f>MIN(C14:G14)</f>
        <v>0</v>
      </c>
      <c r="Y5" s="26" t="str">
        <f t="array" ref="Y5">_xlfn.QUARTILE.INC(TOCOL(C14:G14,1),1)</f>
        <v>#NUM!</v>
      </c>
      <c r="Z5" s="26" t="str">
        <f t="array" ref="Z5">MEDIAN(TOCOL(C14:G14,1))</f>
        <v>#NUM!</v>
      </c>
      <c r="AA5" s="26" t="str">
        <f t="array" ref="AA5">_xlfn.QUARTILE.INC(TOCOL(C14:G14,1),3)</f>
        <v>#NUM!</v>
      </c>
      <c r="AB5" s="24">
        <f t="array" ref="AB5">MAX(TOCOL(C14:G14,1))</f>
        <v>0</v>
      </c>
      <c r="AD5" s="24" t="s">
        <v>14</v>
      </c>
      <c r="AE5" s="27">
        <f t="array" ref="AE5">MIN(TOCOL(C41:G41,1))</f>
        <v>163</v>
      </c>
      <c r="AF5" s="28">
        <f t="array" ref="AF5">_xlfn.QUARTILE.INC(TOCOL(C41:G41,1),1)</f>
        <v>204</v>
      </c>
      <c r="AG5" s="28">
        <f t="array" ref="AG5">MEDIAN(TOCOL(C41:G41,1))</f>
        <v>245</v>
      </c>
      <c r="AH5" s="28">
        <f t="array" ref="AH5">_xlfn.QUARTILE.INC(TOCOL(C41:G41,1),3)</f>
        <v>302</v>
      </c>
      <c r="AI5" s="27">
        <f t="array" ref="AI5">MAX(TOCOL(C41:G41,1))</f>
        <v>310</v>
      </c>
      <c r="AK5" s="24" t="s">
        <v>15</v>
      </c>
      <c r="AL5" s="27">
        <f t="array" ref="AL5">MIN(TOCOL(C56:G56,1))</f>
        <v>163</v>
      </c>
      <c r="AM5" s="28">
        <f t="array" ref="AM5">_xlfn.QUARTILE.INC(TOCOL(C56:G56,1),1)</f>
        <v>204</v>
      </c>
      <c r="AN5" s="28">
        <f t="array" ref="AN5">MEDIAN(TOCOL(C56:G56,1))</f>
        <v>245</v>
      </c>
      <c r="AO5" s="28">
        <f t="array" ref="AO5">_xlfn.QUARTILE.INC(TOCOL(C56:G56,1),3)</f>
        <v>302</v>
      </c>
      <c r="AP5" s="27">
        <f t="array" ref="AP5">MAX(TOCOL(C56:G56,1))</f>
        <v>310</v>
      </c>
      <c r="AQ5" s="29"/>
      <c r="AR5" s="24" t="s">
        <v>13</v>
      </c>
      <c r="AS5" s="25">
        <f t="array" ref="AS5">MIN(TOCOL(C15:G15,1))</f>
        <v>0.2125</v>
      </c>
      <c r="AT5" s="26">
        <f t="array" ref="AT5">_xlfn.QUARTILE.INC(TOCOL(C15:G15,1),1)</f>
        <v>0.2402</v>
      </c>
      <c r="AU5" s="26">
        <f t="array" ref="AU5">MEDIAN(TOCOL(C15:G15,1))</f>
        <v>0.2452</v>
      </c>
      <c r="AV5" s="26">
        <f t="array" ref="AV5">_xlfn.QUARTILE.INC(TOCOL(C15:G15,1),3)</f>
        <v>0.246</v>
      </c>
      <c r="AW5" s="25">
        <f t="array" ref="AW5">MAX(TOCOL(C15:G15,1))</f>
        <v>0.2559</v>
      </c>
      <c r="AX5" s="2"/>
      <c r="AY5" s="24" t="s">
        <v>14</v>
      </c>
      <c r="AZ5" s="27">
        <f t="array" ref="AZ5">MIN(TOCOL(C42:G42,1))</f>
        <v>1.39</v>
      </c>
      <c r="BA5" s="28">
        <f t="array" ref="BA5">_xlfn.QUARTILE.INC(TOCOL(C42:G42,1),1)</f>
        <v>1.6</v>
      </c>
      <c r="BB5" s="28">
        <f t="array" ref="BB5">MEDIAN(TOCOL(C42:G42,1))</f>
        <v>1.76</v>
      </c>
      <c r="BC5" s="28">
        <f t="array" ref="BC5">_xlfn.QUARTILE.INC(TOCOL(C42:G42,1),3)</f>
        <v>1.98</v>
      </c>
      <c r="BD5" s="27">
        <f t="array" ref="BD5">MAX(TOCOL(C42:G42,1))</f>
        <v>2.05</v>
      </c>
      <c r="BF5" s="24" t="s">
        <v>15</v>
      </c>
      <c r="BG5" s="27" t="str">
        <f t="array" ref="BG5">MIN(TOCOL(C57:G57,1))</f>
        <v>#REF!</v>
      </c>
      <c r="BH5" s="28" t="str">
        <f t="array" ref="BH5">_xlfn.QUARTILE.INC(TOCOL(C57:G57,1),1)</f>
        <v>#REF!</v>
      </c>
      <c r="BI5" s="28" t="str">
        <f t="array" ref="BI5">MEDIAN(TOCOL(C57:G57,1))</f>
        <v>#REF!</v>
      </c>
      <c r="BJ5" s="28" t="str">
        <f t="array" ref="BJ5">_xlfn.QUARTILE.INC(TOCOL(C57:G57,1),3)</f>
        <v>#REF!</v>
      </c>
      <c r="BK5" s="27" t="str">
        <f t="array" ref="BK5">MAX(TOCOL(C57:G57,1))</f>
        <v>#REF!</v>
      </c>
      <c r="BL5" s="29"/>
      <c r="BM5" s="30" t="s">
        <v>13</v>
      </c>
      <c r="BN5" s="31">
        <f t="array" ref="BN5">MIN(TOCOL(C16:G16,1))</f>
        <v>0.2263</v>
      </c>
      <c r="BO5" s="32">
        <f t="array" ref="BO5">_xlfn.QUARTILE.INC(TOCOL(C16:G16,1),1)</f>
        <v>0.2321</v>
      </c>
      <c r="BP5" s="32">
        <f t="array" ref="BP5">MEDIAN(TOCOL(C16:G16,1))</f>
        <v>0.2511</v>
      </c>
      <c r="BQ5" s="32">
        <f t="array" ref="BQ5">_xlfn.QUARTILE.INC(TOCOL(C16:G16,1),3)</f>
        <v>0.2675</v>
      </c>
      <c r="BR5" s="31">
        <f t="array" ref="BR5">MAX(TOCOL(C16:G16,1))</f>
        <v>0.2766</v>
      </c>
      <c r="BS5" s="33"/>
      <c r="BT5" s="30" t="s">
        <v>14</v>
      </c>
      <c r="BU5" s="34">
        <f t="array" ref="BU5">MIN(TOCOL(C43:G43,1))</f>
        <v>1.02</v>
      </c>
      <c r="BV5" s="35">
        <f t="array" ref="BV5">_xlfn.QUARTILE.INC(TOCOL(C43:G43,1),1)</f>
        <v>1.14</v>
      </c>
      <c r="BW5" s="35">
        <f t="array" ref="BW5">MEDIAN(TOCOL(C43:G43,1))</f>
        <v>1.15</v>
      </c>
      <c r="BX5" s="35">
        <f t="array" ref="BX5">_xlfn.QUARTILE.INC(TOCOL(C43:G43,1),3)</f>
        <v>1.22</v>
      </c>
      <c r="BY5" s="34">
        <f t="array" ref="BY5">MAX(TOCOL(C43:G43,1))</f>
        <v>1.27</v>
      </c>
      <c r="BZ5" s="33"/>
      <c r="CA5" s="30" t="s">
        <v>15</v>
      </c>
      <c r="CB5" s="34" t="str">
        <f t="array" ref="CB5">MIN(TOCOL(C58:G58,1))</f>
        <v>#REF!</v>
      </c>
      <c r="CC5" s="35" t="str">
        <f t="array" ref="CC5">_xlfn.QUARTILE.INC(TOCOL(C58:G58,1),1)</f>
        <v>#REF!</v>
      </c>
      <c r="CD5" s="35" t="str">
        <f t="array" ref="CD5">MEDIAN(TOCOL(C58:G58,1))</f>
        <v>#REF!</v>
      </c>
      <c r="CE5" s="35" t="str">
        <f t="array" ref="CE5">_xlfn.QUARTILE.INC(TOCOL(C58:G58,1),3)</f>
        <v>#REF!</v>
      </c>
      <c r="CF5" s="34" t="str">
        <f t="array" ref="CF5">MAX(TOCOL(C58:G58,1))</f>
        <v>#REF!</v>
      </c>
      <c r="CG5" s="29"/>
      <c r="CH5" s="30" t="s">
        <v>13</v>
      </c>
      <c r="CI5" s="31">
        <f t="array" ref="CI5">MIN(TOCOL(C17:G17,1))</f>
        <v>-0.0077</v>
      </c>
      <c r="CJ5" s="32">
        <f t="array" ref="CJ5">_xlfn.QUARTILE.INC(TOCOL(C17:G17,1),1)</f>
        <v>0.0318</v>
      </c>
      <c r="CK5" s="32">
        <f t="array" ref="CK5">MEDIAN(TOCOL(C17:G17,1))</f>
        <v>0.1629</v>
      </c>
      <c r="CL5" s="32">
        <f t="array" ref="CL5">_xlfn.QUARTILE.INC(TOCOL(C17:G17,1),3)</f>
        <v>0.2401</v>
      </c>
      <c r="CM5" s="31">
        <f t="array" ref="CM5">MAX(TOCOL(C17:G17,1))</f>
        <v>0.2453</v>
      </c>
      <c r="CN5" s="33"/>
      <c r="CO5" s="30" t="s">
        <v>14</v>
      </c>
      <c r="CP5" s="34">
        <f t="array" ref="CP5">MIN(TOCOL(C44:G44,1))</f>
        <v>0.83</v>
      </c>
      <c r="CQ5" s="35">
        <f t="array" ref="CQ5">_xlfn.QUARTILE.INC(TOCOL(C44:G44,1),1)</f>
        <v>1.26</v>
      </c>
      <c r="CR5" s="35">
        <f t="array" ref="CR5">MEDIAN(TOCOL(C44:G44,1))</f>
        <v>2.2</v>
      </c>
      <c r="CS5" s="35">
        <f t="array" ref="CS5">_xlfn.QUARTILE.INC(TOCOL(C44:G44,1),3)</f>
        <v>2.99</v>
      </c>
      <c r="CT5" s="34">
        <f t="array" ref="CT5">MAX(TOCOL(C44:G44,1))</f>
        <v>5.18</v>
      </c>
      <c r="CU5" s="33"/>
      <c r="CV5" s="30" t="s">
        <v>15</v>
      </c>
      <c r="CW5" s="34" t="str">
        <f t="array" ref="CW5">MIN(TOCOL(C59:G59,1))</f>
        <v>#REF!</v>
      </c>
      <c r="CX5" s="35" t="str">
        <f t="array" ref="CX5">_xlfn.QUARTILE.INC(TOCOL(C59:G59,1),1)</f>
        <v>#REF!</v>
      </c>
      <c r="CY5" s="35" t="str">
        <f t="array" ref="CY5">MEDIAN(TOCOL(C59:G59,1))</f>
        <v>#REF!</v>
      </c>
      <c r="CZ5" s="35" t="str">
        <f t="array" ref="CZ5">_xlfn.QUARTILE.INC(TOCOL(C59:G59,1),3)</f>
        <v>#REF!</v>
      </c>
      <c r="DA5" s="34" t="str">
        <f t="array" ref="DA5">MAX(TOCOL(C59:G59,1))</f>
        <v>#REF!</v>
      </c>
    </row>
    <row r="6">
      <c r="A6" s="15"/>
      <c r="B6" s="24" t="s">
        <v>16</v>
      </c>
      <c r="C6" s="25">
        <f t="array" ref="C6">MIN(TOCOL(H15:L17,1))</f>
        <v>-0.5802</v>
      </c>
      <c r="D6" s="26">
        <f t="array" ref="D6">_xlfn.QUARTILE.INC(TOCOL(H15:L17,1),1)</f>
        <v>0.05385</v>
      </c>
      <c r="E6" s="26">
        <f t="array" ref="E6">MEDIAN(TOCOL(H15:L17,1))</f>
        <v>0.0827</v>
      </c>
      <c r="F6" s="26">
        <f t="array" ref="F6">_xlfn.QUARTILE.INC(TOCOL(H15:L17,1),3)</f>
        <v>0.112</v>
      </c>
      <c r="G6" s="25">
        <f t="array" ref="G6">MAX(TOCOL(I14:L17,1))</f>
        <v>0.1394</v>
      </c>
      <c r="I6" s="24" t="s">
        <v>17</v>
      </c>
      <c r="J6" s="27">
        <f t="array" ref="J6">MIN(TOCOL(J42:N44,1))</f>
        <v>0.47</v>
      </c>
      <c r="K6" s="28">
        <f t="array" ref="K6">_xlfn.QUARTILE.INC(TOCOL(J42:N44,1),1)</f>
        <v>0.535</v>
      </c>
      <c r="L6" s="28">
        <f t="array" ref="L6">MEDIAN(TOCOL(J42:N44,1))</f>
        <v>0.72</v>
      </c>
      <c r="M6" s="28">
        <f t="array" ref="M6">_xlfn.QUARTILE.INC(TOCOL(J42:N44,1),3)</f>
        <v>1.195</v>
      </c>
      <c r="N6" s="27">
        <f t="array" ref="N6">MAX(TOCOL(J42:N44,1))</f>
        <v>2.58</v>
      </c>
      <c r="P6" s="24" t="s">
        <v>18</v>
      </c>
      <c r="Q6" s="27" t="str">
        <f t="array" ref="Q6">MIN(TOCOL(J56:M59,1))</f>
        <v>#REF!</v>
      </c>
      <c r="R6" s="28" t="str">
        <f t="array" ref="R6">_xlfn.QUARTILE.INC(TOCOL(J56:M59,1),1)</f>
        <v>#REF!</v>
      </c>
      <c r="S6" s="28" t="str">
        <f t="array" ref="S6">MEDIAN(TOCOL(J56:M59,1))</f>
        <v>#REF!</v>
      </c>
      <c r="T6" s="28" t="str">
        <f t="array" ref="T6">_xlfn.QUARTILE.INC(TOCOL(J56:M59,1),3)</f>
        <v>#REF!</v>
      </c>
      <c r="U6" s="27" t="str">
        <f t="array" ref="U6">MAX(TOCOL(J56:M59,1))</f>
        <v>#REF!</v>
      </c>
      <c r="V6" s="36"/>
      <c r="W6" s="24" t="s">
        <v>16</v>
      </c>
      <c r="X6" s="24">
        <f t="array" ref="X6">MIN(TOCOL(H14:L14,1))</f>
        <v>0</v>
      </c>
      <c r="Y6" s="26" t="str">
        <f t="array" ref="Y6">_xlfn.QUARTILE.INC(TOCOL(H14:L14,1),1)</f>
        <v>#NUM!</v>
      </c>
      <c r="Z6" s="26" t="str">
        <f t="array" ref="Z6">MEDIAN(TOCOL(H14:L14,1))</f>
        <v>#NUM!</v>
      </c>
      <c r="AA6" s="26" t="str">
        <f t="array" ref="AA6">_xlfn.QUARTILE.INC(TOCOL(H14:L14,1),3)</f>
        <v>#NUM!</v>
      </c>
      <c r="AB6" s="24">
        <f t="array" ref="AB6">MAX(TOCOL(H14:L14,1))</f>
        <v>0</v>
      </c>
      <c r="AD6" s="24" t="s">
        <v>17</v>
      </c>
      <c r="AE6" s="27">
        <f t="array" ref="AE6">MIN(TOCOL(J41:N41,1))</f>
        <v>163</v>
      </c>
      <c r="AF6" s="28">
        <f t="array" ref="AF6">_xlfn.QUARTILE.INC(TOCOL(J41:N41,1),1)</f>
        <v>204</v>
      </c>
      <c r="AG6" s="28">
        <f t="array" ref="AG6">MEDIAN(TOCOL(J41:N41,1))</f>
        <v>245</v>
      </c>
      <c r="AH6" s="28">
        <f t="array" ref="AH6">_xlfn.QUARTILE.INC(TOCOL(J41:N41,1),3)</f>
        <v>302</v>
      </c>
      <c r="AI6" s="27">
        <f t="array" ref="AI6">MAX(TOCOL(J41:N41,1))</f>
        <v>310</v>
      </c>
      <c r="AK6" s="24" t="s">
        <v>18</v>
      </c>
      <c r="AL6" s="27">
        <f t="array" ref="AL6">MIN(TOCOL(J56:N56,1))</f>
        <v>163</v>
      </c>
      <c r="AM6" s="28">
        <f t="array" ref="AM6">_xlfn.QUARTILE.INC(TOCOL(J56:N56,1),1)</f>
        <v>204</v>
      </c>
      <c r="AN6" s="28">
        <f t="array" ref="AN6">MEDIAN(TOCOL(J56:N56,1))</f>
        <v>245</v>
      </c>
      <c r="AO6" s="28">
        <f t="array" ref="AO6">_xlfn.QUARTILE.INC(TOCOL(J56:N56,1),3)</f>
        <v>302</v>
      </c>
      <c r="AP6" s="27">
        <f t="array" ref="AP6">MAX(TOCOL(J56:N56,1))</f>
        <v>310</v>
      </c>
      <c r="AQ6" s="36"/>
      <c r="AR6" s="24" t="s">
        <v>16</v>
      </c>
      <c r="AS6" s="25">
        <f t="array" ref="AS6">MIN(TOCOL(H15:L15,1))</f>
        <v>0.0998</v>
      </c>
      <c r="AT6" s="26">
        <f t="array" ref="AT6">_xlfn.QUARTILE.INC(TOCOL(H15:L15,1),1)</f>
        <v>0.1242</v>
      </c>
      <c r="AU6" s="26">
        <f t="array" ref="AU6">MEDIAN(TOCOL(H15:L15,1))</f>
        <v>0.1299</v>
      </c>
      <c r="AV6" s="26">
        <f t="array" ref="AV6">_xlfn.QUARTILE.INC(TOCOL(H15:L15,1),3)</f>
        <v>0.1352</v>
      </c>
      <c r="AW6" s="25">
        <f t="array" ref="AW6">MAX(TOCOL(H15:L15,1))</f>
        <v>0.1394</v>
      </c>
      <c r="AX6" s="2"/>
      <c r="AY6" s="24" t="s">
        <v>17</v>
      </c>
      <c r="AZ6" s="27">
        <f t="array" ref="AZ6">MIN(TOCOL(J42:N42,1))</f>
        <v>0.47</v>
      </c>
      <c r="BA6" s="28">
        <f t="array" ref="BA6">_xlfn.QUARTILE.INC(TOCOL(J42:N42,1),1)</f>
        <v>0.68</v>
      </c>
      <c r="BB6" s="28">
        <f t="array" ref="BB6">MEDIAN(TOCOL(J42:N42,1))</f>
        <v>0.72</v>
      </c>
      <c r="BC6" s="28">
        <f t="array" ref="BC6">_xlfn.QUARTILE.INC(TOCOL(J42:N42,1),3)</f>
        <v>1.19</v>
      </c>
      <c r="BD6" s="27">
        <f t="array" ref="BD6">MAX(TOCOL(J42:N42,1))</f>
        <v>1.2</v>
      </c>
      <c r="BF6" s="24" t="s">
        <v>18</v>
      </c>
      <c r="BG6" s="27" t="str">
        <f t="array" ref="BG6">MIN(TOCOL(J57:N57,1))</f>
        <v>#REF!</v>
      </c>
      <c r="BH6" s="28" t="str">
        <f t="array" ref="BH6">_xlfn.QUARTILE.INC(TOCOL(J57:N57,1),1)</f>
        <v>#REF!</v>
      </c>
      <c r="BI6" s="28" t="str">
        <f t="array" ref="BI6">MEDIAN(TOCOL(J57:N57,1))</f>
        <v>#REF!</v>
      </c>
      <c r="BJ6" s="28" t="str">
        <f t="array" ref="BJ6">_xlfn.QUARTILE.INC(TOCOL(J57:N57,1),3)</f>
        <v>#REF!</v>
      </c>
      <c r="BK6" s="27" t="str">
        <f t="array" ref="BK6">MAX(TOCOL(J57:N57,1))</f>
        <v>#REF!</v>
      </c>
      <c r="BL6" s="36"/>
      <c r="BM6" s="30" t="s">
        <v>16</v>
      </c>
      <c r="BN6" s="31">
        <f t="array" ref="BN6">MIN(TOCOL(H16:L16,1))</f>
        <v>0.0344</v>
      </c>
      <c r="BO6" s="37">
        <f t="array" ref="BO6">_xlfn.QUARTILE.INC(TOCOL(H16:L16,1),1)</f>
        <v>0.0726</v>
      </c>
      <c r="BP6" s="37">
        <f t="array" ref="BP6">MEDIAN(TOCOL(H16:L16,1))</f>
        <v>0.0827</v>
      </c>
      <c r="BQ6" s="37">
        <f t="array" ref="BQ6">_xlfn.QUARTILE.INC(TOCOL(H16:L16,1),3)</f>
        <v>0.0837</v>
      </c>
      <c r="BR6" s="31">
        <f t="array" ref="BR6">MAX(TOCOL(H16:L16,1))</f>
        <v>0.0969</v>
      </c>
      <c r="BS6" s="33"/>
      <c r="BT6" s="30" t="s">
        <v>17</v>
      </c>
      <c r="BU6" s="34">
        <f t="array" ref="BU6">MIN(TOCOL(J43:N43,1))</f>
        <v>0.48</v>
      </c>
      <c r="BV6" s="35">
        <f t="array" ref="BV6">_xlfn.QUARTILE.INC(TOCOL(J43:N43,1),1)</f>
        <v>0.51</v>
      </c>
      <c r="BW6" s="35">
        <f t="array" ref="BW6">MEDIAN(TOCOL(J43:N43,1))</f>
        <v>0.52</v>
      </c>
      <c r="BX6" s="35">
        <f t="array" ref="BX6">_xlfn.QUARTILE.INC(TOCOL(J43:N43,1),3)</f>
        <v>0.59</v>
      </c>
      <c r="BY6" s="34">
        <f t="array" ref="BY6">MAX(TOCOL(J43:N43,1))</f>
        <v>0.85</v>
      </c>
      <c r="BZ6" s="33"/>
      <c r="CA6" s="30" t="s">
        <v>18</v>
      </c>
      <c r="CB6" s="34" t="str">
        <f t="array" ref="CB6">MIN(TOCOL(J58:N58,1))</f>
        <v>#REF!</v>
      </c>
      <c r="CC6" s="35" t="str">
        <f t="array" ref="CC6">_xlfn.QUARTILE.INC(TOCOL(J58:N58,1),1)</f>
        <v>#REF!</v>
      </c>
      <c r="CD6" s="35" t="str">
        <f t="array" ref="CD6">MEDIAN(TOCOL(J58:N58,1))</f>
        <v>#REF!</v>
      </c>
      <c r="CE6" s="35" t="str">
        <f t="array" ref="CE6">_xlfn.QUARTILE.INC(TOCOL(J58:N58,1),3)</f>
        <v>#REF!</v>
      </c>
      <c r="CF6" s="34" t="str">
        <f t="array" ref="CF6">MAX(TOCOL(J58:N58,1))</f>
        <v>#REF!</v>
      </c>
      <c r="CG6" s="36"/>
      <c r="CH6" s="30" t="s">
        <v>16</v>
      </c>
      <c r="CI6" s="38">
        <f t="array" ref="CI6">MIN(TOCOL(H17:L17,1))</f>
        <v>-0.5802</v>
      </c>
      <c r="CJ6" s="37">
        <f t="array" ref="CJ6">_xlfn.QUARTILE.INC(TOCOL(H17:L17,1),1)</f>
        <v>-0.2039</v>
      </c>
      <c r="CK6" s="37">
        <f t="array" ref="CK6">MEDIAN(TOCOL(H17:L17,1))</f>
        <v>0.047</v>
      </c>
      <c r="CL6" s="37">
        <f t="array" ref="CL6">_xlfn.QUARTILE.INC(TOCOL(H17:L17,1),3)</f>
        <v>0.0607</v>
      </c>
      <c r="CM6" s="38">
        <f t="array" ref="CM6">MAX(TOCOL(H17:L17,1))</f>
        <v>0.0658</v>
      </c>
      <c r="CN6" s="33"/>
      <c r="CO6" s="30" t="s">
        <v>17</v>
      </c>
      <c r="CP6" s="34">
        <f t="array" ref="CP6">MIN(TOCOL(J44:N44,1))</f>
        <v>0.55</v>
      </c>
      <c r="CQ6" s="35">
        <f t="array" ref="CQ6">_xlfn.QUARTILE.INC(TOCOL(J44:N44,1),1)</f>
        <v>0.83</v>
      </c>
      <c r="CR6" s="35">
        <f t="array" ref="CR6">MEDIAN(TOCOL(J44:N44,1))</f>
        <v>1.39</v>
      </c>
      <c r="CS6" s="35">
        <f t="array" ref="CS6">_xlfn.QUARTILE.INC(TOCOL(J44:N44,1),3)</f>
        <v>1.68</v>
      </c>
      <c r="CT6" s="34">
        <f t="array" ref="CT6">MAX(TOCOL(J44:N44,1))</f>
        <v>2.58</v>
      </c>
      <c r="CU6" s="33"/>
      <c r="CV6" s="30" t="s">
        <v>18</v>
      </c>
      <c r="CW6" s="34" t="str">
        <f t="array" ref="CW6">MIN(TOCOL(J59:N59,1))</f>
        <v>#REF!</v>
      </c>
      <c r="CX6" s="35" t="str">
        <f t="array" ref="CX6">_xlfn.QUARTILE.INC(TOCOL(J59:N59,1),1)</f>
        <v>#REF!</v>
      </c>
      <c r="CY6" s="35" t="str">
        <f t="array" ref="CY6">MEDIAN(TOCOL(J59:N59,1))</f>
        <v>#REF!</v>
      </c>
      <c r="CZ6" s="35" t="str">
        <f t="array" ref="CZ6">_xlfn.QUARTILE.INC(TOCOL(J59:N59,1),3)</f>
        <v>#REF!</v>
      </c>
      <c r="DA6" s="34" t="str">
        <f t="array" ref="DA6">MAX(TOCOL(J59:N59,1))</f>
        <v>#REF!</v>
      </c>
    </row>
    <row r="7">
      <c r="A7" s="15"/>
      <c r="B7" s="24" t="s">
        <v>19</v>
      </c>
      <c r="C7" s="25">
        <f t="array" ref="C7">MIN(TOCOL(M15:Q17,1))</f>
        <v>-0.2477</v>
      </c>
      <c r="D7" s="26">
        <f t="array" ref="D7">_xlfn.QUARTILE.INC(TOCOL(M15:Q16,1),1)</f>
        <v>0.0544</v>
      </c>
      <c r="E7" s="26">
        <f t="array" ref="E7">MEDIAN(TOCOL(N15:Q17,1))</f>
        <v>0.0688</v>
      </c>
      <c r="F7" s="26">
        <f t="array" ref="F7">_xlfn.QUARTILE.INC(TOCOL(M15:Q17,1),3)</f>
        <v>0.0868</v>
      </c>
      <c r="G7" s="25">
        <f t="array" ref="G7">MAX(TOCOL(M14:Q17,1))</f>
        <v>1.1501</v>
      </c>
      <c r="I7" s="24" t="s">
        <v>20</v>
      </c>
      <c r="J7" s="27">
        <f t="array" ref="J7">MIN(TOCOL(C50:G52,1))</f>
        <v>0.68</v>
      </c>
      <c r="K7" s="28">
        <f t="array" ref="K7">_xlfn.QUARTILE.INC(TOCOL(C50:G52,1),1)</f>
        <v>2.195</v>
      </c>
      <c r="L7" s="28">
        <f t="array" ref="L7">MEDIAN(TOCOL(C50:G52,1))</f>
        <v>2.395</v>
      </c>
      <c r="M7" s="28">
        <f t="array" ref="M7">_xlfn.QUARTILE.INC(TOCOL(C50:G52,1),3)</f>
        <v>2.55</v>
      </c>
      <c r="N7" s="27">
        <f t="array" ref="N7">MAX(TOCOL(C50:G52,1))</f>
        <v>4.1</v>
      </c>
      <c r="P7" s="24" t="s">
        <v>21</v>
      </c>
      <c r="Q7" s="27" t="str">
        <f t="array" ref="Q7">MIN(TOCOL(C63:F66,1))</f>
        <v>#REF!</v>
      </c>
      <c r="R7" s="28" t="str">
        <f t="array" ref="R7">_xlfn.QUARTILE.INC(TOCOL(C63:F66,1),1)</f>
        <v>#REF!</v>
      </c>
      <c r="S7" s="28" t="str">
        <f t="array" ref="S7">MEDIAN(TOCOL(C63:F66,1))</f>
        <v>#REF!</v>
      </c>
      <c r="T7" s="28" t="str">
        <f t="array" ref="T7">_xlfn.QUARTILE.INC(TOCOL(C63:F66,1),3)</f>
        <v>#REF!</v>
      </c>
      <c r="U7" s="27" t="str">
        <f t="array" ref="U7">MAX(TOCOL(C63:F66,1))</f>
        <v>#REF!</v>
      </c>
      <c r="V7" s="39"/>
      <c r="W7" s="24" t="s">
        <v>19</v>
      </c>
      <c r="X7" s="24">
        <f t="array" ref="X7">MIN(TOCOL(M14:Q14,1))</f>
        <v>0</v>
      </c>
      <c r="Y7" s="26" t="str">
        <f t="array" ref="Y7">_xlfn.QUARTILE.INC(TOCOL(M14:Q14,1),1)</f>
        <v>#NUM!</v>
      </c>
      <c r="Z7" s="26" t="str">
        <f t="array" ref="Z7">MEDIAN(TOCOL(M14:Q14,1))</f>
        <v>#NUM!</v>
      </c>
      <c r="AA7" s="26" t="str">
        <f t="array" ref="AA7">_xlfn.QUARTILE.INC(TOCOL(M14:Q14,1),3)</f>
        <v>#NUM!</v>
      </c>
      <c r="AB7" s="24">
        <f t="array" ref="AB7">MAX(TOCOL(M14:Q14,1))</f>
        <v>0</v>
      </c>
      <c r="AD7" s="24" t="s">
        <v>20</v>
      </c>
      <c r="AE7" s="27">
        <f t="array" ref="AE7">MIN(TOCOL(C49:G49,1))</f>
        <v>163</v>
      </c>
      <c r="AF7" s="28">
        <f t="array" ref="AF7">_xlfn.QUARTILE.INC(TOCOL(C49:G49,1),1)</f>
        <v>204</v>
      </c>
      <c r="AG7" s="28">
        <f t="array" ref="AG7">MEDIAN(TOCOL(C49:G49,1))</f>
        <v>245</v>
      </c>
      <c r="AH7" s="28">
        <f t="array" ref="AH7">_xlfn.QUARTILE.INC(TOCOL(C49:G49,1),3)</f>
        <v>302</v>
      </c>
      <c r="AI7" s="27">
        <f t="array" ref="AI7">MAX(TOCOL(C49:G49,1))</f>
        <v>310</v>
      </c>
      <c r="AK7" s="24" t="s">
        <v>21</v>
      </c>
      <c r="AL7" s="27">
        <f t="array" ref="AL7">MIN(TOCOL(C63:G63,1))</f>
        <v>163</v>
      </c>
      <c r="AM7" s="28">
        <f t="array" ref="AM7">_xlfn.QUARTILE.INC(TOCOL(C63:G63,1),1)</f>
        <v>204</v>
      </c>
      <c r="AN7" s="28">
        <f t="array" ref="AN7">MEDIAN(TOCOL(C63:G63,1))</f>
        <v>245</v>
      </c>
      <c r="AO7" s="28">
        <f t="array" ref="AO7">_xlfn.QUARTILE.INC(TOCOL(C63:G63,1),3)</f>
        <v>302</v>
      </c>
      <c r="AP7" s="27">
        <f t="array" ref="AP7">MAX(TOCOL(C63:G63,1))</f>
        <v>310</v>
      </c>
      <c r="AQ7" s="39"/>
      <c r="AR7" s="24" t="s">
        <v>19</v>
      </c>
      <c r="AS7" s="25">
        <f t="array" ref="AS7">MIN(TOCOL(M15:Q15,1))</f>
        <v>0.0627</v>
      </c>
      <c r="AT7" s="26">
        <f t="array" ref="AT7">_xlfn.QUARTILE.INC(TOCOL(M15:Q15,1),1)</f>
        <v>0.079</v>
      </c>
      <c r="AU7" s="26">
        <f t="array" ref="AU7">MEDIAN(TOCOL(M15:Q15,1))</f>
        <v>0.0893</v>
      </c>
      <c r="AV7" s="26">
        <f t="array" ref="AV7">_xlfn.QUARTILE.INC(TOCOL(M15:Q15,1),3)</f>
        <v>0.0906</v>
      </c>
      <c r="AW7" s="25">
        <f t="array" ref="AW7">MAX(TOCOL(M15:Q15,1))</f>
        <v>0.091</v>
      </c>
      <c r="AX7" s="2"/>
      <c r="AY7" s="24" t="s">
        <v>20</v>
      </c>
      <c r="AZ7" s="27">
        <f t="array" ref="AZ7">MIN(TOCOL(C50:G50,1))</f>
        <v>2.3</v>
      </c>
      <c r="BA7" s="28">
        <f t="array" ref="BA7">_xlfn.QUARTILE.INC(TOCOL(C50:G50,1),1)</f>
        <v>2.31</v>
      </c>
      <c r="BB7" s="28">
        <f t="array" ref="BB7">MEDIAN(TOCOL(C50:G50,1))</f>
        <v>2.42</v>
      </c>
      <c r="BC7" s="28">
        <f t="array" ref="BC7">_xlfn.QUARTILE.INC(TOCOL(C50:G50,1),3)</f>
        <v>3.37</v>
      </c>
      <c r="BD7" s="27">
        <f t="array" ref="BD7">MAX(TOCOL(C50:G50,1))</f>
        <v>3.6</v>
      </c>
      <c r="BF7" s="24" t="s">
        <v>21</v>
      </c>
      <c r="BG7" s="27" t="str">
        <f t="array" ref="BG7">MIN(TOCOL(C64:G64,1))</f>
        <v>#REF!</v>
      </c>
      <c r="BH7" s="28" t="str">
        <f t="array" ref="BH7">_xlfn.QUARTILE.INC(TOCOL(C64:G64,1),1)</f>
        <v>#REF!</v>
      </c>
      <c r="BI7" s="28" t="str">
        <f t="array" ref="BI7">MEDIAN(TOCOL(C64:G64,1))</f>
        <v>#REF!</v>
      </c>
      <c r="BJ7" s="28" t="str">
        <f t="array" ref="BJ7">_xlfn.QUARTILE.INC(TOCOL(C64:G64,1),3)</f>
        <v>#REF!</v>
      </c>
      <c r="BK7" s="27" t="str">
        <f t="array" ref="BK7">MAX(TOCOL(C64:G64,1))</f>
        <v>#REF!</v>
      </c>
      <c r="BL7" s="39"/>
      <c r="BM7" s="30" t="s">
        <v>19</v>
      </c>
      <c r="BN7" s="31">
        <f t="array" ref="BN7">MIN(TOCOL(M16:Q16,1))</f>
        <v>0.005</v>
      </c>
      <c r="BO7" s="37">
        <f t="array" ref="BO7">_xlfn.QUARTILE.INC(TOCOL(M16:Q16,1),1)</f>
        <v>0.0528</v>
      </c>
      <c r="BP7" s="37">
        <f t="array" ref="BP7">MEDIAN(TOCOL(M16:Q16,1))</f>
        <v>0.053</v>
      </c>
      <c r="BQ7" s="37">
        <f t="array" ref="BQ7">_xlfn.QUARTILE.INC(TOCOL(M16:Q16,1),3)</f>
        <v>0.0586</v>
      </c>
      <c r="BR7" s="31">
        <f t="array" ref="BR7">MAX(TOCOL(M16:Q16,1))</f>
        <v>0.0843</v>
      </c>
      <c r="BS7" s="33"/>
      <c r="BT7" s="30" t="s">
        <v>20</v>
      </c>
      <c r="BU7" s="34">
        <f t="array" ref="BU7">MIN(TOCOL(C51:G51,1))</f>
        <v>2.16</v>
      </c>
      <c r="BV7" s="35">
        <f t="array" ref="BV7">_xlfn.QUARTILE.INC(TOCOL(C51:G51,1),1)</f>
        <v>2.3175</v>
      </c>
      <c r="BW7" s="35">
        <f t="array" ref="BW7">MEDIAN(TOCOL(C51:G51,1))</f>
        <v>2.415</v>
      </c>
      <c r="BX7" s="35">
        <f t="array" ref="BX7">_xlfn.QUARTILE.INC(TOCOL(C51:G51,1),3)</f>
        <v>2.49</v>
      </c>
      <c r="BY7" s="34">
        <f t="array" ref="BY7">MAX(TOCOL(C51:G51,1))</f>
        <v>2.58</v>
      </c>
      <c r="BZ7" s="33"/>
      <c r="CA7" s="30" t="s">
        <v>21</v>
      </c>
      <c r="CB7" s="34" t="str">
        <f t="array" ref="CB7">MIN(TOCOL(C65:G65,1))</f>
        <v>#REF!</v>
      </c>
      <c r="CC7" s="35" t="str">
        <f t="array" ref="CC7">_xlfn.QUARTILE.INC(TOCOL(C65:G65,1),1)</f>
        <v>#REF!</v>
      </c>
      <c r="CD7" s="35" t="str">
        <f t="array" ref="CD7">MEDIAN(TOCOL(C65:G65,1))</f>
        <v>#REF!</v>
      </c>
      <c r="CE7" s="35" t="str">
        <f t="array" ref="CE7">_xlfn.QUARTILE.INC(TOCOL(C65:G65,1),3)</f>
        <v>#REF!</v>
      </c>
      <c r="CF7" s="34" t="str">
        <f t="array" ref="CF7">MAX(TOCOL(C65:G65,1))</f>
        <v>#REF!</v>
      </c>
      <c r="CG7" s="39"/>
      <c r="CH7" s="30" t="s">
        <v>19</v>
      </c>
      <c r="CI7" s="38">
        <f t="array" ref="CI7">MIN(TOCOL(M17:Q17,1))</f>
        <v>-0.2477</v>
      </c>
      <c r="CJ7" s="37">
        <f t="array" ref="CJ7">_xlfn.QUARTILE.INC(TOCOL(M17:Q17,1),1)</f>
        <v>0.0122</v>
      </c>
      <c r="CK7" s="37">
        <f t="array" ref="CK7">MEDIAN(TOCOL(M17:Q17,1))</f>
        <v>0.0178</v>
      </c>
      <c r="CL7" s="37">
        <f t="array" ref="CL7">_xlfn.QUARTILE.INC(TOCOL(M17:Q17,1),3)</f>
        <v>0.0192</v>
      </c>
      <c r="CM7" s="38">
        <f t="array" ref="CM7">MAX(TOCOL(M17:Q17,1))</f>
        <v>1.1501</v>
      </c>
      <c r="CN7" s="33"/>
      <c r="CO7" s="30" t="s">
        <v>20</v>
      </c>
      <c r="CP7" s="34">
        <f t="array" ref="CP7">MIN(TOCOL(C52:G52,1))</f>
        <v>0.68</v>
      </c>
      <c r="CQ7" s="35">
        <f t="array" ref="CQ7">_xlfn.QUARTILE.INC(TOCOL(C52:G52,1),1)</f>
        <v>1.29</v>
      </c>
      <c r="CR7" s="35">
        <f t="array" ref="CR7">MEDIAN(TOCOL(C52:G52,1))</f>
        <v>1.87</v>
      </c>
      <c r="CS7" s="35">
        <f t="array" ref="CS7">_xlfn.QUARTILE.INC(TOCOL(C52:G52,1),3)</f>
        <v>2.42</v>
      </c>
      <c r="CT7" s="34">
        <f t="array" ref="CT7">MAX(TOCOL(C52:G52,1))</f>
        <v>4.1</v>
      </c>
      <c r="CU7" s="33"/>
      <c r="CV7" s="30" t="s">
        <v>21</v>
      </c>
      <c r="CW7" s="34" t="str">
        <f t="array" ref="CW7">MIN(TOCOL(C66:G66,1))</f>
        <v>#REF!</v>
      </c>
      <c r="CX7" s="35" t="str">
        <f t="array" ref="CX7">_xlfn.QUARTILE.INC(TOCOL(C66:G66,1),1)</f>
        <v>#REF!</v>
      </c>
      <c r="CY7" s="35" t="str">
        <f t="array" ref="CY7">MEDIAN(TOCOL(C66:G66,1))</f>
        <v>#REF!</v>
      </c>
      <c r="CZ7" s="35" t="str">
        <f t="array" ref="CZ7">_xlfn.QUARTILE.INC(TOCOL(C66:G66,1),3)</f>
        <v>#REF!</v>
      </c>
      <c r="DA7" s="34" t="str">
        <f t="array" ref="DA7">MAX(TOCOL(C66:G66,1))</f>
        <v>#REF!</v>
      </c>
    </row>
    <row r="8">
      <c r="A8" s="15"/>
      <c r="B8" s="40" t="s">
        <v>22</v>
      </c>
      <c r="C8" s="41">
        <f t="array" ref="C8">MIN(TOCOL(C78:G80,1))</f>
        <v>-0.5108</v>
      </c>
      <c r="D8" s="42">
        <f t="array" ref="D8">_xlfn.QUARTILE.INC(TOCOL(C78:G80,1),1)</f>
        <v>0.07305</v>
      </c>
      <c r="E8" s="42">
        <f t="array" ref="E8">MEDIAN(TOCOL(C78:G80,1))</f>
        <v>0.0896</v>
      </c>
      <c r="F8" s="42">
        <f t="array" ref="F8">_xlfn.QUARTILE.INC(TOCOL(C78:G80,1),3)</f>
        <v>0.12095</v>
      </c>
      <c r="G8" s="41">
        <f t="array" ref="G8">MAX(TOCOL(C77:G80,1))</f>
        <v>55.01</v>
      </c>
      <c r="H8" s="15"/>
      <c r="I8" s="40" t="s">
        <v>23</v>
      </c>
      <c r="J8" s="34">
        <f t="array" ref="J8">MIN(TOCOL(J50:N52,1))</f>
        <v>0.12</v>
      </c>
      <c r="K8" s="28">
        <f t="array" ref="K8">_xlfn.QUARTILE.INC(TOCOL(J50:N52,1),1)</f>
        <v>0.5</v>
      </c>
      <c r="L8" s="28">
        <f t="array" ref="L8">MEDIAN(TOCOL(J50:N52,1))</f>
        <v>0.66</v>
      </c>
      <c r="M8" s="28">
        <f t="array" ref="M8">_xlfn.QUARTILE.INC(TOCOL(J50:N52,1),3)</f>
        <v>0.975</v>
      </c>
      <c r="N8" s="34">
        <f t="array" ref="N8">MAX(TOCOL(J50:N52,1))</f>
        <v>1.45</v>
      </c>
      <c r="P8" s="40" t="s">
        <v>24</v>
      </c>
      <c r="Q8" s="34" t="str">
        <f t="array" ref="Q8">MIN(TOCOL(J63:M66,1))</f>
        <v>#REF!</v>
      </c>
      <c r="R8" s="28" t="str">
        <f t="array" ref="R8">_xlfn.QUARTILE.INC(TOCOL(J63:M66,1),1)</f>
        <v>#REF!</v>
      </c>
      <c r="S8" s="28" t="str">
        <f t="array" ref="S8">MEDIAN(TOCOL(J63:M66,1))</f>
        <v>#REF!</v>
      </c>
      <c r="T8" s="28" t="str">
        <f t="array" ref="T8">_xlfn.QUARTILE.INC(TOCOL(J63:M66,1),3)</f>
        <v>#REF!</v>
      </c>
      <c r="U8" s="34" t="str">
        <f t="array" ref="U8">MAX(TOCOL(I63:N66,1))</f>
        <v>#REF!</v>
      </c>
      <c r="V8" s="39"/>
      <c r="W8" s="43" t="s">
        <v>22</v>
      </c>
      <c r="X8" s="41">
        <f t="array" ref="X8">MIN(TOCOL(C77:G77,1))</f>
        <v>24.45</v>
      </c>
      <c r="Y8" s="42">
        <f t="array" ref="Y8">_xlfn.QUARTILE.INC(TOCOL(C77:G77,1),1)</f>
        <v>28</v>
      </c>
      <c r="Z8" s="42">
        <f t="array" ref="Z8">MEDIAN(TOCOL(C77:G77,1))</f>
        <v>32.02</v>
      </c>
      <c r="AA8" s="42">
        <f t="array" ref="AA8">_xlfn.QUARTILE.INC(TOCOL(C77:G77,1),3)</f>
        <v>38.21</v>
      </c>
      <c r="AB8" s="41">
        <f t="array" ref="AB8">MAX(TOCOL(X77:AB80,1))</f>
        <v>0.1958</v>
      </c>
      <c r="AC8" s="15"/>
      <c r="AD8" s="40" t="s">
        <v>23</v>
      </c>
      <c r="AE8" s="34">
        <f t="array" ref="AE8">MIN(TOCOL(J49:N49,1))</f>
        <v>163</v>
      </c>
      <c r="AF8" s="28">
        <f t="array" ref="AF8">_xlfn.QUARTILE.INC(TOCOL(J49:N49,1),1)</f>
        <v>204</v>
      </c>
      <c r="AG8" s="28">
        <f t="array" ref="AG8">MEDIAN(TOCOL(J49:N49,1))</f>
        <v>245</v>
      </c>
      <c r="AH8" s="28">
        <f t="array" ref="AH8">_xlfn.QUARTILE.INC(TOCOL(J49:N49,1),3)</f>
        <v>302</v>
      </c>
      <c r="AI8" s="34">
        <f t="array" ref="AI8">MAX(TOCOL(J49:N49,1))</f>
        <v>310</v>
      </c>
      <c r="AK8" s="40" t="s">
        <v>24</v>
      </c>
      <c r="AL8" s="34">
        <f t="array" ref="AL8">MIN(TOCOL(J63:N63,1))</f>
        <v>163</v>
      </c>
      <c r="AM8" s="28">
        <f t="array" ref="AM8">_xlfn.QUARTILE.INC(TOCOL(J63:N63,1),1)</f>
        <v>204</v>
      </c>
      <c r="AN8" s="28">
        <f t="array" ref="AN8">MEDIAN(TOCOL(J63:N63,1))</f>
        <v>245</v>
      </c>
      <c r="AO8" s="28">
        <f t="array" ref="AO8">_xlfn.QUARTILE.INC(TOCOL(J63:N63,1),3)</f>
        <v>302</v>
      </c>
      <c r="AP8" s="34">
        <f t="array" ref="AP8">MAX(TOCOL(J63:N63,1))</f>
        <v>310</v>
      </c>
      <c r="AQ8" s="39"/>
      <c r="AR8" s="40" t="s">
        <v>22</v>
      </c>
      <c r="AS8" s="41">
        <f t="array" ref="AS8">MIN(TOCOL(C78:G78,1))</f>
        <v>0.1103</v>
      </c>
      <c r="AT8" s="42">
        <f t="array" ref="AT8">_xlfn.QUARTILE.INC(TOCOL(C78:G78,1),1)</f>
        <v>0.1316</v>
      </c>
      <c r="AU8" s="42">
        <f t="array" ref="AU8">MEDIAN(TOCOL(C78:G78,1))</f>
        <v>0.1417</v>
      </c>
      <c r="AV8" s="42">
        <f t="array" ref="AV8">_xlfn.QUARTILE.INC(TOCOL(C78:G78,1),3)</f>
        <v>0.1426</v>
      </c>
      <c r="AW8" s="41">
        <f t="array" ref="AW8">MAX(TOCOL(C78:G78,1))</f>
        <v>0.146</v>
      </c>
      <c r="AX8" s="44"/>
      <c r="AY8" s="40" t="s">
        <v>23</v>
      </c>
      <c r="AZ8" s="34">
        <f t="array" ref="AZ8">MIN(TOCOL(J50:N50,1))</f>
        <v>0.41</v>
      </c>
      <c r="BA8" s="28">
        <f t="array" ref="BA8">_xlfn.QUARTILE.INC(TOCOL(J50:N50,1),1)</f>
        <v>0.5</v>
      </c>
      <c r="BB8" s="28">
        <f t="array" ref="BB8">MEDIAN(TOCOL(J50:N50,1))</f>
        <v>0.57</v>
      </c>
      <c r="BC8" s="28">
        <f t="array" ref="BC8">_xlfn.QUARTILE.INC(TOCOL(J50:N50,1),3)</f>
        <v>0.62</v>
      </c>
      <c r="BD8" s="34">
        <f t="array" ref="BD8">MAX(TOCOL(J50:N50,1))</f>
        <v>0.74</v>
      </c>
      <c r="BF8" s="40" t="s">
        <v>24</v>
      </c>
      <c r="BG8" s="34" t="str">
        <f t="array" ref="BG8">MIN(TOCOL(J64:N64,1))</f>
        <v>#REF!</v>
      </c>
      <c r="BH8" s="28" t="str">
        <f t="array" ref="BH8">_xlfn.QUARTILE.INC(TOCOL(J64:N64,1),1)</f>
        <v>#REF!</v>
      </c>
      <c r="BI8" s="28" t="str">
        <f t="array" ref="BI8">MEDIAN(TOCOL(J64:N64,1))</f>
        <v>#REF!</v>
      </c>
      <c r="BJ8" s="28" t="str">
        <f t="array" ref="BJ8">_xlfn.QUARTILE.INC(TOCOL(J64:N64,1),3)</f>
        <v>#REF!</v>
      </c>
      <c r="BK8" s="34" t="str">
        <f t="array" ref="BK8">MAX(TOCOL(J64:N64,1))</f>
        <v>#REF!</v>
      </c>
      <c r="BL8" s="39"/>
      <c r="BM8" s="30" t="s">
        <v>22</v>
      </c>
      <c r="BN8" s="31">
        <f t="array" ref="BN8">MIN(TOCOL(C79:G79,1))</f>
        <v>0.0404</v>
      </c>
      <c r="BO8" s="37">
        <f t="array" ref="BO8">_xlfn.QUARTILE.INC(TOCOL(C79:G79,1),1)</f>
        <v>0.0783</v>
      </c>
      <c r="BP8" s="37">
        <f t="array" ref="BP8">MEDIAN(TOCOL(C79:G79,1))</f>
        <v>0.0893</v>
      </c>
      <c r="BQ8" s="37">
        <f t="array" ref="BQ8">_xlfn.QUARTILE.INC(TOCOL(C79:G79,1),3)</f>
        <v>0.0896</v>
      </c>
      <c r="BR8" s="31">
        <f t="array" ref="BR8">MAX(TOCOL(C79:G79,1))</f>
        <v>0.1043</v>
      </c>
      <c r="BS8" s="33"/>
      <c r="BT8" s="30" t="s">
        <v>23</v>
      </c>
      <c r="BU8" s="34">
        <f t="array" ref="BU8">MIN(TOCOL(J51:N51,1))</f>
        <v>0.8</v>
      </c>
      <c r="BV8" s="35">
        <f t="array" ref="BV8">_xlfn.QUARTILE.INC(TOCOL(J51:N51,1),1)</f>
        <v>1.03</v>
      </c>
      <c r="BW8" s="35">
        <f t="array" ref="BW8">MEDIAN(TOCOL(J51:N51,1))</f>
        <v>1.14</v>
      </c>
      <c r="BX8" s="35">
        <f t="array" ref="BX8">_xlfn.QUARTILE.INC(TOCOL(J51:N51,1),3)</f>
        <v>1.28</v>
      </c>
      <c r="BY8" s="34">
        <f t="array" ref="BY8">MAX(TOCOL(J51:N51,1))</f>
        <v>1.45</v>
      </c>
      <c r="BZ8" s="33"/>
      <c r="CA8" s="30" t="s">
        <v>24</v>
      </c>
      <c r="CB8" s="34" t="str">
        <f t="array" ref="CB8">MIN(TOCOL(J65:N65,1))</f>
        <v>#REF!</v>
      </c>
      <c r="CC8" s="35" t="str">
        <f t="array" ref="CC8">_xlfn.QUARTILE.INC(TOCOL(J65:N65,1),1)</f>
        <v>#REF!</v>
      </c>
      <c r="CD8" s="35" t="str">
        <f t="array" ref="CD8">MEDIAN(TOCOL(J65:N65,1))</f>
        <v>#REF!</v>
      </c>
      <c r="CE8" s="35" t="str">
        <f t="array" ref="CE8">_xlfn.QUARTILE.INC(TOCOL(J65:N65,1),3)</f>
        <v>#REF!</v>
      </c>
      <c r="CF8" s="34" t="str">
        <f t="array" ref="CF8">MAX(TOCOL(J65:N65,1))</f>
        <v>#REF!</v>
      </c>
      <c r="CG8" s="39"/>
      <c r="CH8" s="30" t="s">
        <v>22</v>
      </c>
      <c r="CI8" s="31">
        <f t="array" ref="CI8">MIN(TOCOL(C80:G80,1))</f>
        <v>-0.5108</v>
      </c>
      <c r="CJ8" s="45">
        <f t="array" ref="CJ8">_xlfn.QUARTILE.INC(TOCOL(C80:G80,1),1)</f>
        <v>-0.1457</v>
      </c>
      <c r="CK8" s="45">
        <f t="array" ref="CK8">MEDIAN(TOCOL(C80:G80,1))</f>
        <v>0.0678</v>
      </c>
      <c r="CL8" s="45">
        <f t="array" ref="CL8">_xlfn.QUARTILE.INC(TOCOL(C80:G80,1),3)</f>
        <v>0.0845</v>
      </c>
      <c r="CM8" s="31">
        <f t="array" ref="CM8">MAX(TOCOL(C80:G80,1))</f>
        <v>0.0944</v>
      </c>
      <c r="CN8" s="33"/>
      <c r="CO8" s="30" t="s">
        <v>23</v>
      </c>
      <c r="CP8" s="34">
        <f t="array" ref="CP8">MIN(TOCOL(J52:N52,1))</f>
        <v>0.12</v>
      </c>
      <c r="CQ8" s="35">
        <f t="array" ref="CQ8">_xlfn.QUARTILE.INC(TOCOL(J52:N52,1),1)</f>
        <v>0.31</v>
      </c>
      <c r="CR8" s="35">
        <f t="array" ref="CR8">MEDIAN(TOCOL(J52:N52,1))</f>
        <v>0.5</v>
      </c>
      <c r="CS8" s="35">
        <f t="array" ref="CS8">_xlfn.QUARTILE.INC(TOCOL(J52:N52,1),3)</f>
        <v>0.66</v>
      </c>
      <c r="CT8" s="34">
        <f t="array" ref="CT8">MAX(TOCOL(J52:N52,1))</f>
        <v>0.92</v>
      </c>
      <c r="CU8" s="33"/>
      <c r="CV8" s="30" t="s">
        <v>24</v>
      </c>
      <c r="CW8" s="34" t="str">
        <f t="array" ref="CW8">MIN(TOCOL(J66:N66,1))</f>
        <v>#REF!</v>
      </c>
      <c r="CX8" s="35" t="str">
        <f t="array" ref="CX8">_xlfn.QUARTILE.INC(TOCOL(J66:N66,1),1)</f>
        <v>#REF!</v>
      </c>
      <c r="CY8" s="35" t="str">
        <f t="array" ref="CY8">MEDIAN(TOCOL(J66:N66,1))</f>
        <v>#REF!</v>
      </c>
      <c r="CZ8" s="35" t="str">
        <f t="array" ref="CZ8">_xlfn.QUARTILE.INC(TOCOL(J66:N66,1),3)</f>
        <v>#REF!</v>
      </c>
      <c r="DA8" s="34" t="str">
        <f t="array" ref="DA8">MAX(TOCOL(J66:N66,1))</f>
        <v>#REF!</v>
      </c>
    </row>
    <row r="9">
      <c r="B9" s="24" t="s">
        <v>25</v>
      </c>
      <c r="C9" s="25">
        <f t="array" ref="C9">MIN(TOCOL(R15:V17,1))</f>
        <v>-0.0592</v>
      </c>
      <c r="D9" s="42">
        <f t="array" ref="D9">_xlfn.QUARTILE.INC(TOCOL(R15:V17,1),1)</f>
        <v>0.0215</v>
      </c>
      <c r="E9" s="42">
        <f t="array" ref="E9">MEDIAN(TOCOL(R15:V17,1))</f>
        <v>0.0481</v>
      </c>
      <c r="F9" s="42">
        <f t="array" ref="F9">_xlfn.QUARTILE.INC(TOCOL(R15:V17,1),3)</f>
        <v>0.09105</v>
      </c>
      <c r="G9" s="41">
        <f t="array" ref="G9">MAX(TOCOL(R14:V17,1))</f>
        <v>0.1335</v>
      </c>
      <c r="P9" s="24" t="s">
        <v>26</v>
      </c>
      <c r="Q9" s="34" t="str">
        <f t="array" ref="Q9">MIN(TOCOL(C70:F73,1))</f>
        <v>#REF!</v>
      </c>
      <c r="R9" s="28" t="str">
        <f t="array" ref="R9">_xlfn.QUARTILE.INC(TOCOL(C70:F73,1),1)</f>
        <v>#REF!</v>
      </c>
      <c r="S9" s="28" t="str">
        <f t="array" ref="S9">MEDIAN(TOCOL(C70:F73,1))</f>
        <v>#REF!</v>
      </c>
      <c r="T9" s="28" t="str">
        <f t="array" ref="T9">_xlfn.QUARTILE.INC(TOCOL(C70:F73,1),3)</f>
        <v>#REF!</v>
      </c>
      <c r="U9" s="34" t="str">
        <f t="array" ref="U9">MAX(TOCOL(C70:F73,1))</f>
        <v>#REF!</v>
      </c>
      <c r="V9" s="39"/>
      <c r="W9" s="24" t="s">
        <v>25</v>
      </c>
      <c r="X9" s="24">
        <f t="array" ref="X9">MIN(TOCOL(R14:V14,1))</f>
        <v>0</v>
      </c>
      <c r="Y9" s="42" t="str">
        <f t="array" ref="Y9">_xlfn.QUARTILE.INC(TOCOL(R14:V14,1),1)</f>
        <v>#NUM!</v>
      </c>
      <c r="Z9" s="42" t="str">
        <f t="array" ref="Z9">MEDIAN(TOCOL(R14:V14,1))</f>
        <v>#NUM!</v>
      </c>
      <c r="AA9" s="42" t="str">
        <f t="array" ref="AA9">_xlfn.QUARTILE.INC(TOCOL(R14:V14,1),3)</f>
        <v>#NUM!</v>
      </c>
      <c r="AB9" s="41">
        <f t="array" ref="AB9">MAX(TOCOL(R14:V14,1))</f>
        <v>0</v>
      </c>
      <c r="AK9" s="24" t="s">
        <v>26</v>
      </c>
      <c r="AL9" s="34" t="str">
        <f t="array" ref="AL9">MIN(TOCOL(C70:G70,1))</f>
        <v>#REF!</v>
      </c>
      <c r="AM9" s="28" t="str">
        <f t="array" ref="AM9">_xlfn.QUARTILE.INC(TOCOL(C70:G70,1),1)</f>
        <v>#REF!</v>
      </c>
      <c r="AN9" s="28" t="str">
        <f t="array" ref="AN9">MEDIAN(TOCOL(C70:G70,1))</f>
        <v>#REF!</v>
      </c>
      <c r="AO9" s="28" t="str">
        <f t="array" ref="AO9">_xlfn.QUARTILE.INC(TOCOL(C70:G70,1),3)</f>
        <v>#REF!</v>
      </c>
      <c r="AP9" s="34" t="str">
        <f t="array" ref="AP9">MAX(TOCOL(C70:G70,1))</f>
        <v>#REF!</v>
      </c>
      <c r="AQ9" s="39"/>
      <c r="AR9" s="24" t="s">
        <v>25</v>
      </c>
      <c r="AS9" s="25">
        <f t="array" ref="AS9">MIN(TOCOL(R15:V15,1))</f>
        <v>0.0852</v>
      </c>
      <c r="AT9" s="42">
        <f t="array" ref="AT9">_xlfn.QUARTILE.INC(TOCOL(R15:V15,1),1)</f>
        <v>0.0969</v>
      </c>
      <c r="AU9" s="42">
        <f t="array" ref="AU9">MEDIAN(TOCOL(R15:V15,1))</f>
        <v>0.128</v>
      </c>
      <c r="AV9" s="42">
        <f t="array" ref="AV9">_xlfn.QUARTILE.INC(TOCOL(R15:V15,1),3)</f>
        <v>0.1323</v>
      </c>
      <c r="AW9" s="41">
        <f t="array" ref="AW9">MAX(TOCOL(R15:V15,1))</f>
        <v>0.1335</v>
      </c>
      <c r="AX9" s="2"/>
      <c r="BF9" s="24" t="s">
        <v>26</v>
      </c>
      <c r="BG9" s="34" t="str">
        <f t="array" ref="BG9">MIN(TOCOL(C71:G71,1))</f>
        <v>#REF!</v>
      </c>
      <c r="BH9" s="28" t="str">
        <f t="array" ref="BH9">_xlfn.QUARTILE.INC(TOCOL(C71:G71,1),1)</f>
        <v>#REF!</v>
      </c>
      <c r="BI9" s="28" t="str">
        <f t="array" ref="BI9">MEDIAN(TOCOL(C71:G71,1))</f>
        <v>#REF!</v>
      </c>
      <c r="BJ9" s="28" t="str">
        <f t="array" ref="BJ9">_xlfn.QUARTILE.INC(TOCOL(C71:G71,1),3)</f>
        <v>#REF!</v>
      </c>
      <c r="BK9" s="34" t="str">
        <f t="array" ref="BK9">MAX(TOCOL(C71:G71,1))</f>
        <v>#REF!</v>
      </c>
      <c r="BL9" s="39"/>
      <c r="BM9" s="30" t="s">
        <v>25</v>
      </c>
      <c r="BN9" s="31">
        <f t="array" ref="BN9">MIN(TOCOL(R16:V16,1))</f>
        <v>0</v>
      </c>
      <c r="BO9" s="37">
        <f t="array" ref="BO9">_xlfn.QUARTILE.INC(TOCOL(R16:V16,1),1)</f>
        <v>0.0283</v>
      </c>
      <c r="BP9" s="37">
        <f t="array" ref="BP9">MEDIAN(TOCOL(R16:V16,1))</f>
        <v>0.0481</v>
      </c>
      <c r="BQ9" s="37">
        <f t="array" ref="BQ9">_xlfn.QUARTILE.INC(TOCOL(R16:V16,1),3)</f>
        <v>0.0654</v>
      </c>
      <c r="BR9" s="31">
        <f t="array" ref="BR9">MAX(TOCOL(R16:V16,1))</f>
        <v>0.0722</v>
      </c>
      <c r="BS9" s="33"/>
      <c r="BT9" s="33"/>
      <c r="BU9" s="33"/>
      <c r="BV9" s="33"/>
      <c r="BW9" s="33"/>
      <c r="BX9" s="33"/>
      <c r="BY9" s="33"/>
      <c r="BZ9" s="33"/>
      <c r="CA9" s="30" t="s">
        <v>26</v>
      </c>
      <c r="CB9" s="34" t="str">
        <f t="array" ref="CB9">MIN(TOCOL(C72:F72,1))</f>
        <v>#REF!</v>
      </c>
      <c r="CC9" s="35" t="str">
        <f t="array" ref="CC9">_xlfn.QUARTILE.INC(TOCOL(C72:F72,1),1)</f>
        <v>#REF!</v>
      </c>
      <c r="CD9" s="35" t="str">
        <f t="array" ref="CD9">MEDIAN(TOCOL(C72:F72,1))</f>
        <v>#REF!</v>
      </c>
      <c r="CE9" s="35" t="str">
        <f t="array" ref="CE9">_xlfn.QUARTILE.INC(TOCOL(C72:F72,1),3)</f>
        <v>#REF!</v>
      </c>
      <c r="CF9" s="34" t="str">
        <f t="array" ref="CF9">MAX(TOCOL(C72:F72,1))</f>
        <v>#REF!</v>
      </c>
      <c r="CG9" s="39"/>
      <c r="CH9" s="30" t="s">
        <v>25</v>
      </c>
      <c r="CI9" s="38">
        <f t="array" ref="CI9">MIN(TOCOL(R17:V17,1))</f>
        <v>-0.0592</v>
      </c>
      <c r="CJ9" s="45">
        <f t="array" ref="CJ9">_xlfn.QUARTILE.INC(TOCOL(R17:V17,1),1)</f>
        <v>-0.0513</v>
      </c>
      <c r="CK9" s="45">
        <f t="array" ref="CK9">MEDIAN(TOCOL(R17:V17,1))</f>
        <v>0.0195</v>
      </c>
      <c r="CL9" s="45">
        <f t="array" ref="CL9">_xlfn.QUARTILE.INC(TOCOL(R17:V17,1),3)</f>
        <v>0.0235</v>
      </c>
      <c r="CM9" s="31">
        <f t="array" ref="CM9">MAX(TOCOL(R17:V17,1))</f>
        <v>0.0373</v>
      </c>
      <c r="CN9" s="33"/>
      <c r="CO9" s="33"/>
      <c r="CP9" s="33"/>
      <c r="CQ9" s="33"/>
      <c r="CR9" s="33"/>
      <c r="CS9" s="33"/>
      <c r="CT9" s="33"/>
      <c r="CU9" s="33"/>
      <c r="CV9" s="30" t="s">
        <v>26</v>
      </c>
      <c r="CW9" s="34" t="str">
        <f t="array" ref="CW9">MIN(TOCOL(C73:G73,1))</f>
        <v>#REF!</v>
      </c>
      <c r="CX9" s="35" t="str">
        <f t="array" ref="CX9">_xlfn.QUARTILE.INC(TOCOL(C73:G73,1),1)</f>
        <v>#REF!</v>
      </c>
      <c r="CY9" s="35" t="str">
        <f t="array" ref="CY9">MEDIAN(TOCOL(C73:G73,1))</f>
        <v>#REF!</v>
      </c>
      <c r="CZ9" s="35" t="str">
        <f t="array" ref="CZ9">_xlfn.QUARTILE.INC(TOCOL(C73:G73,1),3)</f>
        <v>#REF!</v>
      </c>
      <c r="DA9" s="34" t="str">
        <f t="array" ref="DA9">MAX(TOCOL(C73:G73,1))</f>
        <v>#REF!</v>
      </c>
    </row>
    <row r="10">
      <c r="B10" s="24" t="s">
        <v>27</v>
      </c>
      <c r="C10" s="25">
        <f t="array" ref="C10">MIN(TOCOL(W15:AA17,1))</f>
        <v>-0.1998</v>
      </c>
      <c r="D10" s="42">
        <f t="array" ref="D10">_xlfn.QUARTILE.INC(TOCOL(W15:AA17,1),1)</f>
        <v>0.0212</v>
      </c>
      <c r="E10" s="42">
        <f t="array" ref="E10">MEDIAN(TOCOL(W15:AA17,1))</f>
        <v>0.208</v>
      </c>
      <c r="F10" s="42">
        <f t="array" ref="F10">_xlfn.QUARTILE.INC(TOCOL(W15:AA17,1),3)</f>
        <v>0.2835</v>
      </c>
      <c r="G10" s="41">
        <f t="array" ref="G10">MAX(TOCOL(W14:AA17,1))</f>
        <v>0.3527</v>
      </c>
      <c r="V10" s="39"/>
      <c r="W10" s="24" t="s">
        <v>27</v>
      </c>
      <c r="X10" s="24">
        <f t="array" ref="X10">MIN(TOCOL(W14:AA14,1))</f>
        <v>0</v>
      </c>
      <c r="Y10" s="42" t="str">
        <f t="array" ref="Y10">_xlfn.QUARTILE.INC(TOCOL(W14:AA14,1),1)</f>
        <v>#NUM!</v>
      </c>
      <c r="Z10" s="42" t="str">
        <f t="array" ref="Z10">MEDIAN(TOCOL(W14:AA14,1))</f>
        <v>#NUM!</v>
      </c>
      <c r="AA10" s="42" t="str">
        <f t="array" ref="AA10">_xlfn.QUARTILE.INC(TOCOL(W14:AA14,1),3)</f>
        <v>#NUM!</v>
      </c>
      <c r="AB10" s="41">
        <f t="array" ref="AB10">MAX(TOCOL(W14:AA14,1))</f>
        <v>0</v>
      </c>
      <c r="AQ10" s="39"/>
      <c r="AR10" s="24" t="s">
        <v>27</v>
      </c>
      <c r="AS10" s="24">
        <f t="array" ref="AS10">MIN(TOCOL(W14:AA14,1))</f>
        <v>0</v>
      </c>
      <c r="AT10" s="42" t="str">
        <f t="array" ref="AT10">_xlfn.QUARTILE.INC(TOCOL(W14:AA14,1),1)</f>
        <v>#NUM!</v>
      </c>
      <c r="AU10" s="42" t="str">
        <f t="array" ref="AU10">MEDIAN(TOCOL(W14:AA14,1))</f>
        <v>#NUM!</v>
      </c>
      <c r="AV10" s="42" t="str">
        <f t="array" ref="AV10">_xlfn.QUARTILE.INC(TOCOL(W14:AA14,1),3)</f>
        <v>#NUM!</v>
      </c>
      <c r="AW10" s="41">
        <f t="array" ref="AW10">MAX(TOCOL(W14:AA14,1))</f>
        <v>0</v>
      </c>
      <c r="AX10" s="2"/>
      <c r="BL10" s="39"/>
      <c r="BM10" s="40" t="s">
        <v>27</v>
      </c>
      <c r="BN10" s="31">
        <f t="array" ref="BN10">MIN(TOCOL(W16:AA16,1))</f>
        <v>0</v>
      </c>
      <c r="BO10" s="37">
        <f t="array" ref="BO10">_xlfn.QUARTILE.INC(TOCOL(W16:AA16,1),1)</f>
        <v>0.0316</v>
      </c>
      <c r="BP10" s="37">
        <f t="array" ref="BP10">MEDIAN(TOCOL(W16:AA16,1))</f>
        <v>0.2393</v>
      </c>
      <c r="BQ10" s="37">
        <f t="array" ref="BQ10">_xlfn.QUARTILE.INC(TOCOL(W16:AA16,1),3)</f>
        <v>0.242</v>
      </c>
      <c r="BR10" s="31">
        <f t="array" ref="BR10">MAX(TOCOL(W16:AA16,1))</f>
        <v>0.3527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39"/>
      <c r="CH10" s="40" t="s">
        <v>27</v>
      </c>
      <c r="CI10" s="31">
        <f t="array" ref="CI10">MIN(TOCOL(W17:AA17,1))</f>
        <v>-0.1998</v>
      </c>
      <c r="CJ10" s="45">
        <f t="array" ref="CJ10">_xlfn.QUARTILE.INC(TOCOL(W17:AA17,1),1)</f>
        <v>0.0128</v>
      </c>
      <c r="CK10" s="45">
        <f t="array" ref="CK10">MEDIAN(TOCOL(W17:AA17,1))</f>
        <v>0.0183</v>
      </c>
      <c r="CL10" s="45">
        <f t="array" ref="CL10">_xlfn.QUARTILE.INC(TOCOL(W17:AA17,1),3)</f>
        <v>0.0241</v>
      </c>
      <c r="CM10" s="31">
        <f t="array" ref="CM10">MAX(TOCOL(W17:AA17,1))</f>
        <v>0.2972</v>
      </c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</row>
    <row r="11">
      <c r="B11" s="1"/>
      <c r="C11" s="46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2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</row>
    <row r="12">
      <c r="B12" s="1" t="s">
        <v>28</v>
      </c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2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</row>
    <row r="13">
      <c r="A13" s="15"/>
      <c r="B13" s="48" t="s">
        <v>29</v>
      </c>
      <c r="C13" s="49" t="s">
        <v>30</v>
      </c>
      <c r="D13" s="49" t="s">
        <v>31</v>
      </c>
      <c r="E13" s="49" t="s">
        <v>32</v>
      </c>
      <c r="F13" s="49" t="s">
        <v>33</v>
      </c>
      <c r="G13" s="49" t="s">
        <v>34</v>
      </c>
      <c r="H13" s="50" t="s">
        <v>35</v>
      </c>
      <c r="I13" s="50" t="s">
        <v>36</v>
      </c>
      <c r="J13" s="50" t="s">
        <v>37</v>
      </c>
      <c r="K13" s="50" t="s">
        <v>38</v>
      </c>
      <c r="L13" s="50" t="s">
        <v>39</v>
      </c>
      <c r="M13" s="51" t="s">
        <v>40</v>
      </c>
      <c r="N13" s="51" t="s">
        <v>41</v>
      </c>
      <c r="O13" s="51" t="s">
        <v>42</v>
      </c>
      <c r="P13" s="51" t="s">
        <v>43</v>
      </c>
      <c r="Q13" s="51" t="s">
        <v>44</v>
      </c>
      <c r="R13" s="52" t="s">
        <v>45</v>
      </c>
      <c r="S13" s="52" t="s">
        <v>46</v>
      </c>
      <c r="T13" s="52" t="s">
        <v>47</v>
      </c>
      <c r="U13" s="52" t="s">
        <v>48</v>
      </c>
      <c r="V13" s="52" t="s">
        <v>49</v>
      </c>
      <c r="W13" s="53" t="s">
        <v>50</v>
      </c>
      <c r="X13" s="53" t="s">
        <v>51</v>
      </c>
      <c r="Y13" s="53" t="s">
        <v>52</v>
      </c>
      <c r="Z13" s="53" t="s">
        <v>53</v>
      </c>
      <c r="AA13" s="53" t="s">
        <v>54</v>
      </c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2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</row>
    <row r="14">
      <c r="A14" s="15"/>
      <c r="B14" s="15" t="s">
        <v>55</v>
      </c>
      <c r="C14" s="54"/>
      <c r="D14" s="54"/>
      <c r="E14" s="55"/>
      <c r="F14" s="55"/>
      <c r="G14" s="55"/>
      <c r="H14" s="54"/>
      <c r="I14" s="56"/>
      <c r="J14" s="55"/>
      <c r="K14" s="55"/>
      <c r="L14" s="55"/>
      <c r="M14" s="54"/>
      <c r="N14" s="55"/>
      <c r="O14" s="55"/>
      <c r="P14" s="55"/>
      <c r="Q14" s="55"/>
      <c r="R14" s="54"/>
      <c r="S14" s="54"/>
      <c r="T14" s="54"/>
      <c r="U14" s="54"/>
      <c r="V14" s="54"/>
      <c r="W14" s="57"/>
      <c r="X14" s="54"/>
      <c r="Y14" s="54"/>
      <c r="Z14" s="54"/>
      <c r="AA14" s="54"/>
      <c r="AB14" s="46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2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</row>
    <row r="15">
      <c r="A15" s="15"/>
      <c r="B15" s="15" t="s">
        <v>56</v>
      </c>
      <c r="C15" s="57">
        <f t="shared" ref="C15:G15" si="1">D118</f>
        <v>0.2125</v>
      </c>
      <c r="D15" s="57">
        <f t="shared" si="1"/>
        <v>0.246</v>
      </c>
      <c r="E15" s="57">
        <f t="shared" si="1"/>
        <v>0.2452</v>
      </c>
      <c r="F15" s="57">
        <f t="shared" si="1"/>
        <v>0.2402</v>
      </c>
      <c r="G15" s="57">
        <f t="shared" si="1"/>
        <v>0.2559</v>
      </c>
      <c r="H15" s="57">
        <f t="shared" ref="H15:L15" si="2">D119</f>
        <v>0.0998</v>
      </c>
      <c r="I15" s="57">
        <f t="shared" si="2"/>
        <v>0.1242</v>
      </c>
      <c r="J15" s="57">
        <f t="shared" si="2"/>
        <v>0.1352</v>
      </c>
      <c r="K15" s="57">
        <f t="shared" si="2"/>
        <v>0.1394</v>
      </c>
      <c r="L15" s="57">
        <f t="shared" si="2"/>
        <v>0.1299</v>
      </c>
      <c r="M15" s="58">
        <f t="shared" ref="M15:Q15" si="3">D120</f>
        <v>0.0627</v>
      </c>
      <c r="N15" s="58">
        <f t="shared" si="3"/>
        <v>0.079</v>
      </c>
      <c r="O15" s="58">
        <f t="shared" si="3"/>
        <v>0.091</v>
      </c>
      <c r="P15" s="58">
        <f t="shared" si="3"/>
        <v>0.0906</v>
      </c>
      <c r="Q15" s="58">
        <f t="shared" si="3"/>
        <v>0.0893</v>
      </c>
      <c r="R15" s="58">
        <f t="shared" ref="R15:V15" si="4">AB112</f>
        <v>0.0852</v>
      </c>
      <c r="S15" s="58">
        <f t="shared" si="4"/>
        <v>0.1335</v>
      </c>
      <c r="T15" s="58">
        <f t="shared" si="4"/>
        <v>0.128</v>
      </c>
      <c r="U15" s="58">
        <f t="shared" si="4"/>
        <v>0.1323</v>
      </c>
      <c r="V15" s="58">
        <f t="shared" si="4"/>
        <v>0.0969</v>
      </c>
      <c r="W15" s="58">
        <f t="shared" ref="W15:AA15" si="5">AB111</f>
        <v>0.1551</v>
      </c>
      <c r="X15" s="58">
        <f t="shared" si="5"/>
        <v>0.2698</v>
      </c>
      <c r="Y15" s="58">
        <f t="shared" si="5"/>
        <v>0.336</v>
      </c>
      <c r="Z15" s="58">
        <f t="shared" si="5"/>
        <v>0.349</v>
      </c>
      <c r="AA15" s="58">
        <f t="shared" si="5"/>
        <v>0.208</v>
      </c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2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</row>
    <row r="16">
      <c r="A16" s="15"/>
      <c r="B16" s="15" t="s">
        <v>57</v>
      </c>
      <c r="C16" s="57">
        <f t="shared" ref="C16:G16" si="6">D256</f>
        <v>0.2675</v>
      </c>
      <c r="D16" s="57">
        <f t="shared" si="6"/>
        <v>0.2766</v>
      </c>
      <c r="E16" s="57">
        <f t="shared" si="6"/>
        <v>0.2321</v>
      </c>
      <c r="F16" s="57">
        <f t="shared" si="6"/>
        <v>0.2263</v>
      </c>
      <c r="G16" s="57">
        <f t="shared" si="6"/>
        <v>0.2511</v>
      </c>
      <c r="H16" s="58">
        <f t="shared" ref="H16:L16" si="7">D257</f>
        <v>0.0969</v>
      </c>
      <c r="I16" s="58">
        <f t="shared" si="7"/>
        <v>0.0827</v>
      </c>
      <c r="J16" s="58">
        <f t="shared" si="7"/>
        <v>0.0344</v>
      </c>
      <c r="K16" s="58">
        <f t="shared" si="7"/>
        <v>0.0726</v>
      </c>
      <c r="L16" s="58">
        <f t="shared" si="7"/>
        <v>0.0837</v>
      </c>
      <c r="M16" s="58">
        <f t="shared" ref="M16:Q16" si="8">D258</f>
        <v>0.0528</v>
      </c>
      <c r="N16" s="58">
        <f t="shared" si="8"/>
        <v>0.053</v>
      </c>
      <c r="O16" s="58">
        <f t="shared" si="8"/>
        <v>0.005</v>
      </c>
      <c r="P16" s="58">
        <f t="shared" si="8"/>
        <v>0.0843</v>
      </c>
      <c r="Q16" s="58">
        <f t="shared" si="8"/>
        <v>0.0586</v>
      </c>
      <c r="R16" s="58">
        <f t="shared" ref="R16:U16" si="9">AB246</f>
        <v>0.0722</v>
      </c>
      <c r="S16" s="58">
        <f t="shared" si="9"/>
        <v>0.0654</v>
      </c>
      <c r="T16" s="58">
        <f t="shared" si="9"/>
        <v>0.0283</v>
      </c>
      <c r="U16" s="58">
        <f t="shared" si="9"/>
        <v>0.0481</v>
      </c>
      <c r="V16" s="59">
        <v>0.0</v>
      </c>
      <c r="W16" s="58">
        <f t="shared" ref="W16:Z16" si="10">AB245</f>
        <v>0.2393</v>
      </c>
      <c r="X16" s="58">
        <f t="shared" si="10"/>
        <v>0.242</v>
      </c>
      <c r="Y16" s="58">
        <f t="shared" si="10"/>
        <v>0.0316</v>
      </c>
      <c r="Z16" s="58">
        <f t="shared" si="10"/>
        <v>0.3527</v>
      </c>
      <c r="AA16" s="59">
        <v>0.0</v>
      </c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2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</row>
    <row r="17">
      <c r="A17" s="15"/>
      <c r="B17" s="60" t="s">
        <v>58</v>
      </c>
      <c r="C17" s="58">
        <f t="shared" ref="C17:G17" si="11">D431</f>
        <v>0.2401</v>
      </c>
      <c r="D17" s="58">
        <f t="shared" si="11"/>
        <v>0.2453</v>
      </c>
      <c r="E17" s="58">
        <f t="shared" si="11"/>
        <v>0.0318</v>
      </c>
      <c r="F17" s="58">
        <f t="shared" si="11"/>
        <v>-0.0077</v>
      </c>
      <c r="G17" s="58">
        <f t="shared" si="11"/>
        <v>0.1629</v>
      </c>
      <c r="H17" s="57">
        <f t="shared" ref="H17:L17" si="12">D432</f>
        <v>0.047</v>
      </c>
      <c r="I17" s="57">
        <f t="shared" si="12"/>
        <v>0.0658</v>
      </c>
      <c r="J17" s="57">
        <f t="shared" si="12"/>
        <v>-0.5802</v>
      </c>
      <c r="K17" s="57">
        <f t="shared" si="12"/>
        <v>-0.2039</v>
      </c>
      <c r="L17" s="57">
        <f t="shared" si="12"/>
        <v>0.0607</v>
      </c>
      <c r="M17" s="58">
        <f t="shared" ref="M17:Q17" si="13">D433</f>
        <v>0.0192</v>
      </c>
      <c r="N17" s="58">
        <f t="shared" si="13"/>
        <v>0.0178</v>
      </c>
      <c r="O17" s="58">
        <f t="shared" si="13"/>
        <v>1.1501</v>
      </c>
      <c r="P17" s="58">
        <f t="shared" si="13"/>
        <v>-0.2477</v>
      </c>
      <c r="Q17" s="58">
        <f t="shared" si="13"/>
        <v>0.0122</v>
      </c>
      <c r="R17" s="57">
        <f t="shared" ref="R17:V17" si="14">AB424</f>
        <v>0.0195</v>
      </c>
      <c r="S17" s="57">
        <f t="shared" si="14"/>
        <v>0.0235</v>
      </c>
      <c r="T17" s="57">
        <f t="shared" si="14"/>
        <v>-0.0592</v>
      </c>
      <c r="U17" s="57">
        <f t="shared" si="14"/>
        <v>-0.0513</v>
      </c>
      <c r="V17" s="57">
        <f t="shared" si="14"/>
        <v>0.0373</v>
      </c>
      <c r="W17" s="58">
        <f t="shared" ref="W17:AA17" si="15">AB423</f>
        <v>0.0183</v>
      </c>
      <c r="X17" s="58">
        <f t="shared" si="15"/>
        <v>0.0128</v>
      </c>
      <c r="Y17" s="58">
        <f t="shared" si="15"/>
        <v>0.2972</v>
      </c>
      <c r="Z17" s="58">
        <f t="shared" si="15"/>
        <v>-0.1998</v>
      </c>
      <c r="AA17" s="58">
        <f t="shared" si="15"/>
        <v>0.0241</v>
      </c>
      <c r="AY17" s="2"/>
    </row>
    <row r="18">
      <c r="A18" s="15"/>
      <c r="B18" s="60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Y18" s="2"/>
    </row>
    <row r="19">
      <c r="A19" s="15"/>
      <c r="B19" s="10" t="s">
        <v>59</v>
      </c>
      <c r="C19" s="11"/>
      <c r="D19" s="11"/>
      <c r="E19" s="11"/>
      <c r="F19" s="11"/>
      <c r="G19" s="12"/>
      <c r="H19" s="3"/>
      <c r="I19" s="10" t="s">
        <v>59</v>
      </c>
      <c r="J19" s="11"/>
      <c r="K19" s="11"/>
      <c r="L19" s="11"/>
      <c r="M19" s="11"/>
      <c r="N19" s="12"/>
      <c r="O19" s="3"/>
      <c r="P19" s="10" t="s">
        <v>59</v>
      </c>
      <c r="Q19" s="11"/>
      <c r="R19" s="11"/>
      <c r="S19" s="11"/>
      <c r="T19" s="11"/>
      <c r="U19" s="12"/>
      <c r="V19" s="13"/>
      <c r="W19" s="10" t="s">
        <v>60</v>
      </c>
      <c r="X19" s="11"/>
      <c r="Y19" s="11"/>
      <c r="Z19" s="11"/>
      <c r="AA19" s="11"/>
      <c r="AB19" s="12"/>
      <c r="AC19" s="3"/>
      <c r="AD19" s="10" t="s">
        <v>60</v>
      </c>
      <c r="AE19" s="11"/>
      <c r="AF19" s="11"/>
      <c r="AG19" s="11"/>
      <c r="AH19" s="11"/>
      <c r="AI19" s="12"/>
      <c r="AJ19" s="3"/>
      <c r="AK19" s="10" t="s">
        <v>60</v>
      </c>
      <c r="AL19" s="11"/>
      <c r="AM19" s="11"/>
      <c r="AN19" s="11"/>
      <c r="AO19" s="11"/>
      <c r="AP19" s="12"/>
      <c r="AQ19" s="13"/>
      <c r="AR19" s="10" t="s">
        <v>61</v>
      </c>
      <c r="AS19" s="11"/>
      <c r="AT19" s="11"/>
      <c r="AU19" s="11"/>
      <c r="AV19" s="11"/>
      <c r="AW19" s="12"/>
      <c r="AX19" s="9"/>
      <c r="AY19" s="10" t="s">
        <v>61</v>
      </c>
      <c r="AZ19" s="11"/>
      <c r="BA19" s="11"/>
      <c r="BB19" s="11"/>
      <c r="BC19" s="11"/>
      <c r="BD19" s="12"/>
      <c r="BE19" s="3"/>
      <c r="BF19" s="10" t="s">
        <v>61</v>
      </c>
      <c r="BG19" s="11"/>
      <c r="BH19" s="11"/>
      <c r="BI19" s="11"/>
      <c r="BJ19" s="11"/>
      <c r="BK19" s="12"/>
      <c r="BL19" s="13"/>
      <c r="BM19" s="10" t="s">
        <v>62</v>
      </c>
      <c r="BN19" s="11"/>
      <c r="BO19" s="11"/>
      <c r="BP19" s="11"/>
      <c r="BQ19" s="11"/>
      <c r="BR19" s="12"/>
      <c r="BS19" s="15"/>
      <c r="BT19" s="10" t="s">
        <v>62</v>
      </c>
      <c r="BU19" s="11"/>
      <c r="BV19" s="11"/>
      <c r="BW19" s="11"/>
      <c r="BX19" s="11"/>
      <c r="BY19" s="12"/>
      <c r="BZ19" s="15"/>
      <c r="CA19" s="10" t="s">
        <v>62</v>
      </c>
      <c r="CB19" s="11"/>
      <c r="CC19" s="11"/>
      <c r="CD19" s="11"/>
      <c r="CE19" s="11"/>
      <c r="CF19" s="12"/>
      <c r="CG19" s="13"/>
      <c r="CH19" s="10" t="s">
        <v>63</v>
      </c>
      <c r="CI19" s="11"/>
      <c r="CJ19" s="11"/>
      <c r="CK19" s="11"/>
      <c r="CL19" s="11"/>
      <c r="CM19" s="12"/>
      <c r="CN19" s="15"/>
      <c r="CO19" s="10" t="s">
        <v>63</v>
      </c>
      <c r="CP19" s="11"/>
      <c r="CQ19" s="11"/>
      <c r="CR19" s="11"/>
      <c r="CS19" s="11"/>
      <c r="CT19" s="12"/>
      <c r="CU19" s="15"/>
      <c r="CV19" s="10" t="s">
        <v>63</v>
      </c>
      <c r="CW19" s="11"/>
      <c r="CX19" s="11"/>
      <c r="CY19" s="11"/>
      <c r="CZ19" s="11"/>
      <c r="DA19" s="12"/>
    </row>
    <row r="20">
      <c r="A20" s="15"/>
      <c r="B20" s="17" t="s">
        <v>7</v>
      </c>
      <c r="C20" s="18" t="s">
        <v>8</v>
      </c>
      <c r="D20" s="17" t="s">
        <v>9</v>
      </c>
      <c r="E20" s="17" t="s">
        <v>10</v>
      </c>
      <c r="F20" s="17" t="s">
        <v>11</v>
      </c>
      <c r="G20" s="19" t="s">
        <v>12</v>
      </c>
      <c r="H20" s="16"/>
      <c r="I20" s="17" t="s">
        <v>7</v>
      </c>
      <c r="J20" s="18" t="s">
        <v>8</v>
      </c>
      <c r="K20" s="17" t="s">
        <v>9</v>
      </c>
      <c r="L20" s="17" t="s">
        <v>10</v>
      </c>
      <c r="M20" s="17" t="s">
        <v>11</v>
      </c>
      <c r="N20" s="19" t="s">
        <v>12</v>
      </c>
      <c r="O20" s="16"/>
      <c r="P20" s="17" t="s">
        <v>7</v>
      </c>
      <c r="Q20" s="18" t="s">
        <v>8</v>
      </c>
      <c r="R20" s="17" t="s">
        <v>9</v>
      </c>
      <c r="S20" s="17" t="s">
        <v>10</v>
      </c>
      <c r="T20" s="17" t="s">
        <v>11</v>
      </c>
      <c r="U20" s="19" t="s">
        <v>12</v>
      </c>
      <c r="V20" s="20"/>
      <c r="W20" s="17" t="s">
        <v>7</v>
      </c>
      <c r="X20" s="18" t="s">
        <v>8</v>
      </c>
      <c r="Y20" s="17" t="s">
        <v>9</v>
      </c>
      <c r="Z20" s="17" t="s">
        <v>10</v>
      </c>
      <c r="AA20" s="17" t="s">
        <v>11</v>
      </c>
      <c r="AB20" s="19" t="s">
        <v>12</v>
      </c>
      <c r="AC20" s="16"/>
      <c r="AD20" s="17" t="s">
        <v>7</v>
      </c>
      <c r="AE20" s="18" t="s">
        <v>8</v>
      </c>
      <c r="AF20" s="17" t="s">
        <v>9</v>
      </c>
      <c r="AG20" s="17" t="s">
        <v>10</v>
      </c>
      <c r="AH20" s="17" t="s">
        <v>11</v>
      </c>
      <c r="AI20" s="19" t="s">
        <v>12</v>
      </c>
      <c r="AJ20" s="16"/>
      <c r="AK20" s="17" t="s">
        <v>7</v>
      </c>
      <c r="AL20" s="18" t="s">
        <v>8</v>
      </c>
      <c r="AM20" s="17" t="s">
        <v>9</v>
      </c>
      <c r="AN20" s="17" t="s">
        <v>10</v>
      </c>
      <c r="AO20" s="17" t="s">
        <v>11</v>
      </c>
      <c r="AP20" s="19" t="s">
        <v>12</v>
      </c>
      <c r="AQ20" s="20"/>
      <c r="AR20" s="17" t="s">
        <v>7</v>
      </c>
      <c r="AS20" s="18" t="s">
        <v>8</v>
      </c>
      <c r="AT20" s="17" t="s">
        <v>9</v>
      </c>
      <c r="AU20" s="17" t="s">
        <v>10</v>
      </c>
      <c r="AV20" s="17" t="s">
        <v>11</v>
      </c>
      <c r="AW20" s="19" t="s">
        <v>12</v>
      </c>
      <c r="AX20" s="16"/>
      <c r="AY20" s="17" t="s">
        <v>7</v>
      </c>
      <c r="AZ20" s="18" t="s">
        <v>8</v>
      </c>
      <c r="BA20" s="17" t="s">
        <v>9</v>
      </c>
      <c r="BB20" s="17" t="s">
        <v>10</v>
      </c>
      <c r="BC20" s="17" t="s">
        <v>11</v>
      </c>
      <c r="BD20" s="19" t="s">
        <v>12</v>
      </c>
      <c r="BE20" s="16"/>
      <c r="BF20" s="17" t="s">
        <v>7</v>
      </c>
      <c r="BG20" s="18" t="s">
        <v>8</v>
      </c>
      <c r="BH20" s="17" t="s">
        <v>9</v>
      </c>
      <c r="BI20" s="17" t="s">
        <v>10</v>
      </c>
      <c r="BJ20" s="17" t="s">
        <v>11</v>
      </c>
      <c r="BK20" s="19" t="s">
        <v>12</v>
      </c>
      <c r="BL20" s="20"/>
      <c r="BM20" s="17" t="s">
        <v>7</v>
      </c>
      <c r="BN20" s="18" t="s">
        <v>8</v>
      </c>
      <c r="BO20" s="17" t="s">
        <v>9</v>
      </c>
      <c r="BP20" s="17" t="s">
        <v>10</v>
      </c>
      <c r="BQ20" s="17" t="s">
        <v>11</v>
      </c>
      <c r="BR20" s="19" t="s">
        <v>12</v>
      </c>
      <c r="BS20" s="16"/>
      <c r="BT20" s="17" t="s">
        <v>7</v>
      </c>
      <c r="BU20" s="18" t="s">
        <v>8</v>
      </c>
      <c r="BV20" s="17" t="s">
        <v>9</v>
      </c>
      <c r="BW20" s="17" t="s">
        <v>10</v>
      </c>
      <c r="BX20" s="17" t="s">
        <v>11</v>
      </c>
      <c r="BY20" s="19" t="s">
        <v>12</v>
      </c>
      <c r="BZ20" s="16"/>
      <c r="CA20" s="17" t="s">
        <v>7</v>
      </c>
      <c r="CB20" s="18" t="s">
        <v>8</v>
      </c>
      <c r="CC20" s="17" t="s">
        <v>9</v>
      </c>
      <c r="CD20" s="17" t="s">
        <v>10</v>
      </c>
      <c r="CE20" s="17" t="s">
        <v>11</v>
      </c>
      <c r="CF20" s="19" t="s">
        <v>12</v>
      </c>
      <c r="CG20" s="20"/>
      <c r="CH20" s="17" t="s">
        <v>7</v>
      </c>
      <c r="CI20" s="18" t="s">
        <v>8</v>
      </c>
      <c r="CJ20" s="17" t="s">
        <v>9</v>
      </c>
      <c r="CK20" s="17" t="s">
        <v>10</v>
      </c>
      <c r="CL20" s="17" t="s">
        <v>11</v>
      </c>
      <c r="CM20" s="19" t="s">
        <v>12</v>
      </c>
      <c r="CN20" s="16"/>
      <c r="CO20" s="17" t="s">
        <v>7</v>
      </c>
      <c r="CP20" s="18" t="s">
        <v>8</v>
      </c>
      <c r="CQ20" s="17" t="s">
        <v>9</v>
      </c>
      <c r="CR20" s="17" t="s">
        <v>10</v>
      </c>
      <c r="CS20" s="17" t="s">
        <v>11</v>
      </c>
      <c r="CT20" s="19" t="s">
        <v>12</v>
      </c>
      <c r="CU20" s="16"/>
      <c r="CV20" s="17" t="s">
        <v>7</v>
      </c>
      <c r="CW20" s="18" t="s">
        <v>8</v>
      </c>
      <c r="CX20" s="17" t="s">
        <v>9</v>
      </c>
      <c r="CY20" s="17" t="s">
        <v>10</v>
      </c>
      <c r="CZ20" s="17" t="s">
        <v>11</v>
      </c>
      <c r="DA20" s="19" t="s">
        <v>12</v>
      </c>
    </row>
    <row r="21">
      <c r="A21" s="15"/>
      <c r="B21" s="24" t="s">
        <v>13</v>
      </c>
      <c r="C21" s="25">
        <f t="array" ref="C21">MIN(TOCOL(C31:P33,1))</f>
        <v>0.0435</v>
      </c>
      <c r="D21" s="26">
        <f t="array" ref="D21">_xlfn.QUARTILE.INC(TOCOL(C31:P33,1),1)</f>
        <v>0.2307</v>
      </c>
      <c r="E21" s="26">
        <f t="array" ref="E21">MEDIAN(TOCOL(C31:P33,1))</f>
        <v>0.2476</v>
      </c>
      <c r="F21" s="26">
        <f t="array" ref="F21">_xlfn.QUARTILE.INC(TOCOL(C31:P33,1),3)</f>
        <v>0.2789</v>
      </c>
      <c r="G21" s="25">
        <f t="array" ref="G21">MAX(TOCOL(C31:P33,1))</f>
        <v>4.5584</v>
      </c>
      <c r="I21" s="24" t="s">
        <v>14</v>
      </c>
      <c r="J21" s="27">
        <f t="array" ref="J21">MIN(TOCOL(R42:AE44,1))</f>
        <v>1.02</v>
      </c>
      <c r="K21" s="28">
        <f t="array" ref="K21">_xlfn.QUARTILE.INC(TOCOL(R42:AE44,1),1)</f>
        <v>1.23</v>
      </c>
      <c r="L21" s="28">
        <f t="array" ref="L21">MEDIAN(TOCOL(R42:AE44,1))</f>
        <v>1.77</v>
      </c>
      <c r="M21" s="28">
        <f t="array" ref="M21">_xlfn.QUARTILE.INC(TOCOL(R42:AE44,1),3)</f>
        <v>2.515</v>
      </c>
      <c r="N21" s="27">
        <f t="array" ref="N21">MAX(TOCOL(R42:AE44,1))</f>
        <v>6.11</v>
      </c>
      <c r="P21" s="24" t="s">
        <v>15</v>
      </c>
      <c r="Q21" s="27" t="str">
        <f t="array" ref="Q21">MIN(TOCOL(R57:AE60,1))</f>
        <v>#REF!</v>
      </c>
      <c r="R21" s="28" t="str">
        <f t="array" ref="R21">_xlfn.QUARTILE.INC(TOCOL(R57:AE60,1),1)</f>
        <v>#REF!</v>
      </c>
      <c r="S21" s="28" t="str">
        <f t="array" ref="S21">MEDIAN(TOCOL(R57:AE60,1))</f>
        <v>#REF!</v>
      </c>
      <c r="T21" s="28" t="str">
        <f t="array" ref="T21">_xlfn.QUARTILE.INC(TOCOL(R57:AE60,1),3)</f>
        <v>#REF!</v>
      </c>
      <c r="U21" s="27" t="str">
        <f t="array" ref="U21">MAX(TOCOL(R57:AE60,1))</f>
        <v>#REF!</v>
      </c>
      <c r="V21" s="29"/>
      <c r="W21" s="24" t="s">
        <v>13</v>
      </c>
      <c r="X21" s="25"/>
      <c r="Y21" s="26"/>
      <c r="Z21" s="26"/>
      <c r="AA21" s="26"/>
      <c r="AB21" s="24"/>
      <c r="AD21" s="24" t="s">
        <v>14</v>
      </c>
      <c r="AE21" s="27"/>
      <c r="AF21" s="28"/>
      <c r="AG21" s="28"/>
      <c r="AH21" s="28"/>
      <c r="AI21" s="27"/>
      <c r="AK21" s="24" t="s">
        <v>15</v>
      </c>
      <c r="AL21" s="27"/>
      <c r="AM21" s="28"/>
      <c r="AN21" s="28"/>
      <c r="AO21" s="28"/>
      <c r="AP21" s="27"/>
      <c r="AQ21" s="29"/>
      <c r="AR21" s="24" t="s">
        <v>13</v>
      </c>
      <c r="AS21" s="25">
        <f t="array" ref="AS21">MIN(TOCOL(C31:P31,1))</f>
        <v>0.1825</v>
      </c>
      <c r="AT21" s="26">
        <f t="array" ref="AT21">_xlfn.QUARTILE.INC(TOCOL(C31:P31,1),1)</f>
        <v>0.2211</v>
      </c>
      <c r="AU21" s="26">
        <f t="array" ref="AU21">MEDIAN(TOCOL(C31:P31,1))</f>
        <v>0.2325</v>
      </c>
      <c r="AV21" s="26">
        <f t="array" ref="AV21">_xlfn.QUARTILE.INC(TOCOL(C31:P31,1),3)</f>
        <v>0.2503</v>
      </c>
      <c r="AW21" s="25">
        <f t="array" ref="AW21">MAX(TOCOL(C31:P31,1))</f>
        <v>0.292</v>
      </c>
      <c r="AY21" s="24" t="s">
        <v>14</v>
      </c>
      <c r="AZ21" s="27">
        <f t="array" ref="AZ21">MIN(TOCOL(R42:AE42,1))</f>
        <v>1.47</v>
      </c>
      <c r="BA21" s="28">
        <f t="array" ref="BA21">_xlfn.QUARTILE.INC(TOCOL(R42:AE42,1),1)</f>
        <v>1.5875</v>
      </c>
      <c r="BB21" s="28">
        <f t="array" ref="BB21">MEDIAN(TOCOL(R42:AE42,1))</f>
        <v>1.675</v>
      </c>
      <c r="BC21" s="28">
        <f t="array" ref="BC21">_xlfn.QUARTILE.INC(TOCOL(R42:AE42,1),3)</f>
        <v>1.795</v>
      </c>
      <c r="BD21" s="27">
        <f t="array" ref="BD21">MAX(TOCOL(R42:AE42,1))</f>
        <v>2.05</v>
      </c>
      <c r="BF21" s="24" t="s">
        <v>15</v>
      </c>
      <c r="BG21" s="27" t="str">
        <f t="array" ref="BG21">MIN(TOCOL(R57:AE57,1))</f>
        <v>#REF!</v>
      </c>
      <c r="BH21" s="28" t="str">
        <f t="array" ref="BH21">_xlfn.QUARTILE.INC(TOCOL(R57:AE57,1),1)</f>
        <v>#REF!</v>
      </c>
      <c r="BI21" s="28" t="str">
        <f t="array" ref="BI21">MEDIAN(TOCOL(R57:AE57,1))</f>
        <v>#REF!</v>
      </c>
      <c r="BJ21" s="28" t="str">
        <f t="array" ref="BJ21">_xlfn.QUARTILE.INC(TOCOL(R57:AE57,1),3)</f>
        <v>#REF!</v>
      </c>
      <c r="BK21" s="27" t="str">
        <f t="array" ref="BK21">MAX(TOCOL(R57:AE57,1))</f>
        <v>#REF!</v>
      </c>
      <c r="BL21" s="29"/>
      <c r="BM21" s="24" t="s">
        <v>13</v>
      </c>
      <c r="BN21" s="25">
        <f t="array" ref="BN21">MIN(TOCOL(C32:P32,1))</f>
        <v>0.1852</v>
      </c>
      <c r="BO21" s="26">
        <f t="array" ref="BO21">_xlfn.QUARTILE.INC(TOCOL(C32:P32,1),1)</f>
        <v>0.24715</v>
      </c>
      <c r="BP21" s="26">
        <f t="array" ref="BP21">MEDIAN(TOCOL(C32:P32,1))</f>
        <v>0.27505</v>
      </c>
      <c r="BQ21" s="26">
        <f t="array" ref="BQ21">_xlfn.QUARTILE.INC(TOCOL(C32:P32,1),3)</f>
        <v>0.2831</v>
      </c>
      <c r="BR21" s="25">
        <f t="array" ref="BR21">MAX(TOCOL(C32:P32,1))</f>
        <v>0.2946</v>
      </c>
      <c r="BT21" s="24" t="s">
        <v>14</v>
      </c>
      <c r="BU21" s="27">
        <f t="array" ref="BU21">MIN(TOCOL(R43:AE43,1))</f>
        <v>1.02</v>
      </c>
      <c r="BV21" s="28">
        <f t="array" ref="BV21">_xlfn.QUARTILE.INC(TOCOL(R43:AE43,1),1)</f>
        <v>1.1025</v>
      </c>
      <c r="BW21" s="28">
        <f t="array" ref="BW21">MEDIAN(TOCOL(R43:AE43,1))</f>
        <v>1.13</v>
      </c>
      <c r="BX21" s="28">
        <f t="array" ref="BX21">_xlfn.QUARTILE.INC(TOCOL(R43:AE43,1),3)</f>
        <v>1.14</v>
      </c>
      <c r="BY21" s="27">
        <f t="array" ref="BY21">MAX(TOCOL(R43:AE43,1))</f>
        <v>1.15</v>
      </c>
      <c r="CA21" s="24" t="s">
        <v>15</v>
      </c>
      <c r="CB21" s="27" t="str">
        <f t="array" ref="CB21">MIN(TOCOL(R58:AE58,1))</f>
        <v>#REF!</v>
      </c>
      <c r="CC21" s="28" t="str">
        <f t="array" ref="CC21">_xlfn.QUARTILE.INC(TOCOL(R58:AE58,1),1)</f>
        <v>#REF!</v>
      </c>
      <c r="CD21" s="28" t="str">
        <f t="array" ref="CD21">MEDIAN(TOCOL(R58:AE58,1))</f>
        <v>#REF!</v>
      </c>
      <c r="CE21" s="28" t="str">
        <f t="array" ref="CE21">_xlfn.QUARTILE.INC(TOCOL(R58:AE58,1),3)</f>
        <v>#REF!</v>
      </c>
      <c r="CF21" s="27" t="str">
        <f t="array" ref="CF21">MAX(TOCOL(R58:AE58,1))</f>
        <v>#REF!</v>
      </c>
      <c r="CG21" s="29"/>
      <c r="CH21" s="24" t="s">
        <v>13</v>
      </c>
      <c r="CI21" s="25">
        <f t="array" ref="CI21">MIN(TOCOL(C33:P33,1))</f>
        <v>0.0435</v>
      </c>
      <c r="CJ21" s="26">
        <f t="array" ref="CJ21">_xlfn.QUARTILE.INC(TOCOL(C33:P33,1),1)</f>
        <v>0.2388</v>
      </c>
      <c r="CK21" s="26">
        <f t="array" ref="CK21">MEDIAN(TOCOL(C33:P33,1))</f>
        <v>0.2476</v>
      </c>
      <c r="CL21" s="26">
        <f t="array" ref="CL21">_xlfn.QUARTILE.INC(TOCOL(C33:P33,1),3)</f>
        <v>0.2583</v>
      </c>
      <c r="CM21" s="25">
        <f t="array" ref="CM21">MAX(TOCOL(C33:P33,1))</f>
        <v>4.5584</v>
      </c>
      <c r="CO21" s="24" t="s">
        <v>14</v>
      </c>
      <c r="CP21" s="27">
        <f t="array" ref="CP21">MIN(TOCOL(R44:AE44,1))</f>
        <v>1.78</v>
      </c>
      <c r="CQ21" s="28">
        <f t="array" ref="CQ21">_xlfn.QUARTILE.INC(TOCOL(R44:AE44,1),1)</f>
        <v>2.305</v>
      </c>
      <c r="CR21" s="28">
        <f t="array" ref="CR21">MEDIAN(TOCOL(R44:AE44,1))</f>
        <v>2.98</v>
      </c>
      <c r="CS21" s="28">
        <f t="array" ref="CS21">_xlfn.QUARTILE.INC(TOCOL(R44:AE44,1),3)</f>
        <v>4.7425</v>
      </c>
      <c r="CT21" s="27">
        <f t="array" ref="CT21">MAX(TOCOL(R44:AE44,1))</f>
        <v>6.11</v>
      </c>
      <c r="CV21" s="24" t="s">
        <v>15</v>
      </c>
      <c r="CW21" s="27" t="str">
        <f t="array" ref="CW21">MIN(TOCOL(R59:AE59,1))</f>
        <v>#REF!</v>
      </c>
      <c r="CX21" s="28" t="str">
        <f t="array" ref="CX21">_xlfn.QUARTILE.INC(TOCOL(R59:AE59,1),1)</f>
        <v>#REF!</v>
      </c>
      <c r="CY21" s="28" t="str">
        <f t="array" ref="CY21">MEDIAN(TOCOL(R59:AE59,1))</f>
        <v>#REF!</v>
      </c>
      <c r="CZ21" s="28" t="str">
        <f t="array" ref="CZ21">_xlfn.QUARTILE.INC(TOCOL(R59:AE59,1),3)</f>
        <v>#REF!</v>
      </c>
      <c r="DA21" s="27" t="str">
        <f t="array" ref="DA21">MAX(TOCOL(R59:AE59,1))</f>
        <v>#REF!</v>
      </c>
    </row>
    <row r="22">
      <c r="A22" s="15"/>
      <c r="B22" s="24" t="s">
        <v>16</v>
      </c>
      <c r="C22" s="25">
        <f t="array" ref="C22">MIN(TOCOL(Q31:AD33,1))</f>
        <v>-6.5618</v>
      </c>
      <c r="D22" s="26">
        <f t="array" ref="D22">_xlfn.QUARTILE.INC(TOCOL(Q31:AD33,1),1)</f>
        <v>0.064475</v>
      </c>
      <c r="E22" s="26">
        <f t="array" ref="E22">MEDIAN(TOCOL(Q31:AD33,1))</f>
        <v>0.091</v>
      </c>
      <c r="F22" s="26">
        <f t="array" ref="F22">_xlfn.QUARTILE.INC(TOCOL(Q31:AD33,1),3)</f>
        <v>0.119675</v>
      </c>
      <c r="G22" s="25">
        <f t="array" ref="G22">MAX(TOCOL(Q31:AD33,1))</f>
        <v>2.5808</v>
      </c>
      <c r="I22" s="24" t="s">
        <v>17</v>
      </c>
      <c r="J22" s="27">
        <f t="array" ref="J22">MIN(TOCOL(AI42:AV44,1))</f>
        <v>0.4</v>
      </c>
      <c r="K22" s="28">
        <f t="array" ref="K22">_xlfn.QUARTILE.INC(TOCOL(AI42:AV44,1),1)</f>
        <v>0.5825</v>
      </c>
      <c r="L22" s="28">
        <f t="array" ref="L22">MEDIAN(TOCOL(AI42:AV44,1))</f>
        <v>0.815</v>
      </c>
      <c r="M22" s="28">
        <f t="array" ref="M22">_xlfn.QUARTILE.INC(TOCOL(AI42:AV44,1),3)</f>
        <v>1.3425</v>
      </c>
      <c r="N22" s="27">
        <f t="array" ref="N22">MAX(TOCOL(AI42:AV44,1))</f>
        <v>3.01</v>
      </c>
      <c r="P22" s="24" t="s">
        <v>18</v>
      </c>
      <c r="Q22" s="27" t="str">
        <f t="array" ref="Q22">MIN(TOCOL(AI57:AV59,1))</f>
        <v>#REF!</v>
      </c>
      <c r="R22" s="28" t="str">
        <f t="array" ref="R22">_xlfn.QUARTILE.INC(TOCOL(AI57:AV59,1),1)</f>
        <v>#REF!</v>
      </c>
      <c r="S22" s="28" t="str">
        <f t="array" ref="S22">MEDIAN(TOCOL(AI57:AV59,1))</f>
        <v>#REF!</v>
      </c>
      <c r="T22" s="28" t="str">
        <f t="array" ref="T22">_xlfn.QUARTILE.INC(TOCOL(AI57:AV59,1),3)</f>
        <v>#REF!</v>
      </c>
      <c r="U22" s="27" t="str">
        <f t="array" ref="U22">MAX(TOCOL(AI57:AV59,1))</f>
        <v>#REF!</v>
      </c>
      <c r="V22" s="36"/>
      <c r="W22" s="24" t="s">
        <v>16</v>
      </c>
      <c r="X22" s="24"/>
      <c r="Y22" s="26"/>
      <c r="Z22" s="26"/>
      <c r="AA22" s="26"/>
      <c r="AB22" s="24"/>
      <c r="AD22" s="24" t="s">
        <v>17</v>
      </c>
      <c r="AE22" s="27"/>
      <c r="AF22" s="28"/>
      <c r="AG22" s="28"/>
      <c r="AH22" s="28"/>
      <c r="AI22" s="27"/>
      <c r="AK22" s="24" t="s">
        <v>18</v>
      </c>
      <c r="AL22" s="27"/>
      <c r="AM22" s="28"/>
      <c r="AN22" s="28"/>
      <c r="AO22" s="28"/>
      <c r="AP22" s="27"/>
      <c r="AQ22" s="36"/>
      <c r="AR22" s="24" t="s">
        <v>16</v>
      </c>
      <c r="AS22" s="25">
        <f t="array" ref="AS22">MIN(TOCOL(Q31:AD31,1))</f>
        <v>0.0905</v>
      </c>
      <c r="AT22" s="26">
        <f t="array" ref="AT22">_xlfn.QUARTILE.INC(TOCOL(Q31:AD31,1),1)</f>
        <v>0.09885</v>
      </c>
      <c r="AU22" s="26">
        <f t="array" ref="AU22">MEDIAN(TOCOL(Q31:AD31,1))</f>
        <v>0.11385</v>
      </c>
      <c r="AV22" s="26">
        <f t="array" ref="AV22">_xlfn.QUARTILE.INC(TOCOL(Q31:AD31,1),3)</f>
        <v>0.1335</v>
      </c>
      <c r="AW22" s="25">
        <f t="array" ref="AW22">MAX(TOCOL(Q31:AD31,1))</f>
        <v>0.1491</v>
      </c>
      <c r="AY22" s="24" t="s">
        <v>17</v>
      </c>
      <c r="AZ22" s="27">
        <f t="array" ref="AZ22">MIN(TOCOL(AI42:AV42,1))</f>
        <v>0.72</v>
      </c>
      <c r="BA22" s="28">
        <f t="array" ref="BA22">_xlfn.QUARTILE.INC(TOCOL(AI42:AV42,1),1)</f>
        <v>0.7625</v>
      </c>
      <c r="BB22" s="28">
        <f t="array" ref="BB22">MEDIAN(TOCOL(AI42:AV42,1))</f>
        <v>0.815</v>
      </c>
      <c r="BC22" s="28">
        <f t="array" ref="BC22">_xlfn.QUARTILE.INC(TOCOL(AI42:AV42,1),3)</f>
        <v>0.9175</v>
      </c>
      <c r="BD22" s="27">
        <f t="array" ref="BD22">MAX(TOCOL(AI42:AV42,1))</f>
        <v>1.2</v>
      </c>
      <c r="BF22" s="24" t="s">
        <v>18</v>
      </c>
      <c r="BG22" s="27" t="str">
        <f t="array" ref="BG22">MIN(TOCOL(AI57:AV57,1))</f>
        <v>#REF!</v>
      </c>
      <c r="BH22" s="28" t="str">
        <f t="array" ref="BH22">_xlfn.QUARTILE.INC(TOCOL(AI57:AV57,1),1)</f>
        <v>#REF!</v>
      </c>
      <c r="BI22" s="28" t="str">
        <f t="array" ref="BI22">MEDIAN(TOCOL(AI57:AV57,1))</f>
        <v>#REF!</v>
      </c>
      <c r="BJ22" s="28" t="str">
        <f t="array" ref="BJ22">_xlfn.QUARTILE.INC(TOCOL(AI57:AV57,1),3)</f>
        <v>#REF!</v>
      </c>
      <c r="BK22" s="27" t="str">
        <f t="array" ref="BK22">MAX(TOCOL(AI57:AV57,1))</f>
        <v>#REF!</v>
      </c>
      <c r="BL22" s="36"/>
      <c r="BM22" s="24" t="s">
        <v>16</v>
      </c>
      <c r="BN22" s="25">
        <f t="array" ref="BN22">MIN(TOCOL(Q32:AD32,1))</f>
        <v>-0.0168</v>
      </c>
      <c r="BO22" s="26">
        <f t="array" ref="BO22">_xlfn.QUARTILE.INC(TOCOL(Q32:AD32,1),1)</f>
        <v>0.059975</v>
      </c>
      <c r="BP22" s="26">
        <f t="array" ref="BP22">MEDIAN(TOCOL(Q32:AD32,1))</f>
        <v>0.08005</v>
      </c>
      <c r="BQ22" s="26">
        <f t="array" ref="BQ22">_xlfn.QUARTILE.INC(TOCOL(Q32:AD32,1),3)</f>
        <v>0.091175</v>
      </c>
      <c r="BR22" s="25">
        <f t="array" ref="BR22">MAX(TOCOL(Q32:AD32,1))</f>
        <v>0.1318</v>
      </c>
      <c r="BT22" s="24" t="s">
        <v>17</v>
      </c>
      <c r="BU22" s="27">
        <f t="array" ref="BU22">MIN(TOCOL(AI43:AV43,1))</f>
        <v>0.4</v>
      </c>
      <c r="BV22" s="28">
        <f t="array" ref="BV22">_xlfn.QUARTILE.INC(TOCOL(AI43:AV43,1),1)</f>
        <v>0.48</v>
      </c>
      <c r="BW22" s="28">
        <f t="array" ref="BW22">MEDIAN(TOCOL(AI43:AV43,1))</f>
        <v>0.485</v>
      </c>
      <c r="BX22" s="28">
        <f t="array" ref="BX22">_xlfn.QUARTILE.INC(TOCOL(AI43:AV43,1),3)</f>
        <v>0.5175</v>
      </c>
      <c r="BY22" s="27">
        <f t="array" ref="BY22">MAX(TOCOL(AI43:AV43,1))</f>
        <v>0.55</v>
      </c>
      <c r="CA22" s="24" t="s">
        <v>18</v>
      </c>
      <c r="CB22" s="27" t="str">
        <f t="array" ref="CB22">MIN(TOCOL(AI58:AV58,1))</f>
        <v>#REF!</v>
      </c>
      <c r="CC22" s="28" t="str">
        <f t="array" ref="CC22">_xlfn.QUARTILE.INC(TOCOL(AI58:AV58,1),1)</f>
        <v>#REF!</v>
      </c>
      <c r="CD22" s="28" t="str">
        <f t="array" ref="CD22">MEDIAN(TOCOL(AI58:AV58,1))</f>
        <v>#REF!</v>
      </c>
      <c r="CE22" s="28" t="str">
        <f t="array" ref="CE22">_xlfn.QUARTILE.INC(TOCOL(AI58:AV58,1),3)</f>
        <v>#REF!</v>
      </c>
      <c r="CF22" s="27" t="str">
        <f t="array" ref="CF22">MAX(TOCOL(AI58:AV58,1))</f>
        <v>#REF!</v>
      </c>
      <c r="CG22" s="36"/>
      <c r="CH22" s="24" t="s">
        <v>16</v>
      </c>
      <c r="CI22" s="25">
        <f t="array" ref="CI22">MIN(TOCOL(Q33:AD33,1))</f>
        <v>-6.5618</v>
      </c>
      <c r="CJ22" s="26">
        <f t="array" ref="CJ22">_xlfn.QUARTILE.INC(TOCOL(Q33:AD33,1),1)</f>
        <v>0.01085</v>
      </c>
      <c r="CK22" s="26">
        <f t="array" ref="CK22">MEDIAN(TOCOL(Q33:AD33,1))</f>
        <v>0.0755</v>
      </c>
      <c r="CL22" s="26">
        <f t="array" ref="CL22">_xlfn.QUARTILE.INC(TOCOL(Q33:AD33,1),3)</f>
        <v>0.09405</v>
      </c>
      <c r="CM22" s="25">
        <f t="array" ref="CM22">MAX(TOCOL(Q33:AD33,1))</f>
        <v>2.5808</v>
      </c>
      <c r="CO22" s="24" t="s">
        <v>17</v>
      </c>
      <c r="CP22" s="27">
        <f t="array" ref="CP22">MIN(TOCOL(AI44:AV44,1))</f>
        <v>0.68</v>
      </c>
      <c r="CQ22" s="28">
        <f t="array" ref="CQ22">_xlfn.QUARTILE.INC(TOCOL(AI44:AV44,1),1)</f>
        <v>1.1575</v>
      </c>
      <c r="CR22" s="28">
        <f t="array" ref="CR22">MEDIAN(TOCOL(AI44:AV44,1))</f>
        <v>1.6</v>
      </c>
      <c r="CS22" s="28">
        <f t="array" ref="CS22">_xlfn.QUARTILE.INC(TOCOL(AI44:AV44,1),3)</f>
        <v>2.655</v>
      </c>
      <c r="CT22" s="27">
        <f t="array" ref="CT22">MAX(TOCOL(AI44:AV44,1))</f>
        <v>3.01</v>
      </c>
      <c r="CV22" s="24" t="s">
        <v>18</v>
      </c>
      <c r="CW22" s="27" t="str">
        <f t="array" ref="CW22">MIN(TOCOL(AI59:AV59,1))</f>
        <v>#REF!</v>
      </c>
      <c r="CX22" s="28" t="str">
        <f t="array" ref="CX22">_xlfn.QUARTILE.INC(TOCOL(AI59:AV59,1),1)</f>
        <v>#REF!</v>
      </c>
      <c r="CY22" s="28" t="str">
        <f t="array" ref="CY22">MEDIAN(TOCOL(AI59:AV59,1))</f>
        <v>#REF!</v>
      </c>
      <c r="CZ22" s="28" t="str">
        <f t="array" ref="CZ22">_xlfn.QUARTILE.INC(TOCOL(AI59:AV59,1),3)</f>
        <v>#REF!</v>
      </c>
      <c r="DA22" s="27" t="str">
        <f t="array" ref="DA22">MAX(TOCOL(AI59:AV59,1))</f>
        <v>#REF!</v>
      </c>
    </row>
    <row r="23">
      <c r="A23" s="15"/>
      <c r="B23" s="24" t="s">
        <v>19</v>
      </c>
      <c r="C23" s="25">
        <f t="array" ref="C23">MIN(TOCOL(AE31:AR33,1))</f>
        <v>-0.0871</v>
      </c>
      <c r="D23" s="26">
        <f t="array" ref="D23">_xlfn.QUARTILE.INC(TOCOL(AE31:AR33,1),1)</f>
        <v>0.024625</v>
      </c>
      <c r="E23" s="26">
        <f t="array" ref="E23">MEDIAN(TOCOL(AE31:AR33,1))</f>
        <v>0.059</v>
      </c>
      <c r="F23" s="26">
        <f t="array" ref="F23">_xlfn.QUARTILE.INC(TOCOL(AE31:AR33,1),3)</f>
        <v>0.07785</v>
      </c>
      <c r="G23" s="25">
        <f t="array" ref="G23">MAX(TOCOL(AE31:AR33,1))</f>
        <v>3.1477</v>
      </c>
      <c r="I23" s="24" t="s">
        <v>20</v>
      </c>
      <c r="J23" s="27">
        <f t="array" ref="J23">MIN(TOCOL(R50:AE52,1))</f>
        <v>0.71</v>
      </c>
      <c r="K23" s="28">
        <f t="array" ref="K23">_xlfn.QUARTILE.INC(TOCOL(R50:AE52,1),1)</f>
        <v>1.685</v>
      </c>
      <c r="L23" s="28">
        <f t="array" ref="L23">MEDIAN(TOCOL(R50:AE52,1))</f>
        <v>2.29</v>
      </c>
      <c r="M23" s="28">
        <f t="array" ref="M23">_xlfn.QUARTILE.INC(TOCOL(R50:AE52,1),3)</f>
        <v>3.1025</v>
      </c>
      <c r="N23" s="27">
        <f t="array" ref="N23">MAX(TOCOL(R50:AE52,1))</f>
        <v>3.66</v>
      </c>
      <c r="P23" s="24" t="s">
        <v>21</v>
      </c>
      <c r="Q23" s="27" t="str">
        <f t="array" ref="Q23">MIN(TOCOL(R64:AE66,1))</f>
        <v>#REF!</v>
      </c>
      <c r="R23" s="28" t="str">
        <f t="array" ref="R23">_xlfn.QUARTILE.INC(TOCOL(R64:AE66,1),1)</f>
        <v>#REF!</v>
      </c>
      <c r="S23" s="28" t="str">
        <f t="array" ref="S23">MEDIAN(TOCOL(R64:AE66,1))</f>
        <v>#REF!</v>
      </c>
      <c r="T23" s="28" t="str">
        <f t="array" ref="T23">_xlfn.QUARTILE.INC(TOCOL(R64:AE66,1),3)</f>
        <v>#REF!</v>
      </c>
      <c r="U23" s="27" t="str">
        <f t="array" ref="U23">MAX(TOCOL(R64:AE66,1))</f>
        <v>#REF!</v>
      </c>
      <c r="V23" s="39"/>
      <c r="W23" s="24" t="s">
        <v>19</v>
      </c>
      <c r="X23" s="24"/>
      <c r="Y23" s="26"/>
      <c r="Z23" s="26"/>
      <c r="AA23" s="26"/>
      <c r="AB23" s="24"/>
      <c r="AD23" s="24" t="s">
        <v>20</v>
      </c>
      <c r="AE23" s="27"/>
      <c r="AF23" s="28"/>
      <c r="AG23" s="28"/>
      <c r="AH23" s="28"/>
      <c r="AI23" s="27"/>
      <c r="AK23" s="24" t="s">
        <v>21</v>
      </c>
      <c r="AL23" s="27"/>
      <c r="AM23" s="28"/>
      <c r="AN23" s="28"/>
      <c r="AO23" s="28"/>
      <c r="AP23" s="27"/>
      <c r="AQ23" s="39"/>
      <c r="AR23" s="24" t="s">
        <v>19</v>
      </c>
      <c r="AS23" s="25">
        <f t="array" ref="AS23">MIN(TOCOL(AE31:AR31,1))</f>
        <v>0.0587</v>
      </c>
      <c r="AT23" s="26">
        <f t="array" ref="AT23">_xlfn.QUARTILE.INC(TOCOL(AE31:AR31,1),1)</f>
        <v>0.06145</v>
      </c>
      <c r="AU23" s="26">
        <f t="array" ref="AU23">MEDIAN(TOCOL(AE31:AR31,1))</f>
        <v>0.0723</v>
      </c>
      <c r="AV23" s="26">
        <f t="array" ref="AV23">_xlfn.QUARTILE.INC(TOCOL(AE31:AR31,1),3)</f>
        <v>0.088375</v>
      </c>
      <c r="AW23" s="25">
        <f t="array" ref="AW23">MAX(TOCOL(AE31:AR31,1))</f>
        <v>0.1028</v>
      </c>
      <c r="AY23" s="24" t="s">
        <v>20</v>
      </c>
      <c r="AZ23" s="27">
        <f t="array" ref="AZ23">MIN(TOCOL(R50:AE50,1))</f>
        <v>1.59</v>
      </c>
      <c r="BA23" s="28">
        <f t="array" ref="BA23">_xlfn.QUARTILE.INC(TOCOL(R50:AE50,1),1)</f>
        <v>2.4925</v>
      </c>
      <c r="BB23" s="28">
        <f t="array" ref="BB23">MEDIAN(TOCOL(R50:AE50,1))</f>
        <v>3.075</v>
      </c>
      <c r="BC23" s="28">
        <f t="array" ref="BC23">_xlfn.QUARTILE.INC(TOCOL(R50:AE50,1),3)</f>
        <v>3.44</v>
      </c>
      <c r="BD23" s="27">
        <f t="array" ref="BD23">MAX(TOCOL(R50:AE50,1))</f>
        <v>3.66</v>
      </c>
      <c r="BF23" s="24" t="s">
        <v>21</v>
      </c>
      <c r="BG23" s="27" t="str">
        <f t="array" ref="BG23">MIN(TOCOL(R64:AE64,1))</f>
        <v>#REF!</v>
      </c>
      <c r="BH23" s="28" t="str">
        <f t="array" ref="BH23">_xlfn.QUARTILE.INC(TOCOL(R64:AE64,1),1)</f>
        <v>#REF!</v>
      </c>
      <c r="BI23" s="28" t="str">
        <f t="array" ref="BI23">MEDIAN(TOCOL(R64:AE64,1))</f>
        <v>#REF!</v>
      </c>
      <c r="BJ23" s="28" t="str">
        <f t="array" ref="BJ23">_xlfn.QUARTILE.INC(TOCOL(R64:AE64,1),3)</f>
        <v>#REF!</v>
      </c>
      <c r="BK23" s="27" t="str">
        <f t="array" ref="BK23">MAX(TOCOL(R64:AE64,1))</f>
        <v>#REF!</v>
      </c>
      <c r="BL23" s="39"/>
      <c r="BM23" s="24" t="s">
        <v>19</v>
      </c>
      <c r="BN23" s="25">
        <f t="array" ref="BN23">MIN(TOCOL(AE32:AR32,1))</f>
        <v>-0.0287</v>
      </c>
      <c r="BO23" s="26">
        <f t="array" ref="BO23">_xlfn.QUARTILE.INC(TOCOL(AE32:AR32,1),1)</f>
        <v>0.024625</v>
      </c>
      <c r="BP23" s="26">
        <f t="array" ref="BP23">MEDIAN(TOCOL(AE32:AR32,1))</f>
        <v>0.0405</v>
      </c>
      <c r="BQ23" s="26">
        <f t="array" ref="BQ23">_xlfn.QUARTILE.INC(TOCOL(AE32:AR32,1),3)</f>
        <v>0.049725</v>
      </c>
      <c r="BR23" s="25">
        <f t="array" ref="BR23">MAX(TOCOL(AE32:AR32,1))</f>
        <v>0.0889</v>
      </c>
      <c r="BT23" s="24" t="s">
        <v>20</v>
      </c>
      <c r="BU23" s="27">
        <f t="array" ref="BU23">MIN(TOCOL(R51:AE51,1))</f>
        <v>2.02</v>
      </c>
      <c r="BV23" s="28">
        <f t="array" ref="BV23">_xlfn.QUARTILE.INC(TOCOL(R51:AE51,1),1)</f>
        <v>2.105</v>
      </c>
      <c r="BW23" s="28">
        <f t="array" ref="BW23">MEDIAN(TOCOL(R51:AE51,1))</f>
        <v>2.27</v>
      </c>
      <c r="BX23" s="28">
        <f t="array" ref="BX23">_xlfn.QUARTILE.INC(TOCOL(R51:AE51,1),3)</f>
        <v>2.34</v>
      </c>
      <c r="BY23" s="27">
        <f t="array" ref="BY23">MAX(TOCOL(R51:AE51,1))</f>
        <v>2.99</v>
      </c>
      <c r="CA23" s="24" t="s">
        <v>21</v>
      </c>
      <c r="CB23" s="27" t="str">
        <f t="array" ref="CB23">MIN(TOCOL(R65:AE65,1))</f>
        <v>#REF!</v>
      </c>
      <c r="CC23" s="28" t="str">
        <f t="array" ref="CC23">_xlfn.QUARTILE.INC(TOCOL(R65:AE65,1),1)</f>
        <v>#REF!</v>
      </c>
      <c r="CD23" s="28" t="str">
        <f t="array" ref="CD23">MEDIAN(TOCOL(R65:AE65,1))</f>
        <v>#REF!</v>
      </c>
      <c r="CE23" s="28" t="str">
        <f t="array" ref="CE23">_xlfn.QUARTILE.INC(TOCOL(R65:AE65,1),3)</f>
        <v>#REF!</v>
      </c>
      <c r="CF23" s="27" t="str">
        <f t="array" ref="CF23">MAX(TOCOL(R65:AE65,1))</f>
        <v>#REF!</v>
      </c>
      <c r="CG23" s="39"/>
      <c r="CH23" s="24" t="s">
        <v>19</v>
      </c>
      <c r="CI23" s="25">
        <f t="array" ref="CI23">MIN(TOCOL(AE33:AR33,1))</f>
        <v>-0.0871</v>
      </c>
      <c r="CJ23" s="26">
        <f t="array" ref="CJ23">_xlfn.QUARTILE.INC(TOCOL(AE33:AR33,1),1)</f>
        <v>0.00965</v>
      </c>
      <c r="CK23" s="26">
        <f t="array" ref="CK23">MEDIAN(TOCOL(AE33:AR33,1))</f>
        <v>0.03275</v>
      </c>
      <c r="CL23" s="26">
        <f t="array" ref="CL23">_xlfn.QUARTILE.INC(TOCOL(AE33:AR33,1),3)</f>
        <v>0.0969</v>
      </c>
      <c r="CM23" s="25">
        <f t="array" ref="CM23">MAX(TOCOL(AE33:AR33,1))</f>
        <v>3.1477</v>
      </c>
      <c r="CO23" s="24" t="s">
        <v>20</v>
      </c>
      <c r="CP23" s="27">
        <f t="array" ref="CP23">MIN(TOCOL(R52:AE52,1))</f>
        <v>0.71</v>
      </c>
      <c r="CQ23" s="28">
        <f t="array" ref="CQ23">_xlfn.QUARTILE.INC(TOCOL(R52:AE52,1),1)</f>
        <v>1.075</v>
      </c>
      <c r="CR23" s="28">
        <f t="array" ref="CR23">MEDIAN(TOCOL(R52:AE52,1))</f>
        <v>1.67</v>
      </c>
      <c r="CS23" s="28">
        <f t="array" ref="CS23">_xlfn.QUARTILE.INC(TOCOL(R52:AE52,1),3)</f>
        <v>2.095</v>
      </c>
      <c r="CT23" s="27">
        <f t="array" ref="CT23">MAX(TOCOL(R52:AE52,1))</f>
        <v>3.48</v>
      </c>
      <c r="CV23" s="24" t="s">
        <v>21</v>
      </c>
      <c r="CW23" s="27" t="str">
        <f t="array" ref="CW23">MIN(TOCOL(R66:AE66,1))</f>
        <v>#REF!</v>
      </c>
      <c r="CX23" s="28" t="str">
        <f t="array" ref="CX23">_xlfn.QUARTILE.INC(TOCOL(R66:AE66,1),1)</f>
        <v>#REF!</v>
      </c>
      <c r="CY23" s="28" t="str">
        <f t="array" ref="CY23">MEDIAN(TOCOL(R66:AE66,1))</f>
        <v>#REF!</v>
      </c>
      <c r="CZ23" s="28" t="str">
        <f t="array" ref="CZ23">_xlfn.QUARTILE.INC(TOCOL(R66:AE66,1),3)</f>
        <v>#REF!</v>
      </c>
      <c r="DA23" s="27" t="str">
        <f t="array" ref="DA23">MAX(TOCOL(R66:AE66,1))</f>
        <v>#REF!</v>
      </c>
    </row>
    <row r="24">
      <c r="A24" s="15"/>
      <c r="B24" s="40" t="s">
        <v>22</v>
      </c>
      <c r="C24" s="41">
        <f t="array" ref="C24">MIN(TOCOL(R78:AE80,1))</f>
        <v>-0.3214</v>
      </c>
      <c r="D24" s="42">
        <f t="array" ref="D24">_xlfn.QUARTILE.INC(TOCOL(R78:AE80,1),1)</f>
        <v>0.0844</v>
      </c>
      <c r="E24" s="42">
        <f t="array" ref="E24">MEDIAN(TOCOL(R78:AE80,1))</f>
        <v>0.1052</v>
      </c>
      <c r="F24" s="42">
        <f t="array" ref="F24">_xlfn.QUARTILE.INC(TOCOL(R78:AE80,1),3)</f>
        <v>0.1281</v>
      </c>
      <c r="G24" s="41">
        <f t="array" ref="G24">MAX(TOCOL(R78:AE80,1))</f>
        <v>2.6303</v>
      </c>
      <c r="H24" s="15"/>
      <c r="I24" s="40" t="s">
        <v>23</v>
      </c>
      <c r="J24" s="34">
        <f t="array" ref="J24">MIN(TOCOL(AI50:AV52,1))</f>
        <v>0.11</v>
      </c>
      <c r="K24" s="28">
        <f t="array" ref="K24">_xlfn.QUARTILE.INC(TOCOL(AI50:AV52,1),1)</f>
        <v>0.375</v>
      </c>
      <c r="L24" s="28">
        <f t="array" ref="L24">MEDIAN(TOCOL(AI50:AV52,1))</f>
        <v>0.685</v>
      </c>
      <c r="M24" s="28">
        <f t="array" ref="M24">_xlfn.QUARTILE.INC(TOCOL(AI50:AV52,1),3)</f>
        <v>1.035</v>
      </c>
      <c r="N24" s="34">
        <f t="array" ref="N24">MAX(TOCOL(AI50:AV52,1))</f>
        <v>1.45</v>
      </c>
      <c r="P24" s="40" t="s">
        <v>24</v>
      </c>
      <c r="Q24" s="34" t="str">
        <f t="array" ref="Q24">MIN(TOCOL(AI64:AV66,1))</f>
        <v>#REF!</v>
      </c>
      <c r="R24" s="28" t="str">
        <f t="array" ref="R24">_xlfn.QUARTILE.INC(TOCOL(AI64:AV66,1),1)</f>
        <v>#REF!</v>
      </c>
      <c r="S24" s="28" t="str">
        <f t="array" ref="S24">MEDIAN(TOCOL(AI64:AV66,1))</f>
        <v>#REF!</v>
      </c>
      <c r="T24" s="28" t="str">
        <f t="array" ref="T24">_xlfn.QUARTILE.INC(TOCOL(AI64:AV66,1),3)</f>
        <v>#REF!</v>
      </c>
      <c r="U24" s="34" t="str">
        <f t="array" ref="U24">MAX(TOCOL(AI64:AV66,1))</f>
        <v>#REF!</v>
      </c>
      <c r="V24" s="39"/>
      <c r="W24" s="43" t="s">
        <v>22</v>
      </c>
      <c r="X24" s="41"/>
      <c r="Y24" s="42"/>
      <c r="Z24" s="42"/>
      <c r="AA24" s="42"/>
      <c r="AB24" s="41"/>
      <c r="AC24" s="15"/>
      <c r="AD24" s="40" t="s">
        <v>23</v>
      </c>
      <c r="AE24" s="34"/>
      <c r="AF24" s="28"/>
      <c r="AG24" s="28"/>
      <c r="AH24" s="28"/>
      <c r="AI24" s="34"/>
      <c r="AK24" s="40" t="s">
        <v>24</v>
      </c>
      <c r="AL24" s="34"/>
      <c r="AM24" s="28"/>
      <c r="AN24" s="28"/>
      <c r="AO24" s="28"/>
      <c r="AP24" s="34"/>
      <c r="AQ24" s="39"/>
      <c r="AR24" s="40" t="s">
        <v>22</v>
      </c>
      <c r="AS24" s="41">
        <f t="array" ref="AS24">MIN(TOCOL(R78:AE78,1))</f>
        <v>0.103</v>
      </c>
      <c r="AT24" s="42">
        <f t="array" ref="AT24">_xlfn.QUARTILE.INC(TOCOL(R78:AE78,1),1)</f>
        <v>0.1111</v>
      </c>
      <c r="AU24" s="42">
        <f t="array" ref="AU24">MEDIAN(TOCOL(R78:AE78,1))</f>
        <v>0.1213</v>
      </c>
      <c r="AV24" s="42">
        <f t="array" ref="AV24">_xlfn.QUARTILE.INC(TOCOL(R78:AE78,1),3)</f>
        <v>0.138725</v>
      </c>
      <c r="AW24" s="41">
        <f t="array" ref="AW24">MAX(TOCOL(R78:AE78,1))</f>
        <v>0.1616</v>
      </c>
      <c r="AX24" s="15"/>
      <c r="AY24" s="40" t="s">
        <v>23</v>
      </c>
      <c r="AZ24" s="34">
        <f t="array" ref="AZ24">MIN(TOCOL(AI50:AV50,1))</f>
        <v>0.41</v>
      </c>
      <c r="BA24" s="28">
        <f t="array" ref="BA24">_xlfn.QUARTILE.INC(TOCOL(AI50:AV50,1),1)</f>
        <v>0.5125</v>
      </c>
      <c r="BB24" s="28">
        <f t="array" ref="BB24">MEDIAN(TOCOL(AI50:AV50,1))</f>
        <v>0.625</v>
      </c>
      <c r="BC24" s="28">
        <f t="array" ref="BC24">_xlfn.QUARTILE.INC(TOCOL(AI50:AV50,1),3)</f>
        <v>0.7575</v>
      </c>
      <c r="BD24" s="34">
        <f t="array" ref="BD24">MAX(TOCOL(AI50:AV50,1))</f>
        <v>0.95</v>
      </c>
      <c r="BF24" s="40" t="s">
        <v>24</v>
      </c>
      <c r="BG24" s="34" t="str">
        <f t="array" ref="BG24">MIN(TOCOL(AI64:AV64,1))</f>
        <v>#REF!</v>
      </c>
      <c r="BH24" s="28" t="str">
        <f t="array" ref="BH24">_xlfn.QUARTILE.INC(TOCOL(AI64:AV64,1),1)</f>
        <v>#REF!</v>
      </c>
      <c r="BI24" s="28" t="str">
        <f t="array" ref="BI24">MEDIAN(TOCOL(AI64:AV64,1))</f>
        <v>#REF!</v>
      </c>
      <c r="BJ24" s="28" t="str">
        <f t="array" ref="BJ24">_xlfn.QUARTILE.INC(TOCOL(AI64:AV64,1),3)</f>
        <v>#REF!</v>
      </c>
      <c r="BK24" s="34" t="str">
        <f t="array" ref="BK24">MAX(TOCOL(AI64:AV64,1))</f>
        <v>#REF!</v>
      </c>
      <c r="BL24" s="39"/>
      <c r="BM24" s="40" t="s">
        <v>22</v>
      </c>
      <c r="BN24" s="41">
        <f t="array" ref="BN24">MIN(TOCOL(C79:G79,1))</f>
        <v>0.0404</v>
      </c>
      <c r="BO24" s="42">
        <f t="array" ref="BO24">_xlfn.QUARTILE.INC(TOCOL(C79:G79,1),1)</f>
        <v>0.0783</v>
      </c>
      <c r="BP24" s="42">
        <f t="array" ref="BP24">MEDIAN(TOCOL(C79:G79,1))</f>
        <v>0.0893</v>
      </c>
      <c r="BQ24" s="42">
        <f t="array" ref="BQ24">_xlfn.QUARTILE.INC(TOCOL(C79:G79,1),3)</f>
        <v>0.0896</v>
      </c>
      <c r="BR24" s="41">
        <f t="array" ref="BR24">MAX(TOCOL(C79:G79,1))</f>
        <v>0.1043</v>
      </c>
      <c r="BS24" s="15"/>
      <c r="BT24" s="40" t="s">
        <v>23</v>
      </c>
      <c r="BU24" s="34">
        <f t="array" ref="BU24">MIN(TOCOL(AI51:AV51,1))</f>
        <v>1.02</v>
      </c>
      <c r="BV24" s="28">
        <f t="array" ref="BV24">_xlfn.QUARTILE.INC(TOCOL(AI51:AV51,1),1)</f>
        <v>1.05</v>
      </c>
      <c r="BW24" s="28">
        <f t="array" ref="BW24">MEDIAN(TOCOL(AI51:AV51,1))</f>
        <v>1.13</v>
      </c>
      <c r="BX24" s="28">
        <f t="array" ref="BX24">_xlfn.QUARTILE.INC(TOCOL(AI51:AV51,1),3)</f>
        <v>1.165</v>
      </c>
      <c r="BY24" s="34">
        <f t="array" ref="BY24">MAX(TOCOL(AI51:AV51,1))</f>
        <v>1.45</v>
      </c>
      <c r="CA24" s="40" t="s">
        <v>24</v>
      </c>
      <c r="CB24" s="34" t="str">
        <f t="array" ref="CB24">MIN(TOCOL(AI65:AV65,1))</f>
        <v>#REF!</v>
      </c>
      <c r="CC24" s="28" t="str">
        <f t="array" ref="CC24">_xlfn.QUARTILE.INC(TOCOL(AI65:AV65,1),1)</f>
        <v>#REF!</v>
      </c>
      <c r="CD24" s="28" t="str">
        <f t="array" ref="CD24">MEDIAN(TOCOL(AI65:AV65,1))</f>
        <v>#REF!</v>
      </c>
      <c r="CE24" s="28" t="str">
        <f t="array" ref="CE24">_xlfn.QUARTILE.INC(TOCOL(AI65:AV65,1),3)</f>
        <v>#REF!</v>
      </c>
      <c r="CF24" s="34" t="str">
        <f t="array" ref="CF24">MAX(TOCOL(AI65:AV65,1))</f>
        <v>#REF!</v>
      </c>
      <c r="CG24" s="39"/>
      <c r="CH24" s="40" t="s">
        <v>22</v>
      </c>
      <c r="CI24" s="41">
        <f t="array" ref="CI24">MIN(TOCOL(C80:G80,1))</f>
        <v>-0.5108</v>
      </c>
      <c r="CJ24" s="42">
        <f t="array" ref="CJ24">_xlfn.QUARTILE.INC(TOCOL(C80:G80,1),1)</f>
        <v>-0.1457</v>
      </c>
      <c r="CK24" s="42">
        <f t="array" ref="CK24">MEDIAN(TOCOL(C80:G80,1))</f>
        <v>0.0678</v>
      </c>
      <c r="CL24" s="42">
        <f t="array" ref="CL24">_xlfn.QUARTILE.INC(TOCOL(C80:G80,1),3)</f>
        <v>0.0845</v>
      </c>
      <c r="CM24" s="41">
        <f t="array" ref="CM24">MAX(TOCOL(C80:G80,1))</f>
        <v>0.0944</v>
      </c>
      <c r="CN24" s="15"/>
      <c r="CO24" s="40" t="s">
        <v>23</v>
      </c>
      <c r="CP24" s="34">
        <f t="array" ref="CP24">MIN(TOCOL(AI52:AV52,1))</f>
        <v>0.11</v>
      </c>
      <c r="CQ24" s="28">
        <f t="array" ref="CQ24">_xlfn.QUARTILE.INC(TOCOL(AI52:AV52,1),1)</f>
        <v>0.12</v>
      </c>
      <c r="CR24" s="28">
        <f t="array" ref="CR24">MEDIAN(TOCOL(AI52:AV52,1))</f>
        <v>0.31</v>
      </c>
      <c r="CS24" s="28">
        <f t="array" ref="CS24">_xlfn.QUARTILE.INC(TOCOL(AI52:AV52,1),3)</f>
        <v>0.375</v>
      </c>
      <c r="CT24" s="34">
        <f t="array" ref="CT24">MAX(TOCOL(AI52:AV52,1))</f>
        <v>0.76</v>
      </c>
      <c r="CV24" s="40" t="s">
        <v>24</v>
      </c>
      <c r="CW24" s="34" t="str">
        <f t="array" ref="CW24">MIN(TOCOL(AI66:AV66,1))</f>
        <v>#REF!</v>
      </c>
      <c r="CX24" s="28" t="str">
        <f t="array" ref="CX24">_xlfn.QUARTILE.INC(TOCOL(AI66:AV66,1),1)</f>
        <v>#REF!</v>
      </c>
      <c r="CY24" s="28" t="str">
        <f t="array" ref="CY24">MEDIAN(TOCOL(AI66:AV66,1))</f>
        <v>#REF!</v>
      </c>
      <c r="CZ24" s="28" t="str">
        <f t="array" ref="CZ24">_xlfn.QUARTILE.INC(TOCOL(AI66:AV66,1),3)</f>
        <v>#REF!</v>
      </c>
      <c r="DA24" s="34" t="str">
        <f t="array" ref="DA24">MAX(TOCOL(AI66:AV66,1))</f>
        <v>#REF!</v>
      </c>
    </row>
    <row r="25">
      <c r="A25" s="15"/>
      <c r="B25" s="24" t="s">
        <v>25</v>
      </c>
      <c r="C25" s="25">
        <f t="array" ref="C25">MIN(TOCOL(AS31:BF33,1))</f>
        <v>-0.369</v>
      </c>
      <c r="D25" s="42">
        <f t="array" ref="D25">_xlfn.QUARTILE.INC(TOCOL(AS31:BF33,1),1)</f>
        <v>0.0259</v>
      </c>
      <c r="E25" s="42">
        <f t="array" ref="E25">MEDIAN(TOCOL(AS31:BF33,1))</f>
        <v>0.061</v>
      </c>
      <c r="F25" s="42">
        <f t="array" ref="F25">_xlfn.QUARTILE.INC(TOCOL(AS31:BF33,1),3)</f>
        <v>0.1069</v>
      </c>
      <c r="G25" s="41">
        <f t="array" ref="G25">MAX(TOCOL(AS31:BF33,1))</f>
        <v>0.3004</v>
      </c>
      <c r="P25" s="24" t="s">
        <v>26</v>
      </c>
      <c r="Q25" s="34" t="str">
        <f t="array" ref="Q25">MIN(TOCOL(R71:AE73,1))</f>
        <v>#REF!</v>
      </c>
      <c r="R25" s="28" t="str">
        <f t="array" ref="R25">_xlfn.QUARTILE.INC(TOCOL(R71:AE73,1),1)</f>
        <v>#REF!</v>
      </c>
      <c r="S25" s="28" t="str">
        <f t="array" ref="S25">MEDIAN(TOCOL(R71:AE73,1))</f>
        <v>#REF!</v>
      </c>
      <c r="T25" s="28" t="str">
        <f t="array" ref="T25">_xlfn.QUARTILE.INC(TOCOL(R71:AE73,1),3)</f>
        <v>#REF!</v>
      </c>
      <c r="U25" s="34" t="str">
        <f t="array" ref="U25">MAX(TOCOL(R71:AE73,1))</f>
        <v>#REF!</v>
      </c>
      <c r="V25" s="39"/>
      <c r="W25" s="24" t="s">
        <v>25</v>
      </c>
      <c r="X25" s="24"/>
      <c r="Y25" s="42"/>
      <c r="Z25" s="42"/>
      <c r="AA25" s="42"/>
      <c r="AB25" s="41"/>
      <c r="AK25" s="24" t="s">
        <v>26</v>
      </c>
      <c r="AL25" s="34"/>
      <c r="AM25" s="28"/>
      <c r="AN25" s="28"/>
      <c r="AO25" s="28"/>
      <c r="AP25" s="34"/>
      <c r="AQ25" s="39"/>
      <c r="AR25" s="24" t="s">
        <v>25</v>
      </c>
      <c r="AS25" s="25">
        <f t="array" ref="AS25">MIN(TOCOL(AS31:BF31,1))</f>
        <v>0.0456</v>
      </c>
      <c r="AT25" s="42">
        <f t="array" ref="AT25">_xlfn.QUARTILE.INC(TOCOL(AS31:BF31,1),1)</f>
        <v>0.084775</v>
      </c>
      <c r="AU25" s="42">
        <f t="array" ref="AU25">MEDIAN(TOCOL(AS31:BF31,1))</f>
        <v>0.10645</v>
      </c>
      <c r="AV25" s="42">
        <f t="array" ref="AV25">_xlfn.QUARTILE.INC(TOCOL(AS31:BF31,1),3)</f>
        <v>0.136475</v>
      </c>
      <c r="AW25" s="41">
        <f t="array" ref="AW25">MAX(TOCOL(AS31:BF31,1))</f>
        <v>0.1706</v>
      </c>
      <c r="BF25" s="24" t="s">
        <v>26</v>
      </c>
      <c r="BG25" s="34" t="str">
        <f t="array" ref="BG25">MIN(TOCOL(R71:AE71,1))</f>
        <v>#REF!</v>
      </c>
      <c r="BH25" s="28" t="str">
        <f t="array" ref="BH25">_xlfn.QUARTILE.INC(TOCOL(R71:AE71,1),1)</f>
        <v>#REF!</v>
      </c>
      <c r="BI25" s="28" t="str">
        <f t="array" ref="BI25">MEDIAN(TOCOL(R71:AE71,1))</f>
        <v>#REF!</v>
      </c>
      <c r="BJ25" s="28" t="str">
        <f t="array" ref="BJ25">_xlfn.QUARTILE.INC(TOCOL(R71:AE71,1),3)</f>
        <v>#REF!</v>
      </c>
      <c r="BK25" s="34" t="str">
        <f t="array" ref="BK25">MAX(TOCOL(R71:AE71,1))</f>
        <v>#REF!</v>
      </c>
      <c r="BL25" s="39"/>
      <c r="BM25" s="24" t="s">
        <v>25</v>
      </c>
      <c r="BN25" s="25">
        <f t="array" ref="BN25">MIN(TOCOL(AS32:BF32,1))</f>
        <v>0.0407</v>
      </c>
      <c r="BO25" s="42">
        <f t="array" ref="BO25">_xlfn.QUARTILE.INC(TOCOL(AS32:BF32,1),1)</f>
        <v>0.0517</v>
      </c>
      <c r="BP25" s="42">
        <f t="array" ref="BP25">MEDIAN(TOCOL(AS32:BF32,1))</f>
        <v>0.06435</v>
      </c>
      <c r="BQ25" s="42">
        <f t="array" ref="BQ25">_xlfn.QUARTILE.INC(TOCOL(AS32:BF32,1),3)</f>
        <v>0.076025</v>
      </c>
      <c r="BR25" s="41">
        <f t="array" ref="BR25">MAX(TOCOL(AS32:BF32,1))</f>
        <v>0.1261</v>
      </c>
      <c r="CA25" s="24" t="s">
        <v>26</v>
      </c>
      <c r="CB25" s="34" t="str">
        <f t="array" ref="CB25">MIN(TOCOL(R72:AE72,1))</f>
        <v>#REF!</v>
      </c>
      <c r="CC25" s="28" t="str">
        <f t="array" ref="CC25">_xlfn.QUARTILE.INC(TOCOL(R72:AE72,1),1)</f>
        <v>#REF!</v>
      </c>
      <c r="CD25" s="28" t="str">
        <f t="array" ref="CD25">MEDIAN(TOCOL(R72:AE72,1))</f>
        <v>#REF!</v>
      </c>
      <c r="CE25" s="28" t="str">
        <f t="array" ref="CE25">_xlfn.QUARTILE.INC(TOCOL(R72:AE72,1),3)</f>
        <v>#REF!</v>
      </c>
      <c r="CF25" s="34" t="str">
        <f t="array" ref="CF25">MAX(TOCOL(R72:AE72,1))</f>
        <v>#REF!</v>
      </c>
      <c r="CG25" s="39"/>
      <c r="CH25" s="24" t="s">
        <v>25</v>
      </c>
      <c r="CI25" s="62">
        <f t="array" ref="CI25">MIN(TOCOL(AS33:BF33,1))</f>
        <v>-0.369</v>
      </c>
      <c r="CJ25" s="42">
        <f t="array" ref="CJ25">_xlfn.QUARTILE.INC(TOCOL(AS33:BF33,1),1)</f>
        <v>-0.0004</v>
      </c>
      <c r="CK25" s="42">
        <f t="array" ref="CK25">MEDIAN(TOCOL(AS33:BF33,1))</f>
        <v>0.0208</v>
      </c>
      <c r="CL25" s="42">
        <f t="array" ref="CL25">_xlfn.QUARTILE.INC(TOCOL(AS33:BF33,1),3)</f>
        <v>0.0342</v>
      </c>
      <c r="CM25" s="41">
        <f t="array" ref="CM25">MAX(TOCOL(AS33:BF33,1))</f>
        <v>0.3004</v>
      </c>
      <c r="CV25" s="24" t="s">
        <v>26</v>
      </c>
      <c r="CW25" s="34" t="str">
        <f t="array" ref="CW25">MIN(TOCOL(R73:AE73,1))</f>
        <v>#REF!</v>
      </c>
      <c r="CX25" s="28" t="str">
        <f t="array" ref="CX25">_xlfn.QUARTILE.INC(TOCOL(AI66:AV66,1),1)</f>
        <v>#REF!</v>
      </c>
      <c r="CY25" s="28" t="str">
        <f t="array" ref="CY25">MEDIAN(TOCOL(AI66:AV66,1))</f>
        <v>#REF!</v>
      </c>
      <c r="CZ25" s="28" t="str">
        <f t="array" ref="CZ25">_xlfn.QUARTILE.INC(TOCOL(AI66:AV66,1),3)</f>
        <v>#REF!</v>
      </c>
      <c r="DA25" s="34" t="str">
        <f t="array" ref="DA25">MAX(TOCOL(AI66:AV66,1))</f>
        <v>#REF!</v>
      </c>
    </row>
    <row r="26">
      <c r="A26" s="15"/>
      <c r="B26" s="24" t="s">
        <v>27</v>
      </c>
      <c r="C26" s="25">
        <f t="array" ref="C26">MIN(TOCOL(BG31:BT33,1))</f>
        <v>-0.5819</v>
      </c>
      <c r="D26" s="42">
        <f t="array" ref="D26">_xlfn.QUARTILE.INC(TOCOL(BG31:BT33,1),1)</f>
        <v>0.04805</v>
      </c>
      <c r="E26" s="42">
        <f t="array" ref="E26">MEDIAN(TOCOL(BG31:BT33,1))</f>
        <v>0.1586</v>
      </c>
      <c r="F26" s="42">
        <f t="array" ref="F26">_xlfn.QUARTILE.INC(TOCOL(BG31:BT33,1),3)</f>
        <v>0.26275</v>
      </c>
      <c r="G26" s="41">
        <f t="array" ref="G26">MAX(TOCOL(BG31:BT33,1))</f>
        <v>0.6146</v>
      </c>
      <c r="V26" s="39"/>
      <c r="W26" s="24" t="s">
        <v>27</v>
      </c>
      <c r="X26" s="24"/>
      <c r="Y26" s="42"/>
      <c r="Z26" s="42"/>
      <c r="AA26" s="42"/>
      <c r="AB26" s="41"/>
      <c r="AQ26" s="39"/>
      <c r="AR26" s="24" t="s">
        <v>27</v>
      </c>
      <c r="AS26" s="25">
        <f t="array" ref="AS26">MIN(TOCOL(BG31:BT31,1))</f>
        <v>0.0814</v>
      </c>
      <c r="AT26" s="42">
        <f t="array" ref="AT26">_xlfn.QUARTILE.INC(TOCOL(BG31:BT31,1),1)</f>
        <v>0.1707</v>
      </c>
      <c r="AU26" s="42">
        <f t="array" ref="AU26">MEDIAN(TOCOL(BG31:BT31,1))</f>
        <v>0.24215</v>
      </c>
      <c r="AV26" s="42">
        <f t="array" ref="AV26">_xlfn.QUARTILE.INC(TOCOL(BG31:BT31,1),3)</f>
        <v>0.343975</v>
      </c>
      <c r="AW26" s="41">
        <f t="array" ref="AW26">MAX(TOCOL(BG31:BT31,1))</f>
        <v>0.4883</v>
      </c>
      <c r="BL26" s="39"/>
      <c r="BM26" s="24" t="s">
        <v>27</v>
      </c>
      <c r="BN26" s="25">
        <f t="array" ref="BN26">MIN(TOCOL(BG32:BT32,1))</f>
        <v>0.0834</v>
      </c>
      <c r="BO26" s="42">
        <f t="array" ref="BO26">_xlfn.QUARTILE.INC(TOCOL(BG32:BT32,1),1)</f>
        <v>0.108475</v>
      </c>
      <c r="BP26" s="42">
        <f t="array" ref="BP26">MEDIAN(TOCOL(BG32:BT32,1))</f>
        <v>0.1463</v>
      </c>
      <c r="BQ26" s="42">
        <f t="array" ref="BQ26">_xlfn.QUARTILE.INC(TOCOL(BG32:BT32,1),3)</f>
        <v>0.185825</v>
      </c>
      <c r="BR26" s="41">
        <f t="array" ref="BR26">MAX(TOCOL(BG32:BT32,1))</f>
        <v>0.4486</v>
      </c>
      <c r="CG26" s="39"/>
      <c r="CH26" s="24" t="s">
        <v>27</v>
      </c>
      <c r="CI26" s="24">
        <f t="array" ref="CI26">MIN(TOCOL(BG33:BT33,1))</f>
        <v>-0.5819</v>
      </c>
      <c r="CJ26" s="42">
        <f t="array" ref="CJ26">_xlfn.QUARTILE.INC(TOCOL(BG33:BT33,1),1)</f>
        <v>0.0026</v>
      </c>
      <c r="CK26" s="42">
        <f t="array" ref="CK26">MEDIAN(TOCOL(BG33:BT33,1))</f>
        <v>0.0152</v>
      </c>
      <c r="CL26" s="42">
        <f t="array" ref="CL26">_xlfn.QUARTILE.INC(TOCOL(BG33:BT33,1),3)</f>
        <v>0.052</v>
      </c>
      <c r="CM26" s="41">
        <f t="array" ref="CM26">MAX(TOCOL(BG33:BT33,1))</f>
        <v>0.6146</v>
      </c>
    </row>
    <row r="27">
      <c r="A27" s="15"/>
      <c r="B27" s="1"/>
      <c r="C27" s="46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1"/>
      <c r="AS27" s="46"/>
      <c r="BL27" s="47"/>
      <c r="BM27" s="1"/>
      <c r="BN27" s="46"/>
      <c r="CG27" s="15"/>
      <c r="CH27" s="1"/>
      <c r="CI27" s="46"/>
    </row>
    <row r="28">
      <c r="A28" s="15"/>
      <c r="B28" s="1" t="s">
        <v>28</v>
      </c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Y28" s="2"/>
    </row>
    <row r="29">
      <c r="A29" s="15"/>
      <c r="B29" s="63" t="s">
        <v>29</v>
      </c>
      <c r="C29" s="64" t="s">
        <v>64</v>
      </c>
      <c r="D29" s="65" t="s">
        <v>65</v>
      </c>
      <c r="E29" s="65" t="s">
        <v>66</v>
      </c>
      <c r="F29" s="65" t="s">
        <v>67</v>
      </c>
      <c r="G29" s="65" t="s">
        <v>68</v>
      </c>
      <c r="H29" s="65" t="s">
        <v>69</v>
      </c>
      <c r="I29" s="65" t="s">
        <v>70</v>
      </c>
      <c r="J29" s="65" t="s">
        <v>71</v>
      </c>
      <c r="K29" s="65" t="s">
        <v>72</v>
      </c>
      <c r="L29" s="65" t="s">
        <v>73</v>
      </c>
      <c r="M29" s="65" t="s">
        <v>74</v>
      </c>
      <c r="N29" s="65" t="s">
        <v>75</v>
      </c>
      <c r="O29" s="65" t="s">
        <v>76</v>
      </c>
      <c r="P29" s="65" t="s">
        <v>77</v>
      </c>
      <c r="Q29" s="66" t="s">
        <v>78</v>
      </c>
      <c r="R29" s="67" t="s">
        <v>79</v>
      </c>
      <c r="S29" s="67" t="s">
        <v>80</v>
      </c>
      <c r="T29" s="67" t="s">
        <v>81</v>
      </c>
      <c r="U29" s="67" t="s">
        <v>82</v>
      </c>
      <c r="V29" s="67" t="s">
        <v>83</v>
      </c>
      <c r="W29" s="67" t="s">
        <v>84</v>
      </c>
      <c r="X29" s="67" t="s">
        <v>85</v>
      </c>
      <c r="Y29" s="67" t="s">
        <v>86</v>
      </c>
      <c r="Z29" s="67" t="s">
        <v>87</v>
      </c>
      <c r="AA29" s="67" t="s">
        <v>88</v>
      </c>
      <c r="AB29" s="67" t="s">
        <v>89</v>
      </c>
      <c r="AC29" s="67" t="s">
        <v>90</v>
      </c>
      <c r="AD29" s="67" t="s">
        <v>91</v>
      </c>
      <c r="AE29" s="68" t="s">
        <v>92</v>
      </c>
      <c r="AF29" s="69" t="s">
        <v>93</v>
      </c>
      <c r="AG29" s="69" t="s">
        <v>94</v>
      </c>
      <c r="AH29" s="69" t="s">
        <v>95</v>
      </c>
      <c r="AI29" s="69" t="s">
        <v>96</v>
      </c>
      <c r="AJ29" s="69" t="s">
        <v>97</v>
      </c>
      <c r="AK29" s="69" t="s">
        <v>98</v>
      </c>
      <c r="AL29" s="69" t="s">
        <v>99</v>
      </c>
      <c r="AM29" s="69" t="s">
        <v>100</v>
      </c>
      <c r="AN29" s="69" t="s">
        <v>101</v>
      </c>
      <c r="AO29" s="69" t="s">
        <v>102</v>
      </c>
      <c r="AP29" s="69" t="s">
        <v>103</v>
      </c>
      <c r="AQ29" s="69" t="s">
        <v>104</v>
      </c>
      <c r="AR29" s="69" t="s">
        <v>105</v>
      </c>
      <c r="AS29" s="70" t="s">
        <v>106</v>
      </c>
      <c r="AT29" s="71" t="s">
        <v>107</v>
      </c>
      <c r="AU29" s="71" t="s">
        <v>108</v>
      </c>
      <c r="AV29" s="71" t="s">
        <v>109</v>
      </c>
      <c r="AW29" s="71" t="s">
        <v>110</v>
      </c>
      <c r="AX29" s="71" t="s">
        <v>111</v>
      </c>
      <c r="AY29" s="71" t="s">
        <v>112</v>
      </c>
      <c r="AZ29" s="71" t="s">
        <v>113</v>
      </c>
      <c r="BA29" s="71" t="s">
        <v>114</v>
      </c>
      <c r="BB29" s="71" t="s">
        <v>115</v>
      </c>
      <c r="BC29" s="71" t="s">
        <v>116</v>
      </c>
      <c r="BD29" s="71" t="s">
        <v>117</v>
      </c>
      <c r="BE29" s="71" t="s">
        <v>118</v>
      </c>
      <c r="BF29" s="71" t="s">
        <v>119</v>
      </c>
      <c r="BG29" s="72" t="s">
        <v>120</v>
      </c>
      <c r="BH29" s="73" t="s">
        <v>121</v>
      </c>
      <c r="BI29" s="73" t="s">
        <v>122</v>
      </c>
      <c r="BJ29" s="73" t="s">
        <v>123</v>
      </c>
      <c r="BK29" s="73" t="s">
        <v>124</v>
      </c>
      <c r="BL29" s="73" t="s">
        <v>125</v>
      </c>
      <c r="BM29" s="73" t="s">
        <v>126</v>
      </c>
      <c r="BN29" s="73" t="s">
        <v>127</v>
      </c>
      <c r="BO29" s="73" t="s">
        <v>128</v>
      </c>
      <c r="BP29" s="73" t="s">
        <v>129</v>
      </c>
      <c r="BQ29" s="73" t="s">
        <v>130</v>
      </c>
      <c r="BR29" s="73" t="s">
        <v>131</v>
      </c>
      <c r="BS29" s="73" t="s">
        <v>132</v>
      </c>
      <c r="BT29" s="73" t="s">
        <v>133</v>
      </c>
    </row>
    <row r="30">
      <c r="A30" s="15"/>
      <c r="B30" s="40" t="s">
        <v>55</v>
      </c>
      <c r="C30" s="74"/>
      <c r="D30" s="74"/>
      <c r="E30" s="75"/>
      <c r="F30" s="75"/>
      <c r="G30" s="75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77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</row>
    <row r="31">
      <c r="A31" s="15"/>
      <c r="B31" s="40" t="s">
        <v>56</v>
      </c>
      <c r="C31" s="76">
        <f t="shared" ref="C31:P31" si="16">C172</f>
        <v>0.2025</v>
      </c>
      <c r="D31" s="76">
        <f t="shared" si="16"/>
        <v>0.2307</v>
      </c>
      <c r="E31" s="76">
        <f t="shared" si="16"/>
        <v>0.1825</v>
      </c>
      <c r="F31" s="76">
        <f t="shared" si="16"/>
        <v>0.2309</v>
      </c>
      <c r="G31" s="76">
        <f t="shared" si="16"/>
        <v>0.2072</v>
      </c>
      <c r="H31" s="76">
        <f t="shared" si="16"/>
        <v>0.2355</v>
      </c>
      <c r="I31" s="76">
        <f t="shared" si="16"/>
        <v>0.2341</v>
      </c>
      <c r="J31" s="76">
        <f t="shared" si="16"/>
        <v>0.244</v>
      </c>
      <c r="K31" s="76">
        <f t="shared" si="16"/>
        <v>0.2524</v>
      </c>
      <c r="L31" s="76">
        <f t="shared" si="16"/>
        <v>0.2529</v>
      </c>
      <c r="M31" s="76">
        <f t="shared" si="16"/>
        <v>0.292</v>
      </c>
      <c r="N31" s="76">
        <f t="shared" si="16"/>
        <v>0.2789</v>
      </c>
      <c r="O31" s="76">
        <f t="shared" si="16"/>
        <v>0.2229</v>
      </c>
      <c r="P31" s="76">
        <f t="shared" si="16"/>
        <v>0.2205</v>
      </c>
      <c r="Q31" s="76">
        <f t="shared" ref="Q31:AD31" si="17">C180</f>
        <v>0.0966</v>
      </c>
      <c r="R31" s="76">
        <f t="shared" si="17"/>
        <v>0.1011</v>
      </c>
      <c r="S31" s="76">
        <f t="shared" si="17"/>
        <v>0.0981</v>
      </c>
      <c r="T31" s="76">
        <f t="shared" si="17"/>
        <v>0.1117</v>
      </c>
      <c r="U31" s="76">
        <f t="shared" si="17"/>
        <v>0.094</v>
      </c>
      <c r="V31" s="76">
        <f t="shared" si="17"/>
        <v>0.0905</v>
      </c>
      <c r="W31" s="76">
        <f t="shared" si="17"/>
        <v>0.1116</v>
      </c>
      <c r="X31" s="76">
        <f t="shared" si="17"/>
        <v>0.1209</v>
      </c>
      <c r="Y31" s="76">
        <f t="shared" si="17"/>
        <v>0.1272</v>
      </c>
      <c r="Z31" s="76">
        <f t="shared" si="17"/>
        <v>0.1356</v>
      </c>
      <c r="AA31" s="76">
        <f t="shared" si="17"/>
        <v>0.1484</v>
      </c>
      <c r="AB31" s="76">
        <f t="shared" si="17"/>
        <v>0.1491</v>
      </c>
      <c r="AC31" s="76">
        <f t="shared" si="17"/>
        <v>0.116</v>
      </c>
      <c r="AD31" s="76">
        <f t="shared" si="17"/>
        <v>0.1356</v>
      </c>
      <c r="AE31" s="25">
        <f t="shared" ref="AE31:AR31" si="18">C174</f>
        <v>0.0593</v>
      </c>
      <c r="AF31" s="25">
        <f t="shared" si="18"/>
        <v>0.0625</v>
      </c>
      <c r="AG31" s="25">
        <f t="shared" si="18"/>
        <v>0.0587</v>
      </c>
      <c r="AH31" s="25">
        <f t="shared" si="18"/>
        <v>0.0697</v>
      </c>
      <c r="AI31" s="25">
        <f t="shared" si="18"/>
        <v>0.0611</v>
      </c>
      <c r="AJ31" s="25">
        <f t="shared" si="18"/>
        <v>0.0594</v>
      </c>
      <c r="AK31" s="25">
        <f t="shared" si="18"/>
        <v>0.0689</v>
      </c>
      <c r="AL31" s="25">
        <f t="shared" si="18"/>
        <v>0.0749</v>
      </c>
      <c r="AM31" s="25">
        <f t="shared" si="18"/>
        <v>0.0781</v>
      </c>
      <c r="AN31" s="25">
        <f t="shared" si="18"/>
        <v>0.0921</v>
      </c>
      <c r="AO31" s="25">
        <f t="shared" si="18"/>
        <v>0.0969</v>
      </c>
      <c r="AP31" s="25">
        <f t="shared" si="18"/>
        <v>0.1028</v>
      </c>
      <c r="AQ31" s="25">
        <f t="shared" si="18"/>
        <v>0.0771</v>
      </c>
      <c r="AR31" s="25">
        <f t="shared" si="18"/>
        <v>0.0918</v>
      </c>
      <c r="AS31" s="25">
        <f t="shared" ref="AS31:BF31" si="19">AZ165</f>
        <v>0.0456</v>
      </c>
      <c r="AT31" s="25">
        <f t="shared" si="19"/>
        <v>0.0883</v>
      </c>
      <c r="AU31" s="25">
        <f t="shared" si="19"/>
        <v>0.1069</v>
      </c>
      <c r="AV31" s="25">
        <f t="shared" si="19"/>
        <v>0.0742</v>
      </c>
      <c r="AW31" s="25">
        <f t="shared" si="19"/>
        <v>0.0588</v>
      </c>
      <c r="AX31" s="25">
        <f t="shared" si="19"/>
        <v>0.1052</v>
      </c>
      <c r="AY31" s="25">
        <f t="shared" si="19"/>
        <v>0.1113</v>
      </c>
      <c r="AZ31" s="25">
        <f t="shared" si="19"/>
        <v>0.106</v>
      </c>
      <c r="BA31" s="25">
        <f t="shared" si="19"/>
        <v>0.1559</v>
      </c>
      <c r="BB31" s="25">
        <f t="shared" si="19"/>
        <v>0.0836</v>
      </c>
      <c r="BC31" s="25">
        <f t="shared" si="19"/>
        <v>0.1398</v>
      </c>
      <c r="BD31" s="25">
        <f t="shared" si="19"/>
        <v>0.1265</v>
      </c>
      <c r="BE31" s="25">
        <f t="shared" si="19"/>
        <v>0.1706</v>
      </c>
      <c r="BF31" s="25">
        <f t="shared" si="19"/>
        <v>0.143</v>
      </c>
      <c r="BG31" s="25">
        <f t="shared" ref="BG31:BT31" si="20">AZ164</f>
        <v>0.0814</v>
      </c>
      <c r="BH31" s="25">
        <f t="shared" si="20"/>
        <v>0.1642</v>
      </c>
      <c r="BI31" s="25">
        <f t="shared" si="20"/>
        <v>0.2368</v>
      </c>
      <c r="BJ31" s="25">
        <f t="shared" si="20"/>
        <v>0.1586</v>
      </c>
      <c r="BK31" s="25">
        <f t="shared" si="20"/>
        <v>0.1174</v>
      </c>
      <c r="BL31" s="25">
        <f t="shared" si="20"/>
        <v>0.2127</v>
      </c>
      <c r="BM31" s="25">
        <f t="shared" si="20"/>
        <v>0.278</v>
      </c>
      <c r="BN31" s="25">
        <f t="shared" si="20"/>
        <v>0.2475</v>
      </c>
      <c r="BO31" s="25">
        <f t="shared" si="20"/>
        <v>0.3526</v>
      </c>
      <c r="BP31" s="25">
        <f t="shared" si="20"/>
        <v>0.1902</v>
      </c>
      <c r="BQ31" s="25">
        <f t="shared" si="20"/>
        <v>0.3512</v>
      </c>
      <c r="BR31" s="25">
        <f t="shared" si="20"/>
        <v>0.3223</v>
      </c>
      <c r="BS31" s="25">
        <f t="shared" si="20"/>
        <v>0.4883</v>
      </c>
      <c r="BT31" s="25">
        <f t="shared" si="20"/>
        <v>0.443</v>
      </c>
    </row>
    <row r="32">
      <c r="A32" s="15"/>
      <c r="B32" s="40" t="s">
        <v>57</v>
      </c>
      <c r="C32" s="78">
        <f t="shared" ref="C32:P32" si="21">C319</f>
        <v>0.2699</v>
      </c>
      <c r="D32" s="78">
        <f t="shared" si="21"/>
        <v>0.2429</v>
      </c>
      <c r="E32" s="78">
        <f t="shared" si="21"/>
        <v>0.2404</v>
      </c>
      <c r="F32" s="78">
        <f t="shared" si="21"/>
        <v>0.2825</v>
      </c>
      <c r="G32" s="78">
        <f t="shared" si="21"/>
        <v>0.2802</v>
      </c>
      <c r="H32" s="78">
        <f t="shared" si="21"/>
        <v>0.2808</v>
      </c>
      <c r="I32" s="78">
        <f t="shared" si="21"/>
        <v>0.2946</v>
      </c>
      <c r="J32" s="78">
        <f t="shared" si="21"/>
        <v>0.2599</v>
      </c>
      <c r="K32" s="78">
        <f t="shared" si="21"/>
        <v>0.2648</v>
      </c>
      <c r="L32" s="78">
        <f t="shared" si="21"/>
        <v>0.2862</v>
      </c>
      <c r="M32" s="78">
        <f t="shared" si="21"/>
        <v>0.2833</v>
      </c>
      <c r="N32" s="78">
        <f t="shared" si="21"/>
        <v>0.2833</v>
      </c>
      <c r="O32" s="78">
        <f t="shared" si="21"/>
        <v>0.1852</v>
      </c>
      <c r="P32" s="78">
        <f t="shared" si="21"/>
        <v>0.1852</v>
      </c>
      <c r="Q32" s="78">
        <f t="shared" ref="Q32:AD32" si="22">C320</f>
        <v>0.0915</v>
      </c>
      <c r="R32" s="78">
        <f t="shared" si="22"/>
        <v>0.0888</v>
      </c>
      <c r="S32" s="78">
        <f t="shared" si="22"/>
        <v>0.1264</v>
      </c>
      <c r="T32" s="78">
        <f t="shared" si="22"/>
        <v>0.1051</v>
      </c>
      <c r="U32" s="78">
        <f t="shared" si="22"/>
        <v>0.059</v>
      </c>
      <c r="V32" s="78">
        <f t="shared" si="22"/>
        <v>0.0713</v>
      </c>
      <c r="W32" s="78">
        <f t="shared" si="22"/>
        <v>0.1318</v>
      </c>
      <c r="X32" s="78">
        <f t="shared" si="22"/>
        <v>0.0692</v>
      </c>
      <c r="Y32" s="78">
        <f t="shared" si="22"/>
        <v>0.0557</v>
      </c>
      <c r="Z32" s="78">
        <f t="shared" si="22"/>
        <v>0.0629</v>
      </c>
      <c r="AA32" s="78">
        <f t="shared" si="22"/>
        <v>0.0902</v>
      </c>
      <c r="AB32" s="78">
        <f t="shared" si="22"/>
        <v>0.0902</v>
      </c>
      <c r="AC32" s="78">
        <f t="shared" si="22"/>
        <v>-0.0168</v>
      </c>
      <c r="AD32" s="78">
        <f t="shared" si="22"/>
        <v>-0.0168</v>
      </c>
      <c r="AE32" s="25">
        <f t="shared" ref="AE32:AR32" si="23">C321</f>
        <v>0.0392</v>
      </c>
      <c r="AF32" s="25">
        <f t="shared" si="23"/>
        <v>0.0447</v>
      </c>
      <c r="AG32" s="25">
        <f t="shared" si="23"/>
        <v>0.0769</v>
      </c>
      <c r="AH32" s="25">
        <f t="shared" si="23"/>
        <v>0.0514</v>
      </c>
      <c r="AI32" s="25">
        <f t="shared" si="23"/>
        <v>0.031</v>
      </c>
      <c r="AJ32" s="25">
        <f t="shared" si="23"/>
        <v>0.0322</v>
      </c>
      <c r="AK32" s="25">
        <f t="shared" si="23"/>
        <v>0.0889</v>
      </c>
      <c r="AL32" s="25">
        <f t="shared" si="23"/>
        <v>0.0663</v>
      </c>
      <c r="AM32" s="25">
        <f t="shared" si="23"/>
        <v>0.0203</v>
      </c>
      <c r="AN32" s="25">
        <f t="shared" si="23"/>
        <v>0.0225</v>
      </c>
      <c r="AO32" s="25">
        <f t="shared" si="23"/>
        <v>0.0418</v>
      </c>
      <c r="AP32" s="25">
        <f t="shared" si="23"/>
        <v>0.0418</v>
      </c>
      <c r="AQ32" s="25">
        <f t="shared" si="23"/>
        <v>-0.0287</v>
      </c>
      <c r="AR32" s="25">
        <f t="shared" si="23"/>
        <v>-0.0287</v>
      </c>
      <c r="AS32" s="25">
        <f t="shared" ref="AS32:BF32" si="24">AZ323</f>
        <v>0.061</v>
      </c>
      <c r="AT32" s="25">
        <f t="shared" si="24"/>
        <v>0.1261</v>
      </c>
      <c r="AU32" s="25">
        <f t="shared" si="24"/>
        <v>0.0788</v>
      </c>
      <c r="AV32" s="25">
        <f t="shared" si="24"/>
        <v>0.0407</v>
      </c>
      <c r="AW32" s="25">
        <f t="shared" si="24"/>
        <v>0.0486</v>
      </c>
      <c r="AX32" s="24" t="str">
        <f t="shared" si="24"/>
        <v>-</v>
      </c>
      <c r="AY32" s="24" t="str">
        <f t="shared" si="24"/>
        <v>-</v>
      </c>
      <c r="AZ32" s="24" t="str">
        <f t="shared" si="24"/>
        <v>-</v>
      </c>
      <c r="BA32" s="24" t="str">
        <f t="shared" si="24"/>
        <v>-</v>
      </c>
      <c r="BB32" s="25">
        <f t="shared" si="24"/>
        <v>0.0677</v>
      </c>
      <c r="BC32" s="24" t="str">
        <f t="shared" si="24"/>
        <v>-</v>
      </c>
      <c r="BD32" s="24" t="str">
        <f t="shared" si="24"/>
        <v>-</v>
      </c>
      <c r="BE32" s="24" t="str">
        <f t="shared" si="24"/>
        <v>-</v>
      </c>
      <c r="BF32" s="24" t="str">
        <f t="shared" si="24"/>
        <v/>
      </c>
      <c r="BG32" s="25">
        <f t="shared" ref="BG32:BT32" si="25">AZ322</f>
        <v>0.1783</v>
      </c>
      <c r="BH32" s="25">
        <f t="shared" si="25"/>
        <v>0.4486</v>
      </c>
      <c r="BI32" s="25">
        <f t="shared" si="25"/>
        <v>0.2084</v>
      </c>
      <c r="BJ32" s="25">
        <f t="shared" si="25"/>
        <v>0.1126</v>
      </c>
      <c r="BK32" s="25">
        <f t="shared" si="25"/>
        <v>0.1161</v>
      </c>
      <c r="BL32" s="24" t="str">
        <f t="shared" si="25"/>
        <v>-</v>
      </c>
      <c r="BM32" s="24" t="str">
        <f t="shared" si="25"/>
        <v>-</v>
      </c>
      <c r="BN32" s="25">
        <f t="shared" si="25"/>
        <v>0.0834</v>
      </c>
      <c r="BO32" s="25">
        <f t="shared" si="25"/>
        <v>0.0961</v>
      </c>
      <c r="BP32" s="25">
        <f t="shared" si="25"/>
        <v>0.1765</v>
      </c>
      <c r="BQ32" s="24" t="str">
        <f t="shared" si="25"/>
        <v>-</v>
      </c>
      <c r="BR32" s="24" t="str">
        <f t="shared" si="25"/>
        <v>-</v>
      </c>
      <c r="BS32" s="24" t="str">
        <f t="shared" si="25"/>
        <v>-</v>
      </c>
      <c r="BT32" s="24" t="str">
        <f t="shared" si="25"/>
        <v/>
      </c>
    </row>
    <row r="33">
      <c r="A33" s="15"/>
      <c r="B33" s="24" t="s">
        <v>58</v>
      </c>
      <c r="C33" s="76">
        <f t="shared" ref="C33:P33" si="26">C482</f>
        <v>0.2067</v>
      </c>
      <c r="D33" s="76">
        <f t="shared" si="26"/>
        <v>0.2454</v>
      </c>
      <c r="E33" s="76">
        <f t="shared" si="26"/>
        <v>0.2047</v>
      </c>
      <c r="F33" s="76">
        <f t="shared" si="26"/>
        <v>0.2746</v>
      </c>
      <c r="G33" s="76">
        <f t="shared" si="26"/>
        <v>0.256</v>
      </c>
      <c r="H33" s="76">
        <f t="shared" si="26"/>
        <v>0.2583</v>
      </c>
      <c r="I33" s="76">
        <f t="shared" si="26"/>
        <v>0.2388</v>
      </c>
      <c r="J33" s="76">
        <f t="shared" si="26"/>
        <v>0.2541</v>
      </c>
      <c r="K33" s="76">
        <f t="shared" si="26"/>
        <v>0.2476</v>
      </c>
      <c r="L33" s="76">
        <f t="shared" si="26"/>
        <v>0.2428</v>
      </c>
      <c r="M33" s="76">
        <f t="shared" si="26"/>
        <v>0.0435</v>
      </c>
      <c r="N33" s="76">
        <f t="shared" si="26"/>
        <v>1.768</v>
      </c>
      <c r="O33" s="76">
        <f t="shared" si="26"/>
        <v>4.5584</v>
      </c>
      <c r="P33" s="76" t="str">
        <f t="shared" si="26"/>
        <v>-</v>
      </c>
      <c r="Q33" s="76">
        <f t="shared" ref="Q33:AD33" si="27">C483</f>
        <v>0.0526</v>
      </c>
      <c r="R33" s="76">
        <f t="shared" si="27"/>
        <v>0.0962</v>
      </c>
      <c r="S33" s="76">
        <f t="shared" si="27"/>
        <v>0.0011</v>
      </c>
      <c r="T33" s="76">
        <f t="shared" si="27"/>
        <v>0.0734</v>
      </c>
      <c r="U33" s="76">
        <f t="shared" si="27"/>
        <v>0.0876</v>
      </c>
      <c r="V33" s="76">
        <f t="shared" si="27"/>
        <v>0.0828</v>
      </c>
      <c r="W33" s="76">
        <f t="shared" si="27"/>
        <v>0.0401</v>
      </c>
      <c r="X33" s="76">
        <f t="shared" si="27"/>
        <v>0.0776</v>
      </c>
      <c r="Y33" s="76">
        <f t="shared" si="27"/>
        <v>0.1563</v>
      </c>
      <c r="Z33" s="76">
        <f t="shared" si="27"/>
        <v>-0.002</v>
      </c>
      <c r="AA33" s="76">
        <f t="shared" si="27"/>
        <v>-0.3632</v>
      </c>
      <c r="AB33" s="76">
        <f t="shared" si="27"/>
        <v>2.5808</v>
      </c>
      <c r="AC33" s="76">
        <f t="shared" si="27"/>
        <v>0.5315</v>
      </c>
      <c r="AD33" s="76">
        <f t="shared" si="27"/>
        <v>-6.5618</v>
      </c>
      <c r="AE33" s="25">
        <f t="shared" ref="AE33:AR33" si="28">C484</f>
        <v>0.0072</v>
      </c>
      <c r="AF33" s="25">
        <f t="shared" si="28"/>
        <v>0.0188</v>
      </c>
      <c r="AG33" s="25">
        <f t="shared" si="28"/>
        <v>0.0032</v>
      </c>
      <c r="AH33" s="25">
        <f t="shared" si="28"/>
        <v>0.0434</v>
      </c>
      <c r="AI33" s="25">
        <f t="shared" si="28"/>
        <v>0.017</v>
      </c>
      <c r="AJ33" s="25">
        <f t="shared" si="28"/>
        <v>0.0221</v>
      </c>
      <c r="AK33" s="25">
        <f t="shared" si="28"/>
        <v>-0.0057</v>
      </c>
      <c r="AL33" s="25">
        <f t="shared" si="28"/>
        <v>0.0473</v>
      </c>
      <c r="AM33" s="25">
        <f t="shared" si="28"/>
        <v>0.1021</v>
      </c>
      <c r="AN33" s="25">
        <f t="shared" si="28"/>
        <v>-0.0871</v>
      </c>
      <c r="AO33" s="25">
        <f t="shared" si="28"/>
        <v>1.0066</v>
      </c>
      <c r="AP33" s="25">
        <f t="shared" si="28"/>
        <v>0.4103</v>
      </c>
      <c r="AQ33" s="25">
        <f t="shared" si="28"/>
        <v>0.0813</v>
      </c>
      <c r="AR33" s="25">
        <f t="shared" si="28"/>
        <v>3.1477</v>
      </c>
      <c r="AS33" s="62" t="str">
        <f t="shared" ref="AS33:BF33" si="29">AZ478</f>
        <v>-</v>
      </c>
      <c r="AT33" s="25">
        <f t="shared" si="29"/>
        <v>0.0008</v>
      </c>
      <c r="AU33" s="25">
        <f t="shared" si="29"/>
        <v>0.0342</v>
      </c>
      <c r="AV33" s="25">
        <f t="shared" si="29"/>
        <v>0.0208</v>
      </c>
      <c r="AW33" s="25">
        <f t="shared" si="29"/>
        <v>0.0259</v>
      </c>
      <c r="AX33" s="25">
        <f t="shared" si="29"/>
        <v>0.0231</v>
      </c>
      <c r="AY33" s="25">
        <f t="shared" si="29"/>
        <v>0.0354</v>
      </c>
      <c r="AZ33" s="25">
        <f t="shared" si="29"/>
        <v>0.0433</v>
      </c>
      <c r="BA33" s="25">
        <f t="shared" si="29"/>
        <v>-0.0004</v>
      </c>
      <c r="BB33" s="25">
        <f t="shared" si="29"/>
        <v>-0.1163</v>
      </c>
      <c r="BC33" s="25">
        <f t="shared" si="29"/>
        <v>0.3004</v>
      </c>
      <c r="BD33" s="25">
        <f t="shared" si="29"/>
        <v>0.0084</v>
      </c>
      <c r="BE33" s="25">
        <f t="shared" si="29"/>
        <v>-0.369</v>
      </c>
      <c r="BF33" s="25">
        <f t="shared" si="29"/>
        <v>-0.1951</v>
      </c>
      <c r="BG33" s="24" t="str">
        <f t="shared" ref="BG33:BT33" si="30">AZ477</f>
        <v>-</v>
      </c>
      <c r="BH33" s="25">
        <f t="shared" si="30"/>
        <v>0.005</v>
      </c>
      <c r="BI33" s="25">
        <f t="shared" si="30"/>
        <v>0.0441</v>
      </c>
      <c r="BJ33" s="25">
        <f t="shared" si="30"/>
        <v>0.0089</v>
      </c>
      <c r="BK33" s="25">
        <f t="shared" si="30"/>
        <v>0.0152</v>
      </c>
      <c r="BL33" s="25">
        <f t="shared" si="30"/>
        <v>-0.0065</v>
      </c>
      <c r="BM33" s="25">
        <f t="shared" si="30"/>
        <v>0.0393</v>
      </c>
      <c r="BN33" s="25">
        <f t="shared" si="30"/>
        <v>0.052</v>
      </c>
      <c r="BO33" s="25">
        <f t="shared" si="30"/>
        <v>-0.0338</v>
      </c>
      <c r="BP33" s="25">
        <f t="shared" si="30"/>
        <v>0.6146</v>
      </c>
      <c r="BQ33" s="25">
        <f t="shared" si="30"/>
        <v>0.091</v>
      </c>
      <c r="BR33" s="25">
        <f t="shared" si="30"/>
        <v>0.0026</v>
      </c>
      <c r="BS33" s="25">
        <f t="shared" si="30"/>
        <v>0.4916</v>
      </c>
      <c r="BT33" s="25">
        <f t="shared" si="30"/>
        <v>-0.5819</v>
      </c>
    </row>
    <row r="34">
      <c r="A34" s="15"/>
      <c r="B34" s="60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Y34" s="2"/>
    </row>
    <row r="35">
      <c r="A35" s="79"/>
      <c r="B35" s="80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2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  <c r="CG35" s="80"/>
      <c r="CH35" s="80"/>
      <c r="CI35" s="80"/>
      <c r="CJ35" s="80"/>
      <c r="CK35" s="80"/>
      <c r="CL35" s="80"/>
      <c r="CM35" s="80"/>
      <c r="CN35" s="80"/>
      <c r="CO35" s="80"/>
      <c r="CP35" s="80"/>
      <c r="CQ35" s="80"/>
      <c r="CR35" s="80"/>
      <c r="CS35" s="80"/>
      <c r="CT35" s="80"/>
      <c r="CU35" s="80"/>
      <c r="CV35" s="80"/>
      <c r="CW35" s="80"/>
      <c r="CX35" s="80"/>
      <c r="CY35" s="80"/>
      <c r="CZ35" s="80"/>
      <c r="DA35" s="80"/>
      <c r="DB35" s="80"/>
      <c r="DC35" s="80"/>
      <c r="DD35" s="80"/>
    </row>
    <row r="36">
      <c r="A36" s="15"/>
      <c r="C36" s="60" t="s">
        <v>134</v>
      </c>
      <c r="D36" s="60" t="s">
        <v>135</v>
      </c>
      <c r="E36" s="60" t="s">
        <v>136</v>
      </c>
      <c r="AY36" s="2"/>
    </row>
    <row r="37">
      <c r="A37" s="15"/>
      <c r="B37" s="15">
        <v>6.0166083366E11</v>
      </c>
      <c r="C37" s="56">
        <f>138844581061/601660833660</f>
        <v>0.230768854</v>
      </c>
      <c r="D37" s="15"/>
      <c r="E37" s="56">
        <f>38810585879/B37</f>
        <v>0.06450575425</v>
      </c>
      <c r="F37" s="15"/>
      <c r="G37" s="15"/>
      <c r="H37" s="15"/>
      <c r="I37" s="15"/>
      <c r="J37" s="15"/>
      <c r="K37" s="15"/>
      <c r="L37" s="15"/>
      <c r="M37" s="15"/>
      <c r="N37" s="15"/>
      <c r="R37" s="46"/>
      <c r="S37" s="46"/>
      <c r="T37" s="46"/>
      <c r="U37" s="46"/>
      <c r="V37" s="46"/>
      <c r="AY37" s="2"/>
    </row>
    <row r="38">
      <c r="AY38" s="2"/>
    </row>
    <row r="39">
      <c r="B39" s="83" t="s">
        <v>14</v>
      </c>
      <c r="C39" s="84" t="s">
        <v>137</v>
      </c>
      <c r="I39" s="83" t="s">
        <v>17</v>
      </c>
      <c r="J39" s="84" t="s">
        <v>137</v>
      </c>
      <c r="Q39" s="85" t="s">
        <v>14</v>
      </c>
      <c r="R39" s="86" t="s">
        <v>138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2"/>
      <c r="AH39" s="85" t="s">
        <v>17</v>
      </c>
      <c r="AI39" s="86" t="s">
        <v>138</v>
      </c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2"/>
      <c r="AY39" s="2"/>
    </row>
    <row r="40">
      <c r="B40" s="83"/>
      <c r="C40" s="87" t="s">
        <v>139</v>
      </c>
      <c r="D40" s="87" t="s">
        <v>140</v>
      </c>
      <c r="E40" s="87" t="s">
        <v>141</v>
      </c>
      <c r="F40" s="87" t="s">
        <v>142</v>
      </c>
      <c r="G40" s="88" t="s">
        <v>143</v>
      </c>
      <c r="I40" s="83"/>
      <c r="J40" s="87" t="s">
        <v>139</v>
      </c>
      <c r="K40" s="87" t="s">
        <v>140</v>
      </c>
      <c r="L40" s="87" t="s">
        <v>141</v>
      </c>
      <c r="M40" s="87" t="s">
        <v>142</v>
      </c>
      <c r="N40" s="88" t="s">
        <v>143</v>
      </c>
      <c r="Q40" s="89"/>
      <c r="R40" s="90" t="s">
        <v>144</v>
      </c>
      <c r="S40" s="90" t="s">
        <v>145</v>
      </c>
      <c r="T40" s="90" t="s">
        <v>146</v>
      </c>
      <c r="U40" s="90" t="s">
        <v>147</v>
      </c>
      <c r="V40" s="90" t="s">
        <v>148</v>
      </c>
      <c r="W40" s="90" t="s">
        <v>149</v>
      </c>
      <c r="X40" s="90" t="s">
        <v>150</v>
      </c>
      <c r="Y40" s="90" t="s">
        <v>151</v>
      </c>
      <c r="Z40" s="90" t="s">
        <v>152</v>
      </c>
      <c r="AA40" s="90" t="s">
        <v>153</v>
      </c>
      <c r="AB40" s="90" t="s">
        <v>154</v>
      </c>
      <c r="AC40" s="90" t="s">
        <v>155</v>
      </c>
      <c r="AD40" s="90" t="s">
        <v>156</v>
      </c>
      <c r="AE40" s="90" t="s">
        <v>157</v>
      </c>
      <c r="AH40" s="89"/>
      <c r="AI40" s="90" t="s">
        <v>144</v>
      </c>
      <c r="AJ40" s="90" t="s">
        <v>145</v>
      </c>
      <c r="AK40" s="90" t="s">
        <v>146</v>
      </c>
      <c r="AL40" s="90" t="s">
        <v>147</v>
      </c>
      <c r="AM40" s="90" t="s">
        <v>148</v>
      </c>
      <c r="AN40" s="90" t="s">
        <v>149</v>
      </c>
      <c r="AO40" s="90" t="s">
        <v>150</v>
      </c>
      <c r="AP40" s="90" t="s">
        <v>151</v>
      </c>
      <c r="AQ40" s="90" t="s">
        <v>152</v>
      </c>
      <c r="AR40" s="90" t="s">
        <v>153</v>
      </c>
      <c r="AS40" s="90" t="s">
        <v>154</v>
      </c>
      <c r="AT40" s="90" t="s">
        <v>155</v>
      </c>
      <c r="AU40" s="90" t="s">
        <v>156</v>
      </c>
      <c r="AV40" s="90" t="s">
        <v>157</v>
      </c>
      <c r="AY40" s="2"/>
    </row>
    <row r="41">
      <c r="B41" s="15" t="s">
        <v>55</v>
      </c>
      <c r="C41" s="91">
        <v>310.0</v>
      </c>
      <c r="D41" s="91">
        <v>302.0</v>
      </c>
      <c r="E41" s="91">
        <v>204.0</v>
      </c>
      <c r="F41" s="91">
        <v>245.0</v>
      </c>
      <c r="G41" s="91">
        <v>163.0</v>
      </c>
      <c r="I41" s="15" t="s">
        <v>55</v>
      </c>
      <c r="J41" s="91">
        <v>310.0</v>
      </c>
      <c r="K41" s="91">
        <v>302.0</v>
      </c>
      <c r="L41" s="91">
        <v>204.0</v>
      </c>
      <c r="M41" s="91">
        <v>245.0</v>
      </c>
      <c r="N41" s="91">
        <v>163.0</v>
      </c>
      <c r="Q41" s="92" t="s">
        <v>55</v>
      </c>
      <c r="R41" s="93"/>
      <c r="S41" s="94"/>
      <c r="T41" s="94"/>
      <c r="U41" s="94"/>
      <c r="V41" s="94"/>
      <c r="W41" s="95"/>
      <c r="X41" s="95"/>
      <c r="Y41" s="95"/>
      <c r="Z41" s="95"/>
      <c r="AA41" s="95"/>
      <c r="AB41" s="95"/>
      <c r="AC41" s="95"/>
      <c r="AD41" s="95"/>
      <c r="AE41" s="95"/>
      <c r="AH41" s="92" t="s">
        <v>55</v>
      </c>
      <c r="AI41" s="94"/>
      <c r="AJ41" s="94"/>
      <c r="AK41" s="94"/>
      <c r="AL41" s="94"/>
      <c r="AM41" s="94"/>
      <c r="AN41" s="95"/>
      <c r="AO41" s="95"/>
      <c r="AP41" s="95"/>
      <c r="AQ41" s="95"/>
      <c r="AR41" s="95"/>
      <c r="AS41" s="95"/>
      <c r="AT41" s="95"/>
      <c r="AU41" s="95"/>
      <c r="AV41" s="95"/>
      <c r="AY41" s="2"/>
    </row>
    <row r="42">
      <c r="B42" s="15" t="s">
        <v>56</v>
      </c>
      <c r="C42" s="96">
        <f t="shared" ref="C42:G42" si="31">AB110</f>
        <v>1.98</v>
      </c>
      <c r="D42" s="96">
        <f t="shared" si="31"/>
        <v>2.05</v>
      </c>
      <c r="E42" s="96">
        <f t="shared" si="31"/>
        <v>1.76</v>
      </c>
      <c r="F42" s="96">
        <f t="shared" si="31"/>
        <v>1.39</v>
      </c>
      <c r="G42" s="96">
        <f t="shared" si="31"/>
        <v>1.6</v>
      </c>
      <c r="I42" s="15" t="s">
        <v>56</v>
      </c>
      <c r="J42" s="97">
        <f t="shared" ref="J42:N42" si="32">AB109</f>
        <v>1.2</v>
      </c>
      <c r="K42" s="97">
        <f t="shared" si="32"/>
        <v>1.19</v>
      </c>
      <c r="L42" s="97">
        <f t="shared" si="32"/>
        <v>0.72</v>
      </c>
      <c r="M42" s="97">
        <f t="shared" si="32"/>
        <v>0.47</v>
      </c>
      <c r="N42" s="97">
        <f t="shared" si="32"/>
        <v>0.68</v>
      </c>
      <c r="Q42" s="92" t="s">
        <v>56</v>
      </c>
      <c r="R42" s="98">
        <f t="shared" ref="R42:AE42" si="33">AZ163</f>
        <v>1.47</v>
      </c>
      <c r="S42" s="98">
        <f t="shared" si="33"/>
        <v>1.8</v>
      </c>
      <c r="T42" s="98">
        <f t="shared" si="33"/>
        <v>1.98</v>
      </c>
      <c r="U42" s="98">
        <f t="shared" si="33"/>
        <v>1.7</v>
      </c>
      <c r="V42" s="98">
        <f t="shared" si="33"/>
        <v>1.64</v>
      </c>
      <c r="W42" s="98">
        <f t="shared" si="33"/>
        <v>1.97</v>
      </c>
      <c r="X42" s="98">
        <f t="shared" si="33"/>
        <v>2.05</v>
      </c>
      <c r="Y42" s="98">
        <f t="shared" si="33"/>
        <v>1.65</v>
      </c>
      <c r="Z42" s="98">
        <f t="shared" si="33"/>
        <v>1.49</v>
      </c>
      <c r="AA42" s="98">
        <f t="shared" si="33"/>
        <v>1.78</v>
      </c>
      <c r="AB42" s="98">
        <f t="shared" si="33"/>
        <v>1.76</v>
      </c>
      <c r="AC42" s="98">
        <f t="shared" si="33"/>
        <v>1.64</v>
      </c>
      <c r="AD42" s="98">
        <f t="shared" si="33"/>
        <v>1.57</v>
      </c>
      <c r="AE42" s="98">
        <f t="shared" si="33"/>
        <v>1.55</v>
      </c>
      <c r="AF42" s="99"/>
      <c r="AH42" s="92" t="s">
        <v>56</v>
      </c>
      <c r="AI42" s="100">
        <f t="shared" ref="AI42:AV42" si="34">AZ162</f>
        <v>0.72</v>
      </c>
      <c r="AJ42" s="101">
        <f t="shared" si="34"/>
        <v>0.77</v>
      </c>
      <c r="AK42" s="101">
        <f t="shared" si="34"/>
        <v>1.2</v>
      </c>
      <c r="AL42" s="101">
        <f t="shared" si="34"/>
        <v>0.91</v>
      </c>
      <c r="AM42" s="101">
        <f t="shared" si="34"/>
        <v>0.75</v>
      </c>
      <c r="AN42" s="101">
        <f t="shared" si="34"/>
        <v>0.89</v>
      </c>
      <c r="AO42" s="101">
        <f t="shared" si="34"/>
        <v>1.19</v>
      </c>
      <c r="AP42" s="101">
        <f t="shared" si="34"/>
        <v>0.92</v>
      </c>
      <c r="AQ42" s="101">
        <f t="shared" si="34"/>
        <v>0.77</v>
      </c>
      <c r="AR42" s="101">
        <f t="shared" si="34"/>
        <v>1.01</v>
      </c>
      <c r="AS42" s="101">
        <f t="shared" si="34"/>
        <v>0.72</v>
      </c>
      <c r="AT42" s="101">
        <f t="shared" si="34"/>
        <v>0.81</v>
      </c>
      <c r="AU42" s="101">
        <f t="shared" si="34"/>
        <v>0.82</v>
      </c>
      <c r="AV42" s="101">
        <f t="shared" si="34"/>
        <v>0.76</v>
      </c>
      <c r="AY42" s="2"/>
    </row>
    <row r="43">
      <c r="B43" s="15" t="s">
        <v>57</v>
      </c>
      <c r="C43" s="102">
        <f t="shared" ref="C43:G43" si="35">AB244</f>
        <v>1.14</v>
      </c>
      <c r="D43" s="102">
        <f t="shared" si="35"/>
        <v>1.02</v>
      </c>
      <c r="E43" s="102">
        <f t="shared" si="35"/>
        <v>1.15</v>
      </c>
      <c r="F43" s="102">
        <f t="shared" si="35"/>
        <v>1.22</v>
      </c>
      <c r="G43" s="102">
        <f t="shared" si="35"/>
        <v>1.27</v>
      </c>
      <c r="I43" s="15" t="s">
        <v>57</v>
      </c>
      <c r="J43" s="103">
        <f t="shared" ref="J43:N43" si="36">AB243</f>
        <v>0.51</v>
      </c>
      <c r="K43" s="103">
        <f t="shared" si="36"/>
        <v>0.52</v>
      </c>
      <c r="L43" s="103">
        <f t="shared" si="36"/>
        <v>0.48</v>
      </c>
      <c r="M43" s="103">
        <f t="shared" si="36"/>
        <v>0.59</v>
      </c>
      <c r="N43" s="103">
        <f t="shared" si="36"/>
        <v>0.85</v>
      </c>
      <c r="Q43" s="92" t="s">
        <v>57</v>
      </c>
      <c r="R43" s="104">
        <f t="shared" ref="R43:AE43" si="37">AZ321</f>
        <v>1.12</v>
      </c>
      <c r="S43" s="104">
        <f t="shared" si="37"/>
        <v>1.14</v>
      </c>
      <c r="T43" s="104">
        <f t="shared" si="37"/>
        <v>1.14</v>
      </c>
      <c r="U43" s="104">
        <f t="shared" si="37"/>
        <v>1.11</v>
      </c>
      <c r="V43" s="104">
        <f t="shared" si="37"/>
        <v>1.1</v>
      </c>
      <c r="W43" s="104">
        <f t="shared" si="37"/>
        <v>1.14</v>
      </c>
      <c r="X43" s="104">
        <f t="shared" si="37"/>
        <v>1.02</v>
      </c>
      <c r="Y43" s="104" t="str">
        <f t="shared" si="37"/>
        <v>-</v>
      </c>
      <c r="Z43" s="104">
        <f t="shared" si="37"/>
        <v>1.07</v>
      </c>
      <c r="AA43" s="104" t="str">
        <f t="shared" si="37"/>
        <v>-</v>
      </c>
      <c r="AB43" s="104">
        <f t="shared" si="37"/>
        <v>1.15</v>
      </c>
      <c r="AC43" s="104">
        <f t="shared" si="37"/>
        <v>1.15</v>
      </c>
      <c r="AD43" s="104" t="str">
        <f t="shared" si="37"/>
        <v>-</v>
      </c>
      <c r="AE43" s="104" t="str">
        <f t="shared" si="37"/>
        <v>-</v>
      </c>
      <c r="AH43" s="92" t="s">
        <v>57</v>
      </c>
      <c r="AI43" s="105">
        <f t="shared" ref="AI43:AV43" si="38">AZ320</f>
        <v>0.4</v>
      </c>
      <c r="AJ43" s="105">
        <f t="shared" si="38"/>
        <v>0.48</v>
      </c>
      <c r="AK43" s="105">
        <f t="shared" si="38"/>
        <v>0.51</v>
      </c>
      <c r="AL43" s="105">
        <f t="shared" si="38"/>
        <v>0.45</v>
      </c>
      <c r="AM43" s="105">
        <f t="shared" si="38"/>
        <v>0.54</v>
      </c>
      <c r="AN43" s="105">
        <f t="shared" si="38"/>
        <v>0.55</v>
      </c>
      <c r="AO43" s="105">
        <f t="shared" si="38"/>
        <v>0.52</v>
      </c>
      <c r="AP43" s="105" t="str">
        <f t="shared" si="38"/>
        <v>-</v>
      </c>
      <c r="AQ43" s="105">
        <f t="shared" si="38"/>
        <v>0.49</v>
      </c>
      <c r="AR43" s="105" t="str">
        <f t="shared" si="38"/>
        <v>-</v>
      </c>
      <c r="AS43" s="105">
        <f t="shared" si="38"/>
        <v>0.48</v>
      </c>
      <c r="AT43" s="105">
        <f t="shared" si="38"/>
        <v>0.48</v>
      </c>
      <c r="AU43" s="105" t="str">
        <f t="shared" si="38"/>
        <v>-</v>
      </c>
      <c r="AV43" s="105" t="str">
        <f t="shared" si="38"/>
        <v>-</v>
      </c>
      <c r="AY43" s="2"/>
    </row>
    <row r="44">
      <c r="B44" s="60" t="s">
        <v>58</v>
      </c>
      <c r="C44" s="106">
        <f t="shared" ref="C44:G44" si="39">AB422</f>
        <v>2.2</v>
      </c>
      <c r="D44" s="106">
        <f t="shared" si="39"/>
        <v>2.99</v>
      </c>
      <c r="E44" s="106">
        <f t="shared" si="39"/>
        <v>5.18</v>
      </c>
      <c r="F44" s="106">
        <f t="shared" si="39"/>
        <v>0.83</v>
      </c>
      <c r="G44" s="106">
        <f t="shared" si="39"/>
        <v>1.26</v>
      </c>
      <c r="I44" s="60" t="s">
        <v>58</v>
      </c>
      <c r="J44" s="97">
        <f t="shared" ref="J44:N44" si="40">AB421</f>
        <v>1.39</v>
      </c>
      <c r="K44" s="97">
        <f t="shared" si="40"/>
        <v>1.68</v>
      </c>
      <c r="L44" s="97">
        <f t="shared" si="40"/>
        <v>2.58</v>
      </c>
      <c r="M44" s="97">
        <f t="shared" si="40"/>
        <v>0.55</v>
      </c>
      <c r="N44" s="97">
        <f t="shared" si="40"/>
        <v>0.83</v>
      </c>
      <c r="Q44" s="95" t="s">
        <v>58</v>
      </c>
      <c r="R44" s="107">
        <f t="shared" ref="R44:AE44" si="41">AZ476</f>
        <v>1.78</v>
      </c>
      <c r="S44" s="107">
        <f t="shared" si="41"/>
        <v>1.79</v>
      </c>
      <c r="T44" s="107">
        <f t="shared" si="41"/>
        <v>2.2</v>
      </c>
      <c r="U44" s="107">
        <f t="shared" si="41"/>
        <v>2.67</v>
      </c>
      <c r="V44" s="107">
        <f t="shared" si="41"/>
        <v>2.97</v>
      </c>
      <c r="W44" s="107">
        <f t="shared" si="41"/>
        <v>2.62</v>
      </c>
      <c r="X44" s="107">
        <f t="shared" si="41"/>
        <v>2.99</v>
      </c>
      <c r="Y44" s="107">
        <f t="shared" si="41"/>
        <v>5.9</v>
      </c>
      <c r="Z44" s="107">
        <f t="shared" si="41"/>
        <v>6.11</v>
      </c>
      <c r="AA44" s="107">
        <f t="shared" si="41"/>
        <v>5.62</v>
      </c>
      <c r="AB44" s="107">
        <f t="shared" si="41"/>
        <v>5.18</v>
      </c>
      <c r="AC44" s="107">
        <f t="shared" si="41"/>
        <v>1.97</v>
      </c>
      <c r="AD44" s="107">
        <f t="shared" si="41"/>
        <v>3.23</v>
      </c>
      <c r="AE44" s="107">
        <f t="shared" si="41"/>
        <v>3.43</v>
      </c>
      <c r="AH44" s="95" t="s">
        <v>58</v>
      </c>
      <c r="AI44" s="105">
        <f t="shared" ref="AI44:AW44" si="42">AZ475</f>
        <v>1.07</v>
      </c>
      <c r="AJ44" s="105">
        <f t="shared" si="42"/>
        <v>1.08</v>
      </c>
      <c r="AK44" s="105">
        <f t="shared" si="42"/>
        <v>1.39</v>
      </c>
      <c r="AL44" s="105">
        <f t="shared" si="42"/>
        <v>1.54</v>
      </c>
      <c r="AM44" s="105">
        <f t="shared" si="42"/>
        <v>1.6</v>
      </c>
      <c r="AN44" s="105">
        <f t="shared" si="42"/>
        <v>1.6</v>
      </c>
      <c r="AO44" s="105">
        <f t="shared" si="42"/>
        <v>1.68</v>
      </c>
      <c r="AP44" s="105">
        <f t="shared" si="42"/>
        <v>2.68</v>
      </c>
      <c r="AQ44" s="105">
        <f t="shared" si="42"/>
        <v>2.95</v>
      </c>
      <c r="AR44" s="105">
        <f t="shared" si="42"/>
        <v>2.72</v>
      </c>
      <c r="AS44" s="105">
        <f t="shared" si="42"/>
        <v>2.58</v>
      </c>
      <c r="AT44" s="105">
        <f t="shared" si="42"/>
        <v>0.68</v>
      </c>
      <c r="AU44" s="105">
        <f t="shared" si="42"/>
        <v>0.81</v>
      </c>
      <c r="AV44" s="105">
        <f t="shared" si="42"/>
        <v>3.01</v>
      </c>
      <c r="AW44" s="108" t="str">
        <f t="shared" si="42"/>
        <v/>
      </c>
      <c r="AY44" s="2"/>
    </row>
    <row r="45"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Y45" s="2"/>
    </row>
    <row r="46"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Y46" s="2"/>
    </row>
    <row r="47">
      <c r="B47" s="83" t="s">
        <v>20</v>
      </c>
      <c r="C47" s="84" t="s">
        <v>137</v>
      </c>
      <c r="I47" s="83" t="s">
        <v>23</v>
      </c>
      <c r="J47" s="84" t="s">
        <v>137</v>
      </c>
      <c r="Q47" s="85" t="s">
        <v>20</v>
      </c>
      <c r="R47" s="86" t="s">
        <v>138</v>
      </c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2"/>
      <c r="AH47" s="85" t="s">
        <v>23</v>
      </c>
      <c r="AI47" s="86" t="s">
        <v>138</v>
      </c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2"/>
      <c r="AY47" s="2"/>
    </row>
    <row r="48">
      <c r="B48" s="83"/>
      <c r="C48" s="87" t="s">
        <v>139</v>
      </c>
      <c r="D48" s="87" t="s">
        <v>140</v>
      </c>
      <c r="E48" s="87" t="s">
        <v>141</v>
      </c>
      <c r="F48" s="87" t="s">
        <v>142</v>
      </c>
      <c r="G48" s="88" t="s">
        <v>143</v>
      </c>
      <c r="I48" s="83"/>
      <c r="J48" s="87" t="s">
        <v>139</v>
      </c>
      <c r="K48" s="87" t="s">
        <v>140</v>
      </c>
      <c r="L48" s="87" t="s">
        <v>141</v>
      </c>
      <c r="M48" s="87" t="s">
        <v>142</v>
      </c>
      <c r="N48" s="88" t="s">
        <v>143</v>
      </c>
      <c r="Q48" s="89"/>
      <c r="R48" s="90" t="s">
        <v>144</v>
      </c>
      <c r="S48" s="90" t="s">
        <v>145</v>
      </c>
      <c r="T48" s="90" t="s">
        <v>146</v>
      </c>
      <c r="U48" s="90" t="s">
        <v>147</v>
      </c>
      <c r="V48" s="90" t="s">
        <v>148</v>
      </c>
      <c r="W48" s="90" t="s">
        <v>149</v>
      </c>
      <c r="X48" s="90" t="s">
        <v>150</v>
      </c>
      <c r="Y48" s="90" t="s">
        <v>151</v>
      </c>
      <c r="Z48" s="90" t="s">
        <v>152</v>
      </c>
      <c r="AA48" s="90" t="s">
        <v>153</v>
      </c>
      <c r="AB48" s="90" t="s">
        <v>154</v>
      </c>
      <c r="AC48" s="90" t="s">
        <v>155</v>
      </c>
      <c r="AD48" s="90" t="s">
        <v>156</v>
      </c>
      <c r="AE48" s="90" t="s">
        <v>157</v>
      </c>
      <c r="AH48" s="89"/>
      <c r="AI48" s="90" t="s">
        <v>144</v>
      </c>
      <c r="AJ48" s="90" t="s">
        <v>145</v>
      </c>
      <c r="AK48" s="90" t="s">
        <v>146</v>
      </c>
      <c r="AL48" s="90" t="s">
        <v>147</v>
      </c>
      <c r="AM48" s="90" t="s">
        <v>148</v>
      </c>
      <c r="AN48" s="90" t="s">
        <v>149</v>
      </c>
      <c r="AO48" s="90" t="s">
        <v>150</v>
      </c>
      <c r="AP48" s="90" t="s">
        <v>151</v>
      </c>
      <c r="AQ48" s="90" t="s">
        <v>152</v>
      </c>
      <c r="AR48" s="90" t="s">
        <v>153</v>
      </c>
      <c r="AS48" s="90" t="s">
        <v>154</v>
      </c>
      <c r="AT48" s="90" t="s">
        <v>155</v>
      </c>
      <c r="AU48" s="90" t="s">
        <v>156</v>
      </c>
      <c r="AV48" s="90" t="s">
        <v>157</v>
      </c>
      <c r="AY48" s="2"/>
    </row>
    <row r="49">
      <c r="B49" s="15" t="s">
        <v>55</v>
      </c>
      <c r="C49" s="91">
        <v>310.0</v>
      </c>
      <c r="D49" s="91">
        <v>302.0</v>
      </c>
      <c r="E49" s="91">
        <v>204.0</v>
      </c>
      <c r="F49" s="91">
        <v>245.0</v>
      </c>
      <c r="G49" s="91">
        <v>163.0</v>
      </c>
      <c r="I49" s="15" t="s">
        <v>55</v>
      </c>
      <c r="J49" s="91">
        <v>310.0</v>
      </c>
      <c r="K49" s="91">
        <v>302.0</v>
      </c>
      <c r="L49" s="91">
        <v>204.0</v>
      </c>
      <c r="M49" s="91">
        <v>245.0</v>
      </c>
      <c r="N49" s="91">
        <v>163.0</v>
      </c>
      <c r="Q49" s="92" t="s">
        <v>55</v>
      </c>
      <c r="R49" s="110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H49" s="92" t="s">
        <v>55</v>
      </c>
      <c r="AI49" s="94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Y49" s="2"/>
    </row>
    <row r="50">
      <c r="B50" s="15" t="s">
        <v>56</v>
      </c>
      <c r="C50" s="97">
        <f t="shared" ref="C50:G50" si="43">AB108</f>
        <v>3.6</v>
      </c>
      <c r="D50" s="97">
        <f t="shared" si="43"/>
        <v>3.37</v>
      </c>
      <c r="E50" s="97">
        <f t="shared" si="43"/>
        <v>2.3</v>
      </c>
      <c r="F50" s="97">
        <f t="shared" si="43"/>
        <v>2.31</v>
      </c>
      <c r="G50" s="97">
        <f t="shared" si="43"/>
        <v>2.42</v>
      </c>
      <c r="I50" s="15" t="s">
        <v>56</v>
      </c>
      <c r="J50" s="97">
        <f t="shared" ref="J50:N50" si="44">AB101</f>
        <v>0.41</v>
      </c>
      <c r="K50" s="97">
        <f t="shared" si="44"/>
        <v>0.5</v>
      </c>
      <c r="L50" s="97">
        <f t="shared" si="44"/>
        <v>0.57</v>
      </c>
      <c r="M50" s="97">
        <f t="shared" si="44"/>
        <v>0.74</v>
      </c>
      <c r="N50" s="97">
        <f t="shared" si="44"/>
        <v>0.62</v>
      </c>
      <c r="Q50" s="92" t="s">
        <v>56</v>
      </c>
      <c r="R50" s="111">
        <f t="shared" ref="R50:AE50" si="45">AZ161</f>
        <v>3.06</v>
      </c>
      <c r="S50" s="111">
        <f t="shared" si="45"/>
        <v>1.64</v>
      </c>
      <c r="T50" s="111">
        <f t="shared" si="45"/>
        <v>3.66</v>
      </c>
      <c r="U50" s="98">
        <f t="shared" si="45"/>
        <v>3.05</v>
      </c>
      <c r="V50" s="98">
        <f t="shared" si="45"/>
        <v>2.41</v>
      </c>
      <c r="W50" s="98">
        <f t="shared" si="45"/>
        <v>2.16</v>
      </c>
      <c r="X50" s="98">
        <f t="shared" si="45"/>
        <v>3.6</v>
      </c>
      <c r="Y50" s="98">
        <f t="shared" si="45"/>
        <v>3.14</v>
      </c>
      <c r="Z50" s="98">
        <f t="shared" si="45"/>
        <v>2.74</v>
      </c>
      <c r="AA50" s="98">
        <f t="shared" si="45"/>
        <v>3.47</v>
      </c>
      <c r="AB50" s="98">
        <f t="shared" si="45"/>
        <v>1.59</v>
      </c>
      <c r="AC50" s="98">
        <f t="shared" si="45"/>
        <v>3.09</v>
      </c>
      <c r="AD50" s="98">
        <f t="shared" si="45"/>
        <v>3.65</v>
      </c>
      <c r="AE50" s="98">
        <f t="shared" si="45"/>
        <v>3.35</v>
      </c>
      <c r="AH50" s="92" t="s">
        <v>56</v>
      </c>
      <c r="AI50" s="100">
        <f t="shared" ref="AI50:AV50" si="46">AZ154</f>
        <v>0.79</v>
      </c>
      <c r="AJ50" s="100">
        <f t="shared" si="46"/>
        <v>0.47</v>
      </c>
      <c r="AK50" s="100">
        <f t="shared" si="46"/>
        <v>0.41</v>
      </c>
      <c r="AL50" s="101">
        <f t="shared" si="46"/>
        <v>0.52</v>
      </c>
      <c r="AM50" s="101">
        <f t="shared" si="46"/>
        <v>0.76</v>
      </c>
      <c r="AN50" s="101">
        <f t="shared" si="46"/>
        <v>0.51</v>
      </c>
      <c r="AO50" s="101">
        <f t="shared" si="46"/>
        <v>0.5</v>
      </c>
      <c r="AP50" s="101">
        <f t="shared" si="46"/>
        <v>0.75</v>
      </c>
      <c r="AQ50" s="101">
        <f t="shared" si="46"/>
        <v>0.95</v>
      </c>
      <c r="AR50" s="101">
        <f t="shared" si="46"/>
        <v>0.59</v>
      </c>
      <c r="AS50" s="101">
        <f t="shared" si="46"/>
        <v>0.57</v>
      </c>
      <c r="AT50" s="101">
        <f t="shared" si="46"/>
        <v>0.66</v>
      </c>
      <c r="AU50" s="101">
        <f t="shared" si="46"/>
        <v>0.71</v>
      </c>
      <c r="AV50" s="101">
        <f t="shared" si="46"/>
        <v>0.84</v>
      </c>
      <c r="AY50" s="2"/>
    </row>
    <row r="51">
      <c r="B51" s="15" t="s">
        <v>57</v>
      </c>
      <c r="C51" s="97">
        <f t="shared" ref="C51:F51" si="47">AB242</f>
        <v>2.37</v>
      </c>
      <c r="D51" s="97">
        <f t="shared" si="47"/>
        <v>2.58</v>
      </c>
      <c r="E51" s="97">
        <f t="shared" si="47"/>
        <v>2.46</v>
      </c>
      <c r="F51" s="97">
        <f t="shared" si="47"/>
        <v>2.16</v>
      </c>
      <c r="G51" s="103"/>
      <c r="I51" s="15" t="s">
        <v>57</v>
      </c>
      <c r="J51" s="97">
        <f t="shared" ref="J51:N51" si="48">AB235</f>
        <v>1.03</v>
      </c>
      <c r="K51" s="97">
        <f t="shared" si="48"/>
        <v>1.28</v>
      </c>
      <c r="L51" s="97">
        <f t="shared" si="48"/>
        <v>1.14</v>
      </c>
      <c r="M51" s="97">
        <f t="shared" si="48"/>
        <v>1.45</v>
      </c>
      <c r="N51" s="97">
        <f t="shared" si="48"/>
        <v>0.8</v>
      </c>
      <c r="Q51" s="92" t="s">
        <v>57</v>
      </c>
      <c r="R51" s="104">
        <f t="shared" ref="R51:AE51" si="49">AZ319</f>
        <v>2.02</v>
      </c>
      <c r="S51" s="104">
        <f t="shared" si="49"/>
        <v>2.05</v>
      </c>
      <c r="T51" s="104">
        <f t="shared" si="49"/>
        <v>2.99</v>
      </c>
      <c r="U51" s="104">
        <f t="shared" si="49"/>
        <v>2.27</v>
      </c>
      <c r="V51" s="104">
        <f t="shared" si="49"/>
        <v>2.31</v>
      </c>
      <c r="W51" s="104">
        <f t="shared" si="49"/>
        <v>2.37</v>
      </c>
      <c r="X51" s="104" t="str">
        <f t="shared" si="49"/>
        <v>-</v>
      </c>
      <c r="Y51" s="104" t="str">
        <f t="shared" si="49"/>
        <v>-</v>
      </c>
      <c r="Z51" s="104" t="str">
        <f t="shared" si="49"/>
        <v>-</v>
      </c>
      <c r="AA51" s="104" t="str">
        <f t="shared" si="49"/>
        <v>-</v>
      </c>
      <c r="AB51" s="104">
        <f t="shared" si="49"/>
        <v>2.16</v>
      </c>
      <c r="AC51" s="104" t="str">
        <f t="shared" si="49"/>
        <v>-</v>
      </c>
      <c r="AD51" s="104" t="str">
        <f t="shared" si="49"/>
        <v>-</v>
      </c>
      <c r="AE51" s="104" t="str">
        <f t="shared" si="49"/>
        <v>-</v>
      </c>
      <c r="AH51" s="92" t="s">
        <v>57</v>
      </c>
      <c r="AI51" s="105">
        <f t="shared" ref="AI51:AV51" si="50">AZ312</f>
        <v>1.05</v>
      </c>
      <c r="AJ51" s="105">
        <f t="shared" si="50"/>
        <v>1.05</v>
      </c>
      <c r="AK51" s="105">
        <f t="shared" si="50"/>
        <v>1.03</v>
      </c>
      <c r="AL51" s="105">
        <f t="shared" si="50"/>
        <v>1.12</v>
      </c>
      <c r="AM51" s="105">
        <f t="shared" si="50"/>
        <v>1.09</v>
      </c>
      <c r="AN51" s="105">
        <f t="shared" si="50"/>
        <v>1.02</v>
      </c>
      <c r="AO51" s="105">
        <f t="shared" si="50"/>
        <v>1.28</v>
      </c>
      <c r="AP51" s="105" t="str">
        <f t="shared" si="50"/>
        <v>-</v>
      </c>
      <c r="AQ51" s="105">
        <f t="shared" si="50"/>
        <v>1.24</v>
      </c>
      <c r="AR51" s="105">
        <f t="shared" si="50"/>
        <v>1.14</v>
      </c>
      <c r="AS51" s="105">
        <f t="shared" si="50"/>
        <v>1.14</v>
      </c>
      <c r="AT51" s="105">
        <f t="shared" si="50"/>
        <v>1.14</v>
      </c>
      <c r="AU51" s="105" t="str">
        <f t="shared" si="50"/>
        <v>-</v>
      </c>
      <c r="AV51" s="105">
        <f t="shared" si="50"/>
        <v>1.45</v>
      </c>
      <c r="AY51" s="2"/>
    </row>
    <row r="52">
      <c r="B52" s="60" t="s">
        <v>58</v>
      </c>
      <c r="C52" s="97">
        <f t="shared" ref="C52:G52" si="51">AB420</f>
        <v>1.87</v>
      </c>
      <c r="D52" s="97">
        <f t="shared" si="51"/>
        <v>1.29</v>
      </c>
      <c r="E52" s="97">
        <f t="shared" si="51"/>
        <v>0.68</v>
      </c>
      <c r="F52" s="97">
        <f t="shared" si="51"/>
        <v>2.42</v>
      </c>
      <c r="G52" s="97">
        <f t="shared" si="51"/>
        <v>4.1</v>
      </c>
      <c r="I52" s="60" t="s">
        <v>58</v>
      </c>
      <c r="J52" s="97">
        <f t="shared" ref="J52:N52" si="52">AB414</f>
        <v>0.5</v>
      </c>
      <c r="K52" s="97">
        <f t="shared" si="52"/>
        <v>0.31</v>
      </c>
      <c r="L52" s="97">
        <f t="shared" si="52"/>
        <v>0.12</v>
      </c>
      <c r="M52" s="97">
        <f t="shared" si="52"/>
        <v>0.92</v>
      </c>
      <c r="N52" s="97">
        <f t="shared" si="52"/>
        <v>0.66</v>
      </c>
      <c r="Q52" s="95" t="s">
        <v>58</v>
      </c>
      <c r="R52" s="112">
        <f t="shared" ref="R52:AE52" si="53">AZ474</f>
        <v>1.67</v>
      </c>
      <c r="S52" s="112" t="str">
        <f t="shared" si="53"/>
        <v>-</v>
      </c>
      <c r="T52" s="112">
        <f t="shared" si="53"/>
        <v>3.25</v>
      </c>
      <c r="U52" s="107">
        <f t="shared" si="53"/>
        <v>1.69</v>
      </c>
      <c r="V52" s="107">
        <f t="shared" si="53"/>
        <v>0.91</v>
      </c>
      <c r="W52" s="107">
        <f t="shared" si="53"/>
        <v>1.23</v>
      </c>
      <c r="X52" s="107">
        <f t="shared" si="53"/>
        <v>2.07</v>
      </c>
      <c r="Y52" s="107">
        <f t="shared" si="53"/>
        <v>1.49</v>
      </c>
      <c r="Z52" s="107">
        <f t="shared" si="53"/>
        <v>0.92</v>
      </c>
      <c r="AA52" s="107">
        <f t="shared" si="53"/>
        <v>0.71</v>
      </c>
      <c r="AB52" s="107">
        <f t="shared" si="53"/>
        <v>2.12</v>
      </c>
      <c r="AC52" s="107" t="str">
        <f t="shared" si="53"/>
        <v>-</v>
      </c>
      <c r="AD52" s="107" t="str">
        <f t="shared" si="53"/>
        <v>-</v>
      </c>
      <c r="AE52" s="107">
        <f t="shared" si="53"/>
        <v>3.48</v>
      </c>
      <c r="AH52" s="95" t="s">
        <v>58</v>
      </c>
      <c r="AI52" s="113">
        <f t="shared" ref="AI52:AV52" si="54">AZ467</f>
        <v>0.76</v>
      </c>
      <c r="AJ52" s="105">
        <f t="shared" si="54"/>
        <v>0.73</v>
      </c>
      <c r="AK52" s="105">
        <f t="shared" si="54"/>
        <v>0.5</v>
      </c>
      <c r="AL52" s="105">
        <f t="shared" si="54"/>
        <v>0.36</v>
      </c>
      <c r="AM52" s="105">
        <f t="shared" si="54"/>
        <v>0.31</v>
      </c>
      <c r="AN52" s="105">
        <f t="shared" si="54"/>
        <v>0.38</v>
      </c>
      <c r="AO52" s="105">
        <f t="shared" si="54"/>
        <v>0.31</v>
      </c>
      <c r="AP52" s="105">
        <f t="shared" si="54"/>
        <v>0.12</v>
      </c>
      <c r="AQ52" s="105">
        <f t="shared" si="54"/>
        <v>0.12</v>
      </c>
      <c r="AR52" s="105">
        <f t="shared" si="54"/>
        <v>0.12</v>
      </c>
      <c r="AS52" s="105">
        <f t="shared" si="54"/>
        <v>0.12</v>
      </c>
      <c r="AT52" s="105">
        <f t="shared" si="54"/>
        <v>0.16</v>
      </c>
      <c r="AU52" s="105">
        <f t="shared" si="54"/>
        <v>0.11</v>
      </c>
      <c r="AV52" s="105">
        <f t="shared" si="54"/>
        <v>0.33</v>
      </c>
      <c r="AY52" s="2"/>
    </row>
    <row r="53"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Y53" s="2"/>
    </row>
    <row r="54">
      <c r="B54" s="83" t="s">
        <v>158</v>
      </c>
      <c r="C54" s="84" t="s">
        <v>137</v>
      </c>
      <c r="I54" s="114" t="s">
        <v>159</v>
      </c>
      <c r="J54" s="84" t="s">
        <v>137</v>
      </c>
      <c r="Q54" s="85" t="s">
        <v>158</v>
      </c>
      <c r="R54" s="86" t="s">
        <v>138</v>
      </c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2"/>
      <c r="AH54" s="85" t="s">
        <v>159</v>
      </c>
      <c r="AI54" s="86" t="s">
        <v>138</v>
      </c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2"/>
      <c r="AY54" s="2"/>
    </row>
    <row r="55">
      <c r="B55" s="83"/>
      <c r="C55" s="87" t="s">
        <v>139</v>
      </c>
      <c r="D55" s="87" t="s">
        <v>140</v>
      </c>
      <c r="E55" s="87" t="s">
        <v>141</v>
      </c>
      <c r="F55" s="87" t="s">
        <v>142</v>
      </c>
      <c r="G55" s="88" t="s">
        <v>143</v>
      </c>
      <c r="I55" s="114"/>
      <c r="J55" s="115" t="s">
        <v>139</v>
      </c>
      <c r="K55" s="115" t="s">
        <v>140</v>
      </c>
      <c r="L55" s="115" t="s">
        <v>141</v>
      </c>
      <c r="M55" s="115" t="s">
        <v>142</v>
      </c>
      <c r="N55" s="116" t="s">
        <v>143</v>
      </c>
      <c r="Q55" s="89"/>
      <c r="R55" s="90" t="s">
        <v>144</v>
      </c>
      <c r="S55" s="90" t="s">
        <v>145</v>
      </c>
      <c r="T55" s="90" t="s">
        <v>146</v>
      </c>
      <c r="U55" s="90" t="s">
        <v>147</v>
      </c>
      <c r="V55" s="90" t="s">
        <v>148</v>
      </c>
      <c r="W55" s="90" t="s">
        <v>149</v>
      </c>
      <c r="X55" s="90" t="s">
        <v>150</v>
      </c>
      <c r="Y55" s="90" t="s">
        <v>151</v>
      </c>
      <c r="Z55" s="90" t="s">
        <v>152</v>
      </c>
      <c r="AA55" s="90" t="s">
        <v>153</v>
      </c>
      <c r="AB55" s="90" t="s">
        <v>154</v>
      </c>
      <c r="AC55" s="90" t="s">
        <v>155</v>
      </c>
      <c r="AD55" s="90" t="s">
        <v>156</v>
      </c>
      <c r="AE55" s="90" t="s">
        <v>157</v>
      </c>
      <c r="AH55" s="89"/>
      <c r="AI55" s="90" t="s">
        <v>144</v>
      </c>
      <c r="AJ55" s="90" t="s">
        <v>145</v>
      </c>
      <c r="AK55" s="90" t="s">
        <v>146</v>
      </c>
      <c r="AL55" s="90" t="s">
        <v>147</v>
      </c>
      <c r="AM55" s="90" t="s">
        <v>148</v>
      </c>
      <c r="AN55" s="90" t="s">
        <v>149</v>
      </c>
      <c r="AO55" s="90" t="s">
        <v>150</v>
      </c>
      <c r="AP55" s="90" t="s">
        <v>151</v>
      </c>
      <c r="AQ55" s="90" t="s">
        <v>152</v>
      </c>
      <c r="AR55" s="90" t="s">
        <v>153</v>
      </c>
      <c r="AS55" s="90" t="s">
        <v>154</v>
      </c>
      <c r="AT55" s="90" t="s">
        <v>155</v>
      </c>
      <c r="AU55" s="90" t="s">
        <v>156</v>
      </c>
      <c r="AV55" s="90" t="s">
        <v>157</v>
      </c>
      <c r="AY55" s="2"/>
    </row>
    <row r="56">
      <c r="B56" s="15" t="s">
        <v>55</v>
      </c>
      <c r="C56" s="91">
        <v>310.0</v>
      </c>
      <c r="D56" s="91">
        <v>302.0</v>
      </c>
      <c r="E56" s="91">
        <v>204.0</v>
      </c>
      <c r="F56" s="91">
        <v>245.0</v>
      </c>
      <c r="G56" s="91">
        <v>163.0</v>
      </c>
      <c r="I56" s="15" t="s">
        <v>55</v>
      </c>
      <c r="J56" s="91">
        <v>310.0</v>
      </c>
      <c r="K56" s="91">
        <v>302.0</v>
      </c>
      <c r="L56" s="91">
        <v>204.0</v>
      </c>
      <c r="M56" s="91">
        <v>245.0</v>
      </c>
      <c r="N56" s="91">
        <v>163.0</v>
      </c>
      <c r="Q56" s="92" t="s">
        <v>55</v>
      </c>
      <c r="R56" s="110" t="str">
        <f t="shared" ref="R56:V56" si="55">CCC!Q115</f>
        <v>#REF!</v>
      </c>
      <c r="S56" s="110" t="str">
        <f t="shared" si="55"/>
        <v>#REF!</v>
      </c>
      <c r="T56" s="110" t="str">
        <f t="shared" si="55"/>
        <v>#REF!</v>
      </c>
      <c r="U56" s="110" t="str">
        <f t="shared" si="55"/>
        <v>#REF!</v>
      </c>
      <c r="V56" s="110" t="str">
        <f t="shared" si="55"/>
        <v>#REF!</v>
      </c>
      <c r="W56" s="95"/>
      <c r="X56" s="95"/>
      <c r="Y56" s="95"/>
      <c r="Z56" s="95"/>
      <c r="AA56" s="95"/>
      <c r="AB56" s="95"/>
      <c r="AC56" s="95"/>
      <c r="AD56" s="95"/>
      <c r="AE56" s="95"/>
      <c r="AH56" s="92" t="s">
        <v>55</v>
      </c>
      <c r="AI56" s="92" t="str">
        <f t="shared" ref="AI56:AM56" si="56">CCC!Q116</f>
        <v>#REF!</v>
      </c>
      <c r="AJ56" s="92" t="str">
        <f t="shared" si="56"/>
        <v>#REF!</v>
      </c>
      <c r="AK56" s="92" t="str">
        <f t="shared" si="56"/>
        <v>#REF!</v>
      </c>
      <c r="AL56" s="92" t="str">
        <f t="shared" si="56"/>
        <v>#REF!</v>
      </c>
      <c r="AM56" s="92" t="str">
        <f t="shared" si="56"/>
        <v>#REF!</v>
      </c>
      <c r="AN56" s="95"/>
      <c r="AO56" s="95"/>
      <c r="AP56" s="95"/>
      <c r="AQ56" s="95"/>
      <c r="AR56" s="95"/>
      <c r="AS56" s="95"/>
      <c r="AT56" s="95"/>
      <c r="AU56" s="95"/>
      <c r="AV56" s="95"/>
      <c r="AY56" s="2"/>
    </row>
    <row r="57">
      <c r="B57" s="15" t="s">
        <v>56</v>
      </c>
      <c r="C57" s="117" t="str">
        <f t="shared" ref="C57:F57" si="57">CCC!B79</f>
        <v>#REF!</v>
      </c>
      <c r="D57" s="117" t="str">
        <f t="shared" si="57"/>
        <v>#REF!</v>
      </c>
      <c r="E57" s="117" t="str">
        <f t="shared" si="57"/>
        <v>#REF!</v>
      </c>
      <c r="F57" s="117" t="str">
        <f t="shared" si="57"/>
        <v>#REF!</v>
      </c>
      <c r="G57" s="97"/>
      <c r="I57" s="15" t="s">
        <v>56</v>
      </c>
      <c r="J57" s="118" t="str">
        <f t="shared" ref="J57:N57" si="58">CCC!B80</f>
        <v>#REF!</v>
      </c>
      <c r="K57" s="118" t="str">
        <f t="shared" si="58"/>
        <v>#REF!</v>
      </c>
      <c r="L57" s="118" t="str">
        <f t="shared" si="58"/>
        <v>#REF!</v>
      </c>
      <c r="M57" s="118" t="str">
        <f t="shared" si="58"/>
        <v>#REF!</v>
      </c>
      <c r="N57" s="119" t="str">
        <f t="shared" si="58"/>
        <v>#REF!</v>
      </c>
      <c r="Q57" s="92" t="s">
        <v>56</v>
      </c>
      <c r="R57" s="120" t="str">
        <f t="shared" ref="R57:AE57" si="59">CCC!I79</f>
        <v>#REF!</v>
      </c>
      <c r="S57" s="120" t="str">
        <f t="shared" si="59"/>
        <v>#REF!</v>
      </c>
      <c r="T57" s="120" t="str">
        <f t="shared" si="59"/>
        <v>#REF!</v>
      </c>
      <c r="U57" s="120" t="str">
        <f t="shared" si="59"/>
        <v>#REF!</v>
      </c>
      <c r="V57" s="120" t="str">
        <f t="shared" si="59"/>
        <v>#REF!</v>
      </c>
      <c r="W57" s="120" t="str">
        <f t="shared" si="59"/>
        <v>#REF!</v>
      </c>
      <c r="X57" s="120" t="str">
        <f t="shared" si="59"/>
        <v>#REF!</v>
      </c>
      <c r="Y57" s="120" t="str">
        <f t="shared" si="59"/>
        <v>#REF!</v>
      </c>
      <c r="Z57" s="120" t="str">
        <f t="shared" si="59"/>
        <v>#REF!</v>
      </c>
      <c r="AA57" s="120" t="str">
        <f t="shared" si="59"/>
        <v>#REF!</v>
      </c>
      <c r="AB57" s="120" t="str">
        <f t="shared" si="59"/>
        <v>#REF!</v>
      </c>
      <c r="AC57" s="120" t="str">
        <f t="shared" si="59"/>
        <v>#REF!</v>
      </c>
      <c r="AD57" s="120" t="str">
        <f t="shared" si="59"/>
        <v>#REF!</v>
      </c>
      <c r="AE57" s="120" t="str">
        <f t="shared" si="59"/>
        <v>#REF!</v>
      </c>
      <c r="AH57" s="92" t="s">
        <v>56</v>
      </c>
      <c r="AI57" s="121" t="str">
        <f t="shared" ref="AI57:AV57" si="60">CCC!I80</f>
        <v>#REF!</v>
      </c>
      <c r="AJ57" s="121" t="str">
        <f t="shared" si="60"/>
        <v>#REF!</v>
      </c>
      <c r="AK57" s="121" t="str">
        <f t="shared" si="60"/>
        <v>#REF!</v>
      </c>
      <c r="AL57" s="121" t="str">
        <f t="shared" si="60"/>
        <v>#REF!</v>
      </c>
      <c r="AM57" s="121" t="str">
        <f t="shared" si="60"/>
        <v>#REF!</v>
      </c>
      <c r="AN57" s="121" t="str">
        <f t="shared" si="60"/>
        <v>#REF!</v>
      </c>
      <c r="AO57" s="121" t="str">
        <f t="shared" si="60"/>
        <v>#REF!</v>
      </c>
      <c r="AP57" s="121" t="str">
        <f t="shared" si="60"/>
        <v>#REF!</v>
      </c>
      <c r="AQ57" s="121" t="str">
        <f t="shared" si="60"/>
        <v>#REF!</v>
      </c>
      <c r="AR57" s="121" t="str">
        <f t="shared" si="60"/>
        <v>#REF!</v>
      </c>
      <c r="AS57" s="121" t="str">
        <f t="shared" si="60"/>
        <v>#REF!</v>
      </c>
      <c r="AT57" s="121" t="str">
        <f t="shared" si="60"/>
        <v>#REF!</v>
      </c>
      <c r="AU57" s="121" t="str">
        <f t="shared" si="60"/>
        <v>#REF!</v>
      </c>
      <c r="AV57" s="121" t="str">
        <f t="shared" si="60"/>
        <v>#REF!</v>
      </c>
      <c r="AY57" s="2"/>
    </row>
    <row r="58">
      <c r="B58" s="15" t="s">
        <v>57</v>
      </c>
      <c r="C58" s="117" t="str">
        <f t="shared" ref="C58:G58" si="61">CCC!B97</f>
        <v>#REF!</v>
      </c>
      <c r="D58" s="117" t="str">
        <f t="shared" si="61"/>
        <v>#REF!</v>
      </c>
      <c r="E58" s="117" t="str">
        <f t="shared" si="61"/>
        <v>#REF!</v>
      </c>
      <c r="F58" s="117" t="str">
        <f t="shared" si="61"/>
        <v>#REF!</v>
      </c>
      <c r="G58" s="97" t="str">
        <f t="shared" si="61"/>
        <v>#REF!</v>
      </c>
      <c r="I58" s="15" t="s">
        <v>57</v>
      </c>
      <c r="J58" s="118" t="str">
        <f t="shared" ref="J58:N58" si="62">CCC!B98</f>
        <v>#REF!</v>
      </c>
      <c r="K58" s="118" t="str">
        <f t="shared" si="62"/>
        <v>#REF!</v>
      </c>
      <c r="L58" s="118" t="str">
        <f t="shared" si="62"/>
        <v>#REF!</v>
      </c>
      <c r="M58" s="118" t="str">
        <f t="shared" si="62"/>
        <v>#REF!</v>
      </c>
      <c r="N58" s="119" t="str">
        <f t="shared" si="62"/>
        <v>#REF!</v>
      </c>
      <c r="Q58" s="92" t="s">
        <v>57</v>
      </c>
      <c r="R58" s="122" t="str">
        <f t="shared" ref="R58:W58" si="63">CCC!I97</f>
        <v>#REF!</v>
      </c>
      <c r="S58" s="122" t="str">
        <f t="shared" si="63"/>
        <v>#REF!</v>
      </c>
      <c r="T58" s="122" t="str">
        <f t="shared" si="63"/>
        <v>#REF!</v>
      </c>
      <c r="U58" s="122" t="str">
        <f t="shared" si="63"/>
        <v>#REF!</v>
      </c>
      <c r="V58" s="122" t="str">
        <f t="shared" si="63"/>
        <v>#REF!</v>
      </c>
      <c r="W58" s="122" t="str">
        <f t="shared" si="63"/>
        <v>#REF!</v>
      </c>
      <c r="X58" s="123">
        <v>0.0</v>
      </c>
      <c r="Y58" s="123">
        <v>0.0</v>
      </c>
      <c r="Z58" s="123">
        <v>0.0</v>
      </c>
      <c r="AA58" s="123">
        <v>0.0</v>
      </c>
      <c r="AB58" s="122" t="str">
        <f>CCC!S97</f>
        <v>#REF!</v>
      </c>
      <c r="AC58" s="123">
        <v>0.0</v>
      </c>
      <c r="AD58" s="123">
        <v>0.0</v>
      </c>
      <c r="AE58" s="123">
        <v>0.0</v>
      </c>
      <c r="AH58" s="92" t="s">
        <v>57</v>
      </c>
      <c r="AI58" s="121" t="str">
        <f t="shared" ref="AI58:AN58" si="64">CCC!I98</f>
        <v>#REF!</v>
      </c>
      <c r="AJ58" s="121" t="str">
        <f t="shared" si="64"/>
        <v>#REF!</v>
      </c>
      <c r="AK58" s="121" t="str">
        <f t="shared" si="64"/>
        <v>#REF!</v>
      </c>
      <c r="AL58" s="121" t="str">
        <f t="shared" si="64"/>
        <v>#REF!</v>
      </c>
      <c r="AM58" s="121" t="str">
        <f t="shared" si="64"/>
        <v>#REF!</v>
      </c>
      <c r="AN58" s="121" t="str">
        <f t="shared" si="64"/>
        <v>#REF!</v>
      </c>
      <c r="AO58" s="124">
        <v>0.0</v>
      </c>
      <c r="AP58" s="124">
        <v>0.0</v>
      </c>
      <c r="AQ58" s="124">
        <v>0.0</v>
      </c>
      <c r="AR58" s="124">
        <v>0.0</v>
      </c>
      <c r="AS58" s="121" t="str">
        <f>CCC!S98</f>
        <v>#REF!</v>
      </c>
      <c r="AT58" s="124">
        <v>0.0</v>
      </c>
      <c r="AU58" s="124">
        <v>0.0</v>
      </c>
      <c r="AV58" s="124">
        <v>0.0</v>
      </c>
      <c r="AY58" s="2"/>
    </row>
    <row r="59">
      <c r="B59" s="60" t="s">
        <v>58</v>
      </c>
      <c r="C59" s="125" t="str">
        <f t="shared" ref="C59:G59" si="65">CCC!B133</f>
        <v>#REF!</v>
      </c>
      <c r="D59" s="125" t="str">
        <f t="shared" si="65"/>
        <v>#REF!</v>
      </c>
      <c r="E59" s="125" t="str">
        <f t="shared" si="65"/>
        <v>#REF!</v>
      </c>
      <c r="F59" s="125" t="str">
        <f t="shared" si="65"/>
        <v>#REF!</v>
      </c>
      <c r="G59" s="126" t="str">
        <f t="shared" si="65"/>
        <v>#REF!</v>
      </c>
      <c r="I59" s="60" t="s">
        <v>58</v>
      </c>
      <c r="J59" s="125" t="str">
        <f t="shared" ref="J59:N59" si="66">CCC!B134</f>
        <v>#REF!</v>
      </c>
      <c r="K59" s="125" t="str">
        <f t="shared" si="66"/>
        <v>#REF!</v>
      </c>
      <c r="L59" s="125" t="str">
        <f t="shared" si="66"/>
        <v>#REF!</v>
      </c>
      <c r="M59" s="125" t="str">
        <f t="shared" si="66"/>
        <v>#REF!</v>
      </c>
      <c r="N59" s="126" t="str">
        <f t="shared" si="66"/>
        <v>#REF!</v>
      </c>
      <c r="Q59" s="95" t="s">
        <v>58</v>
      </c>
      <c r="R59" s="127" t="str">
        <f t="shared" ref="R59:AE59" si="67">CCC!I133</f>
        <v>#REF!</v>
      </c>
      <c r="S59" s="127" t="str">
        <f t="shared" si="67"/>
        <v>#REF!</v>
      </c>
      <c r="T59" s="127" t="str">
        <f t="shared" si="67"/>
        <v>#REF!</v>
      </c>
      <c r="U59" s="127" t="str">
        <f t="shared" si="67"/>
        <v>#REF!</v>
      </c>
      <c r="V59" s="127" t="str">
        <f t="shared" si="67"/>
        <v>#REF!</v>
      </c>
      <c r="W59" s="127" t="str">
        <f t="shared" si="67"/>
        <v>#REF!</v>
      </c>
      <c r="X59" s="127" t="str">
        <f t="shared" si="67"/>
        <v>#REF!</v>
      </c>
      <c r="Y59" s="127" t="str">
        <f t="shared" si="67"/>
        <v>#REF!</v>
      </c>
      <c r="Z59" s="127" t="str">
        <f t="shared" si="67"/>
        <v>#REF!</v>
      </c>
      <c r="AA59" s="127" t="str">
        <f t="shared" si="67"/>
        <v>#REF!</v>
      </c>
      <c r="AB59" s="127" t="str">
        <f t="shared" si="67"/>
        <v>#REF!</v>
      </c>
      <c r="AC59" s="127" t="str">
        <f t="shared" si="67"/>
        <v>#REF!</v>
      </c>
      <c r="AD59" s="127" t="str">
        <f t="shared" si="67"/>
        <v>#REF!</v>
      </c>
      <c r="AE59" s="127" t="str">
        <f t="shared" si="67"/>
        <v>#REF!</v>
      </c>
      <c r="AH59" s="95" t="s">
        <v>58</v>
      </c>
      <c r="AI59" s="120" t="str">
        <f t="shared" ref="AI59:AV59" si="68">CCC!I134</f>
        <v>#REF!</v>
      </c>
      <c r="AJ59" s="120" t="str">
        <f t="shared" si="68"/>
        <v>#REF!</v>
      </c>
      <c r="AK59" s="120" t="str">
        <f t="shared" si="68"/>
        <v>#REF!</v>
      </c>
      <c r="AL59" s="120" t="str">
        <f t="shared" si="68"/>
        <v>#REF!</v>
      </c>
      <c r="AM59" s="120" t="str">
        <f t="shared" si="68"/>
        <v>#REF!</v>
      </c>
      <c r="AN59" s="120" t="str">
        <f t="shared" si="68"/>
        <v>#REF!</v>
      </c>
      <c r="AO59" s="120" t="str">
        <f t="shared" si="68"/>
        <v>#REF!</v>
      </c>
      <c r="AP59" s="120" t="str">
        <f t="shared" si="68"/>
        <v>#REF!</v>
      </c>
      <c r="AQ59" s="120" t="str">
        <f t="shared" si="68"/>
        <v>#REF!</v>
      </c>
      <c r="AR59" s="120" t="str">
        <f t="shared" si="68"/>
        <v>#REF!</v>
      </c>
      <c r="AS59" s="120" t="str">
        <f t="shared" si="68"/>
        <v>#REF!</v>
      </c>
      <c r="AT59" s="120" t="str">
        <f t="shared" si="68"/>
        <v>#REF!</v>
      </c>
      <c r="AU59" s="120" t="str">
        <f t="shared" si="68"/>
        <v>#REF!</v>
      </c>
      <c r="AV59" s="120" t="str">
        <f t="shared" si="68"/>
        <v>#REF!</v>
      </c>
      <c r="AY59" s="2"/>
    </row>
    <row r="60"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Y60" s="2"/>
    </row>
    <row r="61">
      <c r="B61" s="114" t="s">
        <v>160</v>
      </c>
      <c r="C61" s="84" t="s">
        <v>137</v>
      </c>
      <c r="I61" s="114" t="s">
        <v>161</v>
      </c>
      <c r="J61" s="84" t="s">
        <v>137</v>
      </c>
      <c r="Q61" s="85" t="s">
        <v>160</v>
      </c>
      <c r="R61" s="86" t="s">
        <v>138</v>
      </c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2"/>
      <c r="AH61" s="85" t="s">
        <v>161</v>
      </c>
      <c r="AI61" s="86" t="s">
        <v>138</v>
      </c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2"/>
      <c r="AY61" s="2"/>
    </row>
    <row r="62">
      <c r="B62" s="114"/>
      <c r="C62" s="115" t="s">
        <v>139</v>
      </c>
      <c r="D62" s="115" t="s">
        <v>140</v>
      </c>
      <c r="E62" s="115" t="s">
        <v>141</v>
      </c>
      <c r="F62" s="115" t="s">
        <v>142</v>
      </c>
      <c r="G62" s="116" t="s">
        <v>143</v>
      </c>
      <c r="I62" s="114"/>
      <c r="J62" s="115" t="s">
        <v>139</v>
      </c>
      <c r="K62" s="115" t="s">
        <v>140</v>
      </c>
      <c r="L62" s="115" t="s">
        <v>141</v>
      </c>
      <c r="M62" s="115" t="s">
        <v>142</v>
      </c>
      <c r="N62" s="116" t="s">
        <v>143</v>
      </c>
      <c r="Q62" s="89"/>
      <c r="R62" s="90" t="s">
        <v>144</v>
      </c>
      <c r="S62" s="90" t="s">
        <v>145</v>
      </c>
      <c r="T62" s="90" t="s">
        <v>146</v>
      </c>
      <c r="U62" s="90" t="s">
        <v>147</v>
      </c>
      <c r="V62" s="90" t="s">
        <v>148</v>
      </c>
      <c r="W62" s="90" t="s">
        <v>149</v>
      </c>
      <c r="X62" s="90" t="s">
        <v>150</v>
      </c>
      <c r="Y62" s="90" t="s">
        <v>151</v>
      </c>
      <c r="Z62" s="90" t="s">
        <v>152</v>
      </c>
      <c r="AA62" s="90" t="s">
        <v>153</v>
      </c>
      <c r="AB62" s="90" t="s">
        <v>154</v>
      </c>
      <c r="AC62" s="90" t="s">
        <v>155</v>
      </c>
      <c r="AD62" s="90" t="s">
        <v>156</v>
      </c>
      <c r="AE62" s="90" t="s">
        <v>157</v>
      </c>
      <c r="AH62" s="89"/>
      <c r="AI62" s="90" t="s">
        <v>144</v>
      </c>
      <c r="AJ62" s="90" t="s">
        <v>145</v>
      </c>
      <c r="AK62" s="90" t="s">
        <v>146</v>
      </c>
      <c r="AL62" s="90" t="s">
        <v>147</v>
      </c>
      <c r="AM62" s="90" t="s">
        <v>148</v>
      </c>
      <c r="AN62" s="90" t="s">
        <v>149</v>
      </c>
      <c r="AO62" s="90" t="s">
        <v>150</v>
      </c>
      <c r="AP62" s="90" t="s">
        <v>151</v>
      </c>
      <c r="AQ62" s="90" t="s">
        <v>152</v>
      </c>
      <c r="AR62" s="90" t="s">
        <v>153</v>
      </c>
      <c r="AS62" s="90" t="s">
        <v>154</v>
      </c>
      <c r="AT62" s="90" t="s">
        <v>155</v>
      </c>
      <c r="AU62" s="90" t="s">
        <v>156</v>
      </c>
      <c r="AV62" s="90" t="s">
        <v>157</v>
      </c>
      <c r="AY62" s="2"/>
    </row>
    <row r="63">
      <c r="B63" s="15" t="s">
        <v>55</v>
      </c>
      <c r="C63" s="91">
        <v>310.0</v>
      </c>
      <c r="D63" s="91">
        <v>302.0</v>
      </c>
      <c r="E63" s="91">
        <v>204.0</v>
      </c>
      <c r="F63" s="91">
        <v>245.0</v>
      </c>
      <c r="G63" s="91">
        <v>163.0</v>
      </c>
      <c r="I63" s="15" t="s">
        <v>55</v>
      </c>
      <c r="J63" s="91">
        <v>310.0</v>
      </c>
      <c r="K63" s="91">
        <v>302.0</v>
      </c>
      <c r="L63" s="91">
        <v>204.0</v>
      </c>
      <c r="M63" s="91">
        <v>245.0</v>
      </c>
      <c r="N63" s="91">
        <v>163.0</v>
      </c>
      <c r="Q63" s="92" t="s">
        <v>55</v>
      </c>
      <c r="R63" s="128" t="str">
        <f t="shared" ref="R63:V63" si="69">CCC!Q117</f>
        <v>#REF!</v>
      </c>
      <c r="S63" s="128" t="str">
        <f t="shared" si="69"/>
        <v>#REF!</v>
      </c>
      <c r="T63" s="128" t="str">
        <f t="shared" si="69"/>
        <v>#REF!</v>
      </c>
      <c r="U63" s="128" t="str">
        <f t="shared" si="69"/>
        <v>#REF!</v>
      </c>
      <c r="V63" s="128" t="str">
        <f t="shared" si="69"/>
        <v>#REF!</v>
      </c>
      <c r="W63" s="95"/>
      <c r="X63" s="95"/>
      <c r="Y63" s="95"/>
      <c r="Z63" s="95"/>
      <c r="AA63" s="95"/>
      <c r="AB63" s="95"/>
      <c r="AC63" s="95"/>
      <c r="AD63" s="95"/>
      <c r="AE63" s="95"/>
      <c r="AH63" s="92" t="s">
        <v>55</v>
      </c>
      <c r="AI63" s="129" t="str">
        <f t="shared" ref="AI63:AM63" si="70">CCC!Q118</f>
        <v>#REF!</v>
      </c>
      <c r="AJ63" s="129" t="str">
        <f t="shared" si="70"/>
        <v>#REF!</v>
      </c>
      <c r="AK63" s="129" t="str">
        <f t="shared" si="70"/>
        <v>#REF!</v>
      </c>
      <c r="AL63" s="129" t="str">
        <f t="shared" si="70"/>
        <v>#REF!</v>
      </c>
      <c r="AM63" s="129" t="str">
        <f t="shared" si="70"/>
        <v>#REF!</v>
      </c>
      <c r="AN63" s="95"/>
      <c r="AO63" s="95"/>
      <c r="AP63" s="95"/>
      <c r="AQ63" s="95"/>
      <c r="AR63" s="95"/>
      <c r="AS63" s="95"/>
      <c r="AT63" s="95"/>
      <c r="AU63" s="95"/>
      <c r="AV63" s="95"/>
      <c r="AY63" s="2"/>
    </row>
    <row r="64">
      <c r="B64" s="15" t="s">
        <v>56</v>
      </c>
      <c r="C64" s="118" t="str">
        <f t="shared" ref="C64:G64" si="71">CCC!B81</f>
        <v>#REF!</v>
      </c>
      <c r="D64" s="118" t="str">
        <f t="shared" si="71"/>
        <v>#REF!</v>
      </c>
      <c r="E64" s="118" t="str">
        <f t="shared" si="71"/>
        <v>#REF!</v>
      </c>
      <c r="F64" s="118" t="str">
        <f t="shared" si="71"/>
        <v>#REF!</v>
      </c>
      <c r="G64" s="119" t="str">
        <f t="shared" si="71"/>
        <v>#REF!</v>
      </c>
      <c r="I64" s="15" t="s">
        <v>56</v>
      </c>
      <c r="J64" s="118" t="str">
        <f t="shared" ref="J64:N64" si="72">CCC!B82</f>
        <v>#REF!</v>
      </c>
      <c r="K64" s="118" t="str">
        <f t="shared" si="72"/>
        <v>#REF!</v>
      </c>
      <c r="L64" s="118" t="str">
        <f t="shared" si="72"/>
        <v>#REF!</v>
      </c>
      <c r="M64" s="118" t="str">
        <f t="shared" si="72"/>
        <v>#REF!</v>
      </c>
      <c r="N64" s="119" t="str">
        <f t="shared" si="72"/>
        <v>#REF!</v>
      </c>
      <c r="Q64" s="92" t="s">
        <v>56</v>
      </c>
      <c r="R64" s="130" t="str">
        <f t="shared" ref="R64:AE64" si="73">CCC!I81</f>
        <v>#REF!</v>
      </c>
      <c r="S64" s="130" t="str">
        <f t="shared" si="73"/>
        <v>#REF!</v>
      </c>
      <c r="T64" s="130" t="str">
        <f t="shared" si="73"/>
        <v>#REF!</v>
      </c>
      <c r="U64" s="130" t="str">
        <f t="shared" si="73"/>
        <v>#REF!</v>
      </c>
      <c r="V64" s="130" t="str">
        <f t="shared" si="73"/>
        <v>#REF!</v>
      </c>
      <c r="W64" s="130" t="str">
        <f t="shared" si="73"/>
        <v>#REF!</v>
      </c>
      <c r="X64" s="130" t="str">
        <f t="shared" si="73"/>
        <v>#REF!</v>
      </c>
      <c r="Y64" s="130" t="str">
        <f t="shared" si="73"/>
        <v>#REF!</v>
      </c>
      <c r="Z64" s="130" t="str">
        <f t="shared" si="73"/>
        <v>#REF!</v>
      </c>
      <c r="AA64" s="130" t="str">
        <f t="shared" si="73"/>
        <v>#REF!</v>
      </c>
      <c r="AB64" s="130" t="str">
        <f t="shared" si="73"/>
        <v>#REF!</v>
      </c>
      <c r="AC64" s="130" t="str">
        <f t="shared" si="73"/>
        <v>#REF!</v>
      </c>
      <c r="AD64" s="130" t="str">
        <f t="shared" si="73"/>
        <v>#REF!</v>
      </c>
      <c r="AE64" s="130" t="str">
        <f t="shared" si="73"/>
        <v>#REF!</v>
      </c>
      <c r="AH64" s="92" t="s">
        <v>56</v>
      </c>
      <c r="AI64" s="121" t="str">
        <f t="shared" ref="AI64:AV64" si="74">CCC!I82</f>
        <v>#REF!</v>
      </c>
      <c r="AJ64" s="121" t="str">
        <f t="shared" si="74"/>
        <v>#REF!</v>
      </c>
      <c r="AK64" s="121" t="str">
        <f t="shared" si="74"/>
        <v>#REF!</v>
      </c>
      <c r="AL64" s="121" t="str">
        <f t="shared" si="74"/>
        <v>#REF!</v>
      </c>
      <c r="AM64" s="121" t="str">
        <f t="shared" si="74"/>
        <v>#REF!</v>
      </c>
      <c r="AN64" s="121" t="str">
        <f t="shared" si="74"/>
        <v>#REF!</v>
      </c>
      <c r="AO64" s="121" t="str">
        <f t="shared" si="74"/>
        <v>#REF!</v>
      </c>
      <c r="AP64" s="121" t="str">
        <f t="shared" si="74"/>
        <v>#REF!</v>
      </c>
      <c r="AQ64" s="121" t="str">
        <f t="shared" si="74"/>
        <v>#REF!</v>
      </c>
      <c r="AR64" s="121" t="str">
        <f t="shared" si="74"/>
        <v>#REF!</v>
      </c>
      <c r="AS64" s="121" t="str">
        <f t="shared" si="74"/>
        <v>#REF!</v>
      </c>
      <c r="AT64" s="121" t="str">
        <f t="shared" si="74"/>
        <v>#REF!</v>
      </c>
      <c r="AU64" s="121" t="str">
        <f t="shared" si="74"/>
        <v>#REF!</v>
      </c>
      <c r="AV64" s="121" t="str">
        <f t="shared" si="74"/>
        <v>#REF!</v>
      </c>
      <c r="AY64" s="2"/>
    </row>
    <row r="65">
      <c r="B65" s="15" t="s">
        <v>57</v>
      </c>
      <c r="C65" s="118" t="str">
        <f t="shared" ref="C65:G65" si="75">CCC!B99</f>
        <v>#REF!</v>
      </c>
      <c r="D65" s="118" t="str">
        <f t="shared" si="75"/>
        <v>#REF!</v>
      </c>
      <c r="E65" s="118" t="str">
        <f t="shared" si="75"/>
        <v>#REF!</v>
      </c>
      <c r="F65" s="118" t="str">
        <f t="shared" si="75"/>
        <v>#REF!</v>
      </c>
      <c r="G65" s="119" t="str">
        <f t="shared" si="75"/>
        <v>#REF!</v>
      </c>
      <c r="I65" s="15" t="s">
        <v>57</v>
      </c>
      <c r="J65" s="118" t="str">
        <f t="shared" ref="J65:N65" si="76">CCC!B100</f>
        <v>#REF!</v>
      </c>
      <c r="K65" s="118" t="str">
        <f t="shared" si="76"/>
        <v>#REF!</v>
      </c>
      <c r="L65" s="118" t="str">
        <f t="shared" si="76"/>
        <v>#REF!</v>
      </c>
      <c r="M65" s="118" t="str">
        <f t="shared" si="76"/>
        <v>#REF!</v>
      </c>
      <c r="N65" s="119" t="str">
        <f t="shared" si="76"/>
        <v>#REF!</v>
      </c>
      <c r="Q65" s="92" t="s">
        <v>57</v>
      </c>
      <c r="R65" s="130" t="str">
        <f t="shared" ref="R65:T65" si="77">CCC!I99</f>
        <v>#REF!</v>
      </c>
      <c r="S65" s="130" t="str">
        <f t="shared" si="77"/>
        <v>#REF!</v>
      </c>
      <c r="T65" s="130" t="str">
        <f t="shared" si="77"/>
        <v>#REF!</v>
      </c>
      <c r="U65" s="131">
        <v>0.0</v>
      </c>
      <c r="V65" s="131">
        <v>0.0</v>
      </c>
      <c r="W65" s="130" t="str">
        <f>CCC!N99</f>
        <v>#REF!</v>
      </c>
      <c r="X65" s="131">
        <v>0.0</v>
      </c>
      <c r="Y65" s="131">
        <v>0.0</v>
      </c>
      <c r="Z65" s="131">
        <v>0.0</v>
      </c>
      <c r="AA65" s="131">
        <v>0.0</v>
      </c>
      <c r="AB65" s="130" t="str">
        <f>CCC!S99</f>
        <v>#REF!</v>
      </c>
      <c r="AC65" s="131">
        <v>0.0</v>
      </c>
      <c r="AD65" s="131">
        <v>0.0</v>
      </c>
      <c r="AE65" s="131">
        <v>0.0</v>
      </c>
      <c r="AH65" s="92" t="s">
        <v>57</v>
      </c>
      <c r="AI65" s="121" t="str">
        <f t="shared" ref="AI65:AK65" si="78">CCC!I100</f>
        <v>#REF!</v>
      </c>
      <c r="AJ65" s="121" t="str">
        <f t="shared" si="78"/>
        <v>#REF!</v>
      </c>
      <c r="AK65" s="121" t="str">
        <f t="shared" si="78"/>
        <v>#REF!</v>
      </c>
      <c r="AL65" s="124">
        <v>0.0</v>
      </c>
      <c r="AM65" s="124">
        <v>0.0</v>
      </c>
      <c r="AN65" s="121" t="str">
        <f>CCC!N100</f>
        <v>#REF!</v>
      </c>
      <c r="AO65" s="124">
        <v>0.0</v>
      </c>
      <c r="AP65" s="124">
        <v>0.0</v>
      </c>
      <c r="AQ65" s="124">
        <v>0.0</v>
      </c>
      <c r="AR65" s="124">
        <v>0.0</v>
      </c>
      <c r="AS65" s="121" t="str">
        <f>CCC!S100</f>
        <v>#REF!</v>
      </c>
      <c r="AT65" s="124">
        <v>0.0</v>
      </c>
      <c r="AU65" s="124">
        <v>0.0</v>
      </c>
      <c r="AV65" s="124">
        <v>0.0</v>
      </c>
      <c r="AY65" s="2"/>
    </row>
    <row r="66">
      <c r="B66" s="60" t="s">
        <v>58</v>
      </c>
      <c r="C66" s="125" t="str">
        <f t="shared" ref="C66:G66" si="79">CCC!B135</f>
        <v>#REF!</v>
      </c>
      <c r="D66" s="125" t="str">
        <f t="shared" si="79"/>
        <v>#REF!</v>
      </c>
      <c r="E66" s="125" t="str">
        <f t="shared" si="79"/>
        <v>#REF!</v>
      </c>
      <c r="F66" s="125" t="str">
        <f t="shared" si="79"/>
        <v>#REF!</v>
      </c>
      <c r="G66" s="126" t="str">
        <f t="shared" si="79"/>
        <v>#REF!</v>
      </c>
      <c r="H66" s="132"/>
      <c r="I66" s="60" t="s">
        <v>58</v>
      </c>
      <c r="J66" s="125" t="str">
        <f t="shared" ref="J66:N66" si="80">CCC!B136</f>
        <v>#REF!</v>
      </c>
      <c r="K66" s="125" t="str">
        <f t="shared" si="80"/>
        <v>#REF!</v>
      </c>
      <c r="L66" s="125" t="str">
        <f t="shared" si="80"/>
        <v>#REF!</v>
      </c>
      <c r="M66" s="125" t="str">
        <f t="shared" si="80"/>
        <v>#REF!</v>
      </c>
      <c r="N66" s="126" t="str">
        <f t="shared" si="80"/>
        <v>#REF!</v>
      </c>
      <c r="Q66" s="95" t="s">
        <v>58</v>
      </c>
      <c r="R66" s="127" t="str">
        <f t="shared" ref="R66:AE66" si="81">CCC!I135</f>
        <v>#REF!</v>
      </c>
      <c r="S66" s="127" t="str">
        <f t="shared" si="81"/>
        <v>#REF!</v>
      </c>
      <c r="T66" s="127" t="str">
        <f t="shared" si="81"/>
        <v>#REF!</v>
      </c>
      <c r="U66" s="127" t="str">
        <f t="shared" si="81"/>
        <v>#REF!</v>
      </c>
      <c r="V66" s="127" t="str">
        <f t="shared" si="81"/>
        <v>#REF!</v>
      </c>
      <c r="W66" s="127" t="str">
        <f t="shared" si="81"/>
        <v>#REF!</v>
      </c>
      <c r="X66" s="127" t="str">
        <f t="shared" si="81"/>
        <v>#REF!</v>
      </c>
      <c r="Y66" s="127" t="str">
        <f t="shared" si="81"/>
        <v>#REF!</v>
      </c>
      <c r="Z66" s="127" t="str">
        <f t="shared" si="81"/>
        <v>#REF!</v>
      </c>
      <c r="AA66" s="127" t="str">
        <f t="shared" si="81"/>
        <v>#REF!</v>
      </c>
      <c r="AB66" s="127" t="str">
        <f t="shared" si="81"/>
        <v>#REF!</v>
      </c>
      <c r="AC66" s="127" t="str">
        <f t="shared" si="81"/>
        <v>#REF!</v>
      </c>
      <c r="AD66" s="127" t="str">
        <f t="shared" si="81"/>
        <v>#REF!</v>
      </c>
      <c r="AE66" s="127" t="str">
        <f t="shared" si="81"/>
        <v>#REF!</v>
      </c>
      <c r="AH66" s="95" t="s">
        <v>58</v>
      </c>
      <c r="AI66" s="120" t="str">
        <f t="shared" ref="AI66:AV66" si="82">CCC!I136</f>
        <v>#REF!</v>
      </c>
      <c r="AJ66" s="120" t="str">
        <f t="shared" si="82"/>
        <v>#REF!</v>
      </c>
      <c r="AK66" s="120" t="str">
        <f t="shared" si="82"/>
        <v>#REF!</v>
      </c>
      <c r="AL66" s="120" t="str">
        <f t="shared" si="82"/>
        <v>#REF!</v>
      </c>
      <c r="AM66" s="120" t="str">
        <f t="shared" si="82"/>
        <v>#REF!</v>
      </c>
      <c r="AN66" s="120" t="str">
        <f t="shared" si="82"/>
        <v>#REF!</v>
      </c>
      <c r="AO66" s="120" t="str">
        <f t="shared" si="82"/>
        <v>#REF!</v>
      </c>
      <c r="AP66" s="120" t="str">
        <f t="shared" si="82"/>
        <v>#REF!</v>
      </c>
      <c r="AQ66" s="120" t="str">
        <f t="shared" si="82"/>
        <v>#REF!</v>
      </c>
      <c r="AR66" s="120" t="str">
        <f t="shared" si="82"/>
        <v>#REF!</v>
      </c>
      <c r="AS66" s="120" t="str">
        <f t="shared" si="82"/>
        <v>#REF!</v>
      </c>
      <c r="AT66" s="120" t="str">
        <f t="shared" si="82"/>
        <v>#REF!</v>
      </c>
      <c r="AU66" s="120" t="str">
        <f t="shared" si="82"/>
        <v>#REF!</v>
      </c>
      <c r="AV66" s="120" t="str">
        <f t="shared" si="82"/>
        <v>#REF!</v>
      </c>
      <c r="AY66" s="2"/>
    </row>
    <row r="67">
      <c r="H67" s="133"/>
      <c r="Q67" s="109"/>
      <c r="R67" s="109"/>
      <c r="S67" s="109"/>
      <c r="T67" s="109"/>
      <c r="U67" s="109"/>
      <c r="V67" s="109"/>
      <c r="W67" s="133"/>
      <c r="X67" s="109"/>
      <c r="Y67" s="109"/>
      <c r="Z67" s="109"/>
      <c r="AA67" s="109"/>
      <c r="AB67" s="109"/>
      <c r="AC67" s="109"/>
      <c r="AD67" s="109"/>
      <c r="AE67" s="109"/>
      <c r="AY67" s="2"/>
    </row>
    <row r="68">
      <c r="B68" s="114" t="s">
        <v>162</v>
      </c>
      <c r="C68" s="84" t="s">
        <v>137</v>
      </c>
      <c r="Q68" s="85" t="s">
        <v>162</v>
      </c>
      <c r="R68" s="86" t="s">
        <v>138</v>
      </c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2"/>
      <c r="AY68" s="2"/>
    </row>
    <row r="69">
      <c r="B69" s="114"/>
      <c r="C69" s="115" t="s">
        <v>139</v>
      </c>
      <c r="D69" s="115" t="s">
        <v>140</v>
      </c>
      <c r="E69" s="115" t="s">
        <v>141</v>
      </c>
      <c r="F69" s="115" t="s">
        <v>142</v>
      </c>
      <c r="G69" s="116" t="s">
        <v>143</v>
      </c>
      <c r="I69" s="134"/>
      <c r="Q69" s="89"/>
      <c r="R69" s="90" t="s">
        <v>144</v>
      </c>
      <c r="S69" s="90" t="s">
        <v>145</v>
      </c>
      <c r="T69" s="90" t="s">
        <v>146</v>
      </c>
      <c r="U69" s="90" t="s">
        <v>147</v>
      </c>
      <c r="V69" s="90" t="s">
        <v>148</v>
      </c>
      <c r="W69" s="90" t="s">
        <v>149</v>
      </c>
      <c r="X69" s="90" t="s">
        <v>150</v>
      </c>
      <c r="Y69" s="90" t="s">
        <v>151</v>
      </c>
      <c r="Z69" s="90" t="s">
        <v>152</v>
      </c>
      <c r="AA69" s="90" t="s">
        <v>153</v>
      </c>
      <c r="AB69" s="90" t="s">
        <v>154</v>
      </c>
      <c r="AC69" s="90" t="s">
        <v>155</v>
      </c>
      <c r="AD69" s="90" t="s">
        <v>156</v>
      </c>
      <c r="AE69" s="90" t="s">
        <v>157</v>
      </c>
      <c r="AY69" s="2"/>
    </row>
    <row r="70">
      <c r="B70" s="15" t="s">
        <v>55</v>
      </c>
      <c r="C70" s="135" t="str">
        <f t="shared" ref="C70:G70" si="83">CCC!B119</f>
        <v>#REF!</v>
      </c>
      <c r="D70" s="135" t="str">
        <f t="shared" si="83"/>
        <v>#REF!</v>
      </c>
      <c r="E70" s="135" t="str">
        <f t="shared" si="83"/>
        <v>#REF!</v>
      </c>
      <c r="F70" s="135" t="str">
        <f t="shared" si="83"/>
        <v>#REF!</v>
      </c>
      <c r="G70" s="136" t="str">
        <f t="shared" si="83"/>
        <v>#REF!</v>
      </c>
      <c r="Q70" s="92" t="s">
        <v>55</v>
      </c>
      <c r="R70" s="137" t="str">
        <f t="shared" ref="R70:V70" si="84">CCC!Q119</f>
        <v>#REF!</v>
      </c>
      <c r="S70" s="137" t="str">
        <f t="shared" si="84"/>
        <v>#REF!</v>
      </c>
      <c r="T70" s="137" t="str">
        <f t="shared" si="84"/>
        <v>#REF!</v>
      </c>
      <c r="U70" s="137" t="str">
        <f t="shared" si="84"/>
        <v>#REF!</v>
      </c>
      <c r="V70" s="137" t="str">
        <f t="shared" si="84"/>
        <v>#REF!</v>
      </c>
      <c r="W70" s="95"/>
      <c r="X70" s="95"/>
      <c r="Y70" s="95"/>
      <c r="Z70" s="95"/>
      <c r="AA70" s="95"/>
      <c r="AB70" s="95"/>
      <c r="AC70" s="95"/>
      <c r="AD70" s="95"/>
      <c r="AE70" s="95"/>
      <c r="AY70" s="2"/>
    </row>
    <row r="71">
      <c r="B71" s="15" t="s">
        <v>56</v>
      </c>
      <c r="C71" s="118" t="str">
        <f t="shared" ref="C71:G71" si="85">CCC!B83</f>
        <v>#REF!</v>
      </c>
      <c r="D71" s="118" t="str">
        <f t="shared" si="85"/>
        <v>#REF!</v>
      </c>
      <c r="E71" s="118" t="str">
        <f t="shared" si="85"/>
        <v>#REF!</v>
      </c>
      <c r="F71" s="118" t="str">
        <f t="shared" si="85"/>
        <v>#REF!</v>
      </c>
      <c r="G71" s="119" t="str">
        <f t="shared" si="85"/>
        <v>#REF!</v>
      </c>
      <c r="Q71" s="92" t="s">
        <v>56</v>
      </c>
      <c r="R71" s="130" t="str">
        <f t="shared" ref="R71:AE71" si="86">CCC!I83</f>
        <v>#REF!</v>
      </c>
      <c r="S71" s="130" t="str">
        <f t="shared" si="86"/>
        <v>#REF!</v>
      </c>
      <c r="T71" s="130" t="str">
        <f t="shared" si="86"/>
        <v>#REF!</v>
      </c>
      <c r="U71" s="130" t="str">
        <f t="shared" si="86"/>
        <v>#REF!</v>
      </c>
      <c r="V71" s="130" t="str">
        <f t="shared" si="86"/>
        <v>#REF!</v>
      </c>
      <c r="W71" s="130" t="str">
        <f t="shared" si="86"/>
        <v>#REF!</v>
      </c>
      <c r="X71" s="130" t="str">
        <f t="shared" si="86"/>
        <v>#REF!</v>
      </c>
      <c r="Y71" s="130" t="str">
        <f t="shared" si="86"/>
        <v>#REF!</v>
      </c>
      <c r="Z71" s="130" t="str">
        <f t="shared" si="86"/>
        <v>#REF!</v>
      </c>
      <c r="AA71" s="130" t="str">
        <f t="shared" si="86"/>
        <v>#REF!</v>
      </c>
      <c r="AB71" s="130" t="str">
        <f t="shared" si="86"/>
        <v>#REF!</v>
      </c>
      <c r="AC71" s="130" t="str">
        <f t="shared" si="86"/>
        <v>#REF!</v>
      </c>
      <c r="AD71" s="130" t="str">
        <f t="shared" si="86"/>
        <v>#REF!</v>
      </c>
      <c r="AE71" s="130" t="str">
        <f t="shared" si="86"/>
        <v>#REF!</v>
      </c>
      <c r="AY71" s="2"/>
    </row>
    <row r="72">
      <c r="B72" s="15" t="s">
        <v>57</v>
      </c>
      <c r="C72" s="118" t="str">
        <f t="shared" ref="C72:G72" si="87">CCC!B101</f>
        <v>#REF!</v>
      </c>
      <c r="D72" s="118" t="str">
        <f t="shared" si="87"/>
        <v>#REF!</v>
      </c>
      <c r="E72" s="118" t="str">
        <f t="shared" si="87"/>
        <v>#REF!</v>
      </c>
      <c r="F72" s="118" t="str">
        <f t="shared" si="87"/>
        <v>#REF!</v>
      </c>
      <c r="G72" s="119" t="str">
        <f t="shared" si="87"/>
        <v>#REF!</v>
      </c>
      <c r="Q72" s="92" t="s">
        <v>57</v>
      </c>
      <c r="R72" s="130" t="str">
        <f t="shared" ref="R72:U72" si="88">CCC!I101</f>
        <v>#REF!</v>
      </c>
      <c r="S72" s="130" t="str">
        <f t="shared" si="88"/>
        <v>#REF!</v>
      </c>
      <c r="T72" s="130" t="str">
        <f t="shared" si="88"/>
        <v>#REF!</v>
      </c>
      <c r="U72" s="130" t="str">
        <f t="shared" si="88"/>
        <v>#REF!</v>
      </c>
      <c r="V72" s="131">
        <v>0.0</v>
      </c>
      <c r="W72" s="130" t="str">
        <f t="shared" ref="W72:X72" si="89">CCC!N101</f>
        <v>#REF!</v>
      </c>
      <c r="X72" s="130" t="str">
        <f t="shared" si="89"/>
        <v>#REF!</v>
      </c>
      <c r="Y72" s="131">
        <v>0.0</v>
      </c>
      <c r="Z72" s="130" t="str">
        <f>CCC!Q101</f>
        <v>#REF!</v>
      </c>
      <c r="AA72" s="131">
        <v>0.0</v>
      </c>
      <c r="AB72" s="130" t="str">
        <f t="shared" ref="AB72:AC72" si="90">CCC!S101</f>
        <v>#REF!</v>
      </c>
      <c r="AC72" s="130" t="str">
        <f t="shared" si="90"/>
        <v>#REF!</v>
      </c>
      <c r="AD72" s="131">
        <v>0.0</v>
      </c>
      <c r="AE72" s="131">
        <v>0.0</v>
      </c>
      <c r="AY72" s="2"/>
    </row>
    <row r="73">
      <c r="B73" s="60" t="s">
        <v>58</v>
      </c>
      <c r="C73" s="125" t="str">
        <f t="shared" ref="C73:G73" si="91">CCC!B137</f>
        <v>#REF!</v>
      </c>
      <c r="D73" s="125" t="str">
        <f t="shared" si="91"/>
        <v>#REF!</v>
      </c>
      <c r="E73" s="125" t="str">
        <f t="shared" si="91"/>
        <v>#REF!</v>
      </c>
      <c r="F73" s="125" t="str">
        <f t="shared" si="91"/>
        <v>#REF!</v>
      </c>
      <c r="G73" s="126" t="str">
        <f t="shared" si="91"/>
        <v>#REF!</v>
      </c>
      <c r="Q73" s="95" t="s">
        <v>58</v>
      </c>
      <c r="R73" s="127" t="str">
        <f t="shared" ref="R73:AE73" si="92">CCC!I137</f>
        <v>#REF!</v>
      </c>
      <c r="S73" s="127" t="str">
        <f t="shared" si="92"/>
        <v>#REF!</v>
      </c>
      <c r="T73" s="127" t="str">
        <f t="shared" si="92"/>
        <v>#REF!</v>
      </c>
      <c r="U73" s="127" t="str">
        <f t="shared" si="92"/>
        <v>#REF!</v>
      </c>
      <c r="V73" s="127" t="str">
        <f t="shared" si="92"/>
        <v>#REF!</v>
      </c>
      <c r="W73" s="127" t="str">
        <f t="shared" si="92"/>
        <v>#REF!</v>
      </c>
      <c r="X73" s="127" t="str">
        <f t="shared" si="92"/>
        <v>#REF!</v>
      </c>
      <c r="Y73" s="127" t="str">
        <f t="shared" si="92"/>
        <v>#REF!</v>
      </c>
      <c r="Z73" s="127" t="str">
        <f t="shared" si="92"/>
        <v>#REF!</v>
      </c>
      <c r="AA73" s="127" t="str">
        <f t="shared" si="92"/>
        <v>#REF!</v>
      </c>
      <c r="AB73" s="127" t="str">
        <f t="shared" si="92"/>
        <v>#REF!</v>
      </c>
      <c r="AC73" s="127" t="str">
        <f t="shared" si="92"/>
        <v>#REF!</v>
      </c>
      <c r="AD73" s="127" t="str">
        <f t="shared" si="92"/>
        <v>#REF!</v>
      </c>
      <c r="AE73" s="127" t="str">
        <f t="shared" si="92"/>
        <v>#REF!</v>
      </c>
      <c r="AY73" s="2"/>
    </row>
    <row r="74">
      <c r="B74" s="138"/>
      <c r="Q74" s="13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Y74" s="2"/>
    </row>
    <row r="75">
      <c r="B75" s="140"/>
      <c r="C75" s="84" t="s">
        <v>137</v>
      </c>
      <c r="Q75" s="141" t="s">
        <v>163</v>
      </c>
      <c r="R75" s="86" t="s">
        <v>138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2"/>
      <c r="AY75" s="2"/>
    </row>
    <row r="76">
      <c r="B76" s="140" t="s">
        <v>163</v>
      </c>
      <c r="C76" s="115" t="s">
        <v>139</v>
      </c>
      <c r="D76" s="115" t="s">
        <v>140</v>
      </c>
      <c r="E76" s="115" t="s">
        <v>141</v>
      </c>
      <c r="F76" s="115" t="s">
        <v>142</v>
      </c>
      <c r="G76" s="116" t="s">
        <v>143</v>
      </c>
      <c r="Q76" s="89"/>
      <c r="R76" s="90" t="s">
        <v>144</v>
      </c>
      <c r="S76" s="90" t="s">
        <v>145</v>
      </c>
      <c r="T76" s="90" t="s">
        <v>146</v>
      </c>
      <c r="U76" s="90" t="s">
        <v>147</v>
      </c>
      <c r="V76" s="90" t="s">
        <v>148</v>
      </c>
      <c r="W76" s="90" t="s">
        <v>149</v>
      </c>
      <c r="X76" s="90" t="s">
        <v>150</v>
      </c>
      <c r="Y76" s="90" t="s">
        <v>151</v>
      </c>
      <c r="Z76" s="90" t="s">
        <v>152</v>
      </c>
      <c r="AA76" s="90" t="s">
        <v>153</v>
      </c>
      <c r="AB76" s="90" t="s">
        <v>154</v>
      </c>
      <c r="AC76" s="90" t="s">
        <v>155</v>
      </c>
      <c r="AD76" s="90" t="s">
        <v>156</v>
      </c>
      <c r="AE76" s="90" t="s">
        <v>157</v>
      </c>
      <c r="AY76" s="2"/>
    </row>
    <row r="77">
      <c r="B77" s="15" t="s">
        <v>55</v>
      </c>
      <c r="C77" s="142">
        <v>24.45</v>
      </c>
      <c r="D77" s="142">
        <v>28.0</v>
      </c>
      <c r="E77" s="142">
        <v>32.02</v>
      </c>
      <c r="F77" s="142">
        <v>55.01</v>
      </c>
      <c r="G77" s="142">
        <v>38.21</v>
      </c>
      <c r="Q77" s="92" t="s">
        <v>55</v>
      </c>
      <c r="R77" s="143"/>
      <c r="S77" s="143"/>
      <c r="T77" s="143"/>
      <c r="U77" s="143"/>
      <c r="V77" s="143"/>
      <c r="W77" s="95"/>
      <c r="X77" s="95"/>
      <c r="Y77" s="95"/>
      <c r="Z77" s="95"/>
      <c r="AA77" s="95"/>
      <c r="AB77" s="95"/>
      <c r="AC77" s="95"/>
      <c r="AD77" s="95"/>
      <c r="AE77" s="95"/>
      <c r="AY77" s="2"/>
    </row>
    <row r="78">
      <c r="B78" s="15" t="s">
        <v>56</v>
      </c>
      <c r="C78" s="144">
        <f t="shared" ref="C78:G78" si="93">D123</f>
        <v>0.1103</v>
      </c>
      <c r="D78" s="144">
        <f t="shared" si="93"/>
        <v>0.1316</v>
      </c>
      <c r="E78" s="144">
        <f t="shared" si="93"/>
        <v>0.1417</v>
      </c>
      <c r="F78" s="144">
        <f t="shared" si="93"/>
        <v>0.146</v>
      </c>
      <c r="G78" s="144">
        <f t="shared" si="93"/>
        <v>0.1426</v>
      </c>
      <c r="Q78" s="92" t="s">
        <v>56</v>
      </c>
      <c r="R78" s="76">
        <f t="shared" ref="R78:AE78" si="94">C177</f>
        <v>0.1052</v>
      </c>
      <c r="S78" s="76">
        <f t="shared" si="94"/>
        <v>0.1211</v>
      </c>
      <c r="T78" s="76">
        <f t="shared" si="94"/>
        <v>0.1082</v>
      </c>
      <c r="U78" s="76">
        <f t="shared" si="94"/>
        <v>0.1212</v>
      </c>
      <c r="V78" s="76">
        <f t="shared" si="94"/>
        <v>0.1045</v>
      </c>
      <c r="W78" s="76">
        <f t="shared" si="94"/>
        <v>0.103</v>
      </c>
      <c r="X78" s="76">
        <f t="shared" si="94"/>
        <v>0.1198</v>
      </c>
      <c r="Y78" s="76">
        <f t="shared" si="94"/>
        <v>0.1281</v>
      </c>
      <c r="Z78" s="76">
        <f t="shared" si="94"/>
        <v>0.1352</v>
      </c>
      <c r="AA78" s="76">
        <f t="shared" si="94"/>
        <v>0.142</v>
      </c>
      <c r="AB78" s="76">
        <f t="shared" si="94"/>
        <v>0.1616</v>
      </c>
      <c r="AC78" s="76">
        <f t="shared" si="94"/>
        <v>0.1561</v>
      </c>
      <c r="AD78" s="76">
        <f t="shared" si="94"/>
        <v>0.1214</v>
      </c>
      <c r="AE78" s="76">
        <f t="shared" si="94"/>
        <v>0.1399</v>
      </c>
      <c r="AF78" s="145"/>
      <c r="AY78" s="2"/>
    </row>
    <row r="79">
      <c r="B79" s="15" t="s">
        <v>57</v>
      </c>
      <c r="C79" s="144">
        <f t="shared" ref="C79:G79" si="95">D261</f>
        <v>0.1043</v>
      </c>
      <c r="D79" s="144">
        <f t="shared" si="95"/>
        <v>0.0896</v>
      </c>
      <c r="E79" s="144">
        <f t="shared" si="95"/>
        <v>0.0404</v>
      </c>
      <c r="F79" s="144">
        <f t="shared" si="95"/>
        <v>0.0783</v>
      </c>
      <c r="G79" s="144">
        <f t="shared" si="95"/>
        <v>0.0893</v>
      </c>
      <c r="Q79" s="92" t="s">
        <v>57</v>
      </c>
      <c r="R79" s="143">
        <f t="shared" ref="R79:AE79" si="96">C324</f>
        <v>0.099</v>
      </c>
      <c r="S79" s="143">
        <f t="shared" si="96"/>
        <v>0.0965</v>
      </c>
      <c r="T79" s="143">
        <f t="shared" si="96"/>
        <v>0.1332</v>
      </c>
      <c r="U79" s="143">
        <f t="shared" si="96"/>
        <v>0.1137</v>
      </c>
      <c r="V79" s="143">
        <f t="shared" si="96"/>
        <v>0.0725</v>
      </c>
      <c r="W79" s="143">
        <f t="shared" si="96"/>
        <v>0.0856</v>
      </c>
      <c r="X79" s="143">
        <f t="shared" si="96"/>
        <v>0.1379</v>
      </c>
      <c r="Y79" s="143">
        <f t="shared" si="96"/>
        <v>0.0844</v>
      </c>
      <c r="Z79" s="143">
        <f t="shared" si="96"/>
        <v>0.0715</v>
      </c>
      <c r="AA79" s="143">
        <f t="shared" si="96"/>
        <v>0.0784</v>
      </c>
      <c r="AB79" s="143">
        <f t="shared" si="96"/>
        <v>0.0965</v>
      </c>
      <c r="AC79" s="143">
        <f t="shared" si="96"/>
        <v>0.1021</v>
      </c>
      <c r="AD79" s="143">
        <f t="shared" si="96"/>
        <v>0.0044</v>
      </c>
      <c r="AE79" s="143">
        <f t="shared" si="96"/>
        <v>0.0044</v>
      </c>
      <c r="AY79" s="2"/>
    </row>
    <row r="80">
      <c r="B80" s="146" t="s">
        <v>58</v>
      </c>
      <c r="C80" s="147">
        <f t="shared" ref="C80:G80" si="97">D436</f>
        <v>0.0678</v>
      </c>
      <c r="D80" s="147">
        <f t="shared" si="97"/>
        <v>0.0944</v>
      </c>
      <c r="E80" s="147">
        <f t="shared" si="97"/>
        <v>-0.5108</v>
      </c>
      <c r="F80" s="147">
        <f t="shared" si="97"/>
        <v>-0.1457</v>
      </c>
      <c r="G80" s="147">
        <f t="shared" si="97"/>
        <v>0.0845</v>
      </c>
      <c r="Q80" s="148" t="s">
        <v>58</v>
      </c>
      <c r="R80" s="149">
        <f t="shared" ref="R80:AE80" si="98">C487</f>
        <v>0.0703</v>
      </c>
      <c r="S80" s="149">
        <f t="shared" si="98"/>
        <v>0.1133</v>
      </c>
      <c r="T80" s="149">
        <f t="shared" si="98"/>
        <v>0.014</v>
      </c>
      <c r="U80" s="149">
        <f t="shared" si="98"/>
        <v>0.0935</v>
      </c>
      <c r="V80" s="149">
        <f t="shared" si="98"/>
        <v>0.125</v>
      </c>
      <c r="W80" s="149">
        <f t="shared" si="98"/>
        <v>0.1112</v>
      </c>
      <c r="X80" s="149">
        <f t="shared" si="98"/>
        <v>0.0573</v>
      </c>
      <c r="Y80" s="149">
        <f t="shared" si="98"/>
        <v>0.1044</v>
      </c>
      <c r="Z80" s="149">
        <f t="shared" si="98"/>
        <v>0.1958</v>
      </c>
      <c r="AA80" s="149">
        <f t="shared" si="98"/>
        <v>0.0506</v>
      </c>
      <c r="AB80" s="149">
        <f t="shared" si="98"/>
        <v>-0.3214</v>
      </c>
      <c r="AC80" s="149">
        <f t="shared" si="98"/>
        <v>2.6303</v>
      </c>
      <c r="AD80" s="149">
        <f t="shared" si="98"/>
        <v>0.6952</v>
      </c>
      <c r="AE80" s="149" t="str">
        <f t="shared" si="98"/>
        <v>-</v>
      </c>
      <c r="AY80" s="2"/>
    </row>
    <row r="81">
      <c r="B81" s="138"/>
      <c r="AY81" s="2"/>
    </row>
    <row r="82">
      <c r="B82" s="138"/>
      <c r="AY82" s="2"/>
    </row>
    <row r="83">
      <c r="A83" s="150"/>
      <c r="B83" s="151" t="s">
        <v>56</v>
      </c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  <c r="AC83" s="150"/>
      <c r="AD83" s="150"/>
      <c r="AE83" s="150"/>
      <c r="AF83" s="150"/>
      <c r="AG83" s="150"/>
      <c r="AH83" s="150"/>
      <c r="AI83" s="150"/>
      <c r="AJ83" s="150"/>
      <c r="AK83" s="150"/>
      <c r="AL83" s="150"/>
      <c r="AM83" s="150"/>
      <c r="AN83" s="150"/>
      <c r="AO83" s="150"/>
      <c r="AP83" s="150"/>
      <c r="AQ83" s="150"/>
      <c r="AR83" s="150"/>
      <c r="AS83" s="150"/>
      <c r="AT83" s="150"/>
      <c r="AU83" s="150"/>
      <c r="AV83" s="152"/>
      <c r="AW83" s="150"/>
      <c r="AX83" s="150"/>
      <c r="AY83" s="153"/>
      <c r="AZ83" s="150"/>
      <c r="BA83" s="150"/>
      <c r="BB83" s="150"/>
      <c r="BC83" s="150"/>
      <c r="BD83" s="150"/>
      <c r="BE83" s="150"/>
      <c r="BF83" s="150"/>
      <c r="BG83" s="150"/>
      <c r="BH83" s="150"/>
      <c r="BI83" s="150"/>
      <c r="BJ83" s="150"/>
      <c r="BK83" s="150"/>
      <c r="BL83" s="150"/>
      <c r="BM83" s="150"/>
      <c r="BN83" s="150"/>
      <c r="BO83" s="150"/>
      <c r="BP83" s="150"/>
      <c r="BQ83" s="150"/>
      <c r="BR83" s="150"/>
      <c r="BS83" s="150"/>
      <c r="BT83" s="150"/>
      <c r="BU83" s="150"/>
      <c r="BV83" s="150"/>
      <c r="BW83" s="150"/>
      <c r="BX83" s="150"/>
      <c r="BY83" s="150"/>
      <c r="BZ83" s="150"/>
      <c r="CA83" s="150"/>
      <c r="CB83" s="150"/>
      <c r="CC83" s="150"/>
      <c r="CD83" s="150"/>
      <c r="CE83" s="150"/>
      <c r="CF83" s="150"/>
      <c r="CG83" s="150"/>
      <c r="CH83" s="150"/>
      <c r="CI83" s="150"/>
      <c r="CJ83" s="150"/>
      <c r="CK83" s="150"/>
      <c r="CL83" s="150"/>
      <c r="CM83" s="150"/>
      <c r="CN83" s="150"/>
      <c r="CO83" s="150"/>
      <c r="CP83" s="150"/>
      <c r="CQ83" s="150"/>
      <c r="CR83" s="150"/>
      <c r="CS83" s="150"/>
      <c r="CT83" s="150"/>
      <c r="CU83" s="150"/>
      <c r="CV83" s="150"/>
      <c r="CW83" s="150"/>
      <c r="CX83" s="150"/>
      <c r="CY83" s="150"/>
      <c r="CZ83" s="150"/>
      <c r="DA83" s="150"/>
      <c r="DB83" s="150"/>
      <c r="DC83" s="150"/>
      <c r="DD83" s="150"/>
    </row>
    <row r="84" outlineLevel="1">
      <c r="A84" s="15"/>
      <c r="B84" s="15" t="s">
        <v>164</v>
      </c>
      <c r="C84" s="15"/>
      <c r="D84" s="15"/>
      <c r="E84" s="15"/>
      <c r="F84" s="15"/>
      <c r="G84" s="15"/>
      <c r="H84" s="15"/>
      <c r="I84" s="15"/>
      <c r="J84" s="138" t="s">
        <v>165</v>
      </c>
      <c r="K84" s="15"/>
      <c r="L84" s="15"/>
      <c r="M84" s="15"/>
      <c r="N84" s="15"/>
      <c r="O84" s="15"/>
      <c r="P84" s="15"/>
      <c r="Q84" s="15"/>
      <c r="R84" s="138" t="s">
        <v>166</v>
      </c>
      <c r="S84" s="15"/>
      <c r="T84" s="15"/>
      <c r="U84" s="15"/>
      <c r="V84" s="15"/>
      <c r="W84" s="15"/>
      <c r="X84" s="15"/>
      <c r="Y84" s="15"/>
      <c r="Z84" s="138" t="s">
        <v>167</v>
      </c>
      <c r="AA84" s="15"/>
      <c r="AB84" s="15"/>
      <c r="AC84" s="15"/>
      <c r="AD84" s="15"/>
      <c r="AE84" s="15"/>
      <c r="AF84" s="15"/>
      <c r="AG84" s="15"/>
      <c r="AH84" s="138" t="s">
        <v>168</v>
      </c>
      <c r="AI84" s="15"/>
      <c r="AJ84" s="15"/>
      <c r="AK84" s="15"/>
      <c r="AL84" s="15"/>
      <c r="AM84" s="15"/>
      <c r="AN84" s="15"/>
      <c r="AO84" s="15"/>
      <c r="AP84" s="15"/>
      <c r="AQ84" s="154" t="s">
        <v>169</v>
      </c>
      <c r="AR84" s="155">
        <v>2026.0</v>
      </c>
      <c r="AS84" s="155">
        <v>2025.0</v>
      </c>
      <c r="AT84" s="156">
        <v>2024.0</v>
      </c>
      <c r="AU84" s="156">
        <v>2023.0</v>
      </c>
      <c r="AV84" s="156">
        <v>2022.0</v>
      </c>
      <c r="AW84" s="156">
        <v>2021.0</v>
      </c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</row>
    <row r="85" outlineLevel="1">
      <c r="A85" s="15"/>
      <c r="B85" s="157" t="s">
        <v>170</v>
      </c>
      <c r="C85" s="158" t="s">
        <v>171</v>
      </c>
      <c r="D85" s="158" t="s">
        <v>139</v>
      </c>
      <c r="E85" s="158" t="s">
        <v>140</v>
      </c>
      <c r="F85" s="158" t="s">
        <v>141</v>
      </c>
      <c r="G85" s="158" t="s">
        <v>142</v>
      </c>
      <c r="H85" s="159" t="s">
        <v>143</v>
      </c>
      <c r="I85" s="15"/>
      <c r="J85" s="157" t="s">
        <v>170</v>
      </c>
      <c r="K85" s="158" t="s">
        <v>171</v>
      </c>
      <c r="L85" s="158" t="s">
        <v>139</v>
      </c>
      <c r="M85" s="158" t="s">
        <v>140</v>
      </c>
      <c r="N85" s="158" t="s">
        <v>141</v>
      </c>
      <c r="O85" s="158" t="s">
        <v>142</v>
      </c>
      <c r="P85" s="159" t="s">
        <v>143</v>
      </c>
      <c r="Q85" s="15"/>
      <c r="R85" s="157" t="s">
        <v>170</v>
      </c>
      <c r="S85" s="158" t="s">
        <v>171</v>
      </c>
      <c r="T85" s="158" t="s">
        <v>139</v>
      </c>
      <c r="U85" s="158" t="s">
        <v>140</v>
      </c>
      <c r="V85" s="158" t="s">
        <v>141</v>
      </c>
      <c r="W85" s="158" t="s">
        <v>142</v>
      </c>
      <c r="X85" s="159" t="s">
        <v>143</v>
      </c>
      <c r="Y85" s="15"/>
      <c r="Z85" s="157" t="s">
        <v>170</v>
      </c>
      <c r="AA85" s="158" t="s">
        <v>172</v>
      </c>
      <c r="AB85" s="158" t="s">
        <v>139</v>
      </c>
      <c r="AC85" s="158" t="s">
        <v>140</v>
      </c>
      <c r="AD85" s="158" t="s">
        <v>141</v>
      </c>
      <c r="AE85" s="158" t="s">
        <v>142</v>
      </c>
      <c r="AF85" s="159" t="s">
        <v>143</v>
      </c>
      <c r="AG85" s="160"/>
      <c r="AH85" s="161" t="s">
        <v>173</v>
      </c>
      <c r="AI85" s="162" t="s">
        <v>174</v>
      </c>
      <c r="AJ85" s="162" t="s">
        <v>175</v>
      </c>
      <c r="AK85" s="162" t="s">
        <v>176</v>
      </c>
      <c r="AL85" s="162" t="s">
        <v>177</v>
      </c>
      <c r="AM85" s="15"/>
      <c r="AN85" s="151" t="s">
        <v>178</v>
      </c>
      <c r="AO85" s="15"/>
      <c r="AP85" s="15"/>
      <c r="AQ85" s="33" t="s">
        <v>179</v>
      </c>
      <c r="AR85" s="163">
        <v>4.24055399013E11</v>
      </c>
      <c r="AS85" s="163">
        <v>4.09659037329E11</v>
      </c>
      <c r="AT85" s="156">
        <v>3.6655313725E11</v>
      </c>
      <c r="AU85" s="156">
        <v>8.20046808911E11</v>
      </c>
      <c r="AV85" s="156">
        <v>2.84510340637E11</v>
      </c>
      <c r="AW85" s="156">
        <v>9.5744376662E10</v>
      </c>
      <c r="AX85" s="15"/>
      <c r="AY85" s="15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  <c r="BJ85" s="164"/>
      <c r="BK85" s="15"/>
      <c r="BL85" s="165"/>
      <c r="BM85" s="165"/>
      <c r="BN85" s="165"/>
      <c r="BO85" s="165"/>
      <c r="BP85" s="165"/>
      <c r="BQ85" s="165"/>
      <c r="BR85" s="165"/>
      <c r="BS85" s="165"/>
      <c r="BT85" s="165"/>
      <c r="BU85" s="15"/>
      <c r="BV85" s="15"/>
      <c r="BW85" s="166">
        <v>2.894312399E10</v>
      </c>
      <c r="BX85" s="166">
        <v>6.960129613E9</v>
      </c>
      <c r="BY85" s="155">
        <v>4.23229285E9</v>
      </c>
      <c r="BZ85" s="156">
        <v>2.862205525E9</v>
      </c>
      <c r="CA85" s="156">
        <v>2.247025099E9</v>
      </c>
      <c r="CB85" s="156">
        <v>2.114880447E9</v>
      </c>
      <c r="CC85" s="156">
        <v>2.42576716E8</v>
      </c>
      <c r="CD85" s="156">
        <v>1.90946431E8</v>
      </c>
      <c r="CE85" s="15"/>
      <c r="CF85" s="156">
        <v>2.17974631E8</v>
      </c>
      <c r="CG85" s="156">
        <v>-4.2763491429E10</v>
      </c>
      <c r="CH85" s="156">
        <v>-4.2763491429E10</v>
      </c>
      <c r="CI85" s="156">
        <v>0.0</v>
      </c>
      <c r="CJ85" s="156">
        <v>1.2E8</v>
      </c>
      <c r="CK85" s="156">
        <v>0.0</v>
      </c>
      <c r="CL85" s="156">
        <v>1.924170512E9</v>
      </c>
      <c r="CM85" s="156">
        <v>5.85030752E9</v>
      </c>
      <c r="CN85" s="156">
        <v>0.0</v>
      </c>
      <c r="CO85" s="155">
        <v>-1.2697783981E10</v>
      </c>
      <c r="CP85" s="15"/>
      <c r="CQ85" s="155">
        <v>-1903101.0</v>
      </c>
      <c r="CR85" s="160"/>
      <c r="CS85" s="160"/>
      <c r="CT85" s="160"/>
      <c r="CU85" s="160"/>
      <c r="CV85" s="160"/>
      <c r="CW85" s="160"/>
      <c r="CX85" s="160"/>
      <c r="CY85" s="160"/>
      <c r="CZ85" s="160"/>
      <c r="DA85" s="160"/>
      <c r="DB85" s="15"/>
      <c r="DC85" s="15"/>
      <c r="DD85" s="15"/>
    </row>
    <row r="86" outlineLevel="1">
      <c r="A86" s="15"/>
      <c r="B86" s="157" t="s">
        <v>180</v>
      </c>
      <c r="C86" s="167">
        <v>46112.0</v>
      </c>
      <c r="D86" s="167">
        <v>46022.0</v>
      </c>
      <c r="E86" s="167">
        <v>45657.0</v>
      </c>
      <c r="F86" s="167">
        <v>45291.0</v>
      </c>
      <c r="G86" s="167">
        <v>44926.0</v>
      </c>
      <c r="H86" s="167">
        <v>44561.0</v>
      </c>
      <c r="I86" s="15"/>
      <c r="J86" s="157" t="s">
        <v>180</v>
      </c>
      <c r="K86" s="167">
        <v>46112.0</v>
      </c>
      <c r="L86" s="167">
        <v>46022.0</v>
      </c>
      <c r="M86" s="167">
        <v>45657.0</v>
      </c>
      <c r="N86" s="167">
        <v>45291.0</v>
      </c>
      <c r="O86" s="167">
        <v>44926.0</v>
      </c>
      <c r="P86" s="167">
        <v>44561.0</v>
      </c>
      <c r="Q86" s="15"/>
      <c r="R86" s="157" t="s">
        <v>180</v>
      </c>
      <c r="S86" s="167">
        <v>46112.0</v>
      </c>
      <c r="T86" s="167">
        <v>46022.0</v>
      </c>
      <c r="U86" s="167">
        <v>45657.0</v>
      </c>
      <c r="V86" s="167">
        <v>45291.0</v>
      </c>
      <c r="W86" s="167">
        <v>44926.0</v>
      </c>
      <c r="X86" s="167">
        <v>44561.0</v>
      </c>
      <c r="Y86" s="15"/>
      <c r="Z86" s="157" t="s">
        <v>180</v>
      </c>
      <c r="AA86" s="167">
        <v>46205.0</v>
      </c>
      <c r="AB86" s="167">
        <v>46022.0</v>
      </c>
      <c r="AC86" s="167">
        <v>45657.0</v>
      </c>
      <c r="AD86" s="167">
        <v>45291.0</v>
      </c>
      <c r="AE86" s="167">
        <v>44926.0</v>
      </c>
      <c r="AF86" s="167">
        <v>44561.0</v>
      </c>
      <c r="AG86" s="168"/>
      <c r="AH86" s="15" t="s">
        <v>181</v>
      </c>
      <c r="AI86" s="169">
        <v>4.797559081178E12</v>
      </c>
      <c r="AJ86" s="169">
        <v>4.463507984781E12</v>
      </c>
      <c r="AK86" s="169">
        <v>3.689403867254E12</v>
      </c>
      <c r="AL86" s="169">
        <v>1.852362345299E12</v>
      </c>
      <c r="AM86" s="170"/>
      <c r="AN86" s="15"/>
      <c r="AO86" s="15"/>
      <c r="AP86" s="170"/>
      <c r="AQ86" s="33" t="s">
        <v>182</v>
      </c>
      <c r="AR86" s="163">
        <v>3.9162815079E10</v>
      </c>
      <c r="AS86" s="163">
        <v>1.7690272435E10</v>
      </c>
      <c r="AT86" s="156">
        <v>1.9268703692E10</v>
      </c>
      <c r="AU86" s="156">
        <v>1.6371503326E10</v>
      </c>
      <c r="AV86" s="156">
        <v>2.0555531649E10</v>
      </c>
      <c r="AW86" s="156">
        <v>1.5694531071E10</v>
      </c>
      <c r="AX86" s="15"/>
      <c r="AY86" s="15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164"/>
      <c r="BK86" s="15"/>
      <c r="BL86" s="165"/>
      <c r="BM86" s="165"/>
      <c r="BN86" s="165"/>
      <c r="BO86" s="165"/>
      <c r="BP86" s="165"/>
      <c r="BQ86" s="165"/>
      <c r="BR86" s="165"/>
      <c r="BS86" s="165"/>
      <c r="BT86" s="15"/>
      <c r="BU86" s="15"/>
      <c r="BV86" s="15"/>
      <c r="BW86" s="155">
        <v>2.6793372513E10</v>
      </c>
      <c r="BX86" s="155">
        <v>8.16391827E9</v>
      </c>
      <c r="BY86" s="155">
        <v>3.569913694E9</v>
      </c>
      <c r="BZ86" s="156">
        <v>2.91732383E9</v>
      </c>
      <c r="CA86" s="156">
        <v>1.93346633E9</v>
      </c>
      <c r="CB86" s="156">
        <v>1.601055726E9</v>
      </c>
      <c r="CC86" s="156">
        <v>2.3164822E8</v>
      </c>
      <c r="CD86" s="156">
        <v>3.14294689E8</v>
      </c>
      <c r="CE86" s="15"/>
      <c r="CF86" s="156">
        <v>4.64507711E8</v>
      </c>
      <c r="CG86" s="156">
        <v>-3.5785047862E10</v>
      </c>
      <c r="CH86" s="156">
        <v>-3.5785047862E10</v>
      </c>
      <c r="CI86" s="156">
        <v>4.18236043E8</v>
      </c>
      <c r="CJ86" s="156">
        <v>1.25E8</v>
      </c>
      <c r="CK86" s="156">
        <v>1.48298862E8</v>
      </c>
      <c r="CL86" s="156">
        <v>1.18316996E8</v>
      </c>
      <c r="CM86" s="156">
        <v>1.2441654047E10</v>
      </c>
      <c r="CN86" s="156">
        <v>1.7060668E9</v>
      </c>
      <c r="CO86" s="155">
        <v>-8.238490913E9</v>
      </c>
      <c r="CP86" s="15"/>
      <c r="CQ86" s="155">
        <v>-3.33711157E8</v>
      </c>
      <c r="CR86" s="168"/>
      <c r="CS86" s="168"/>
      <c r="CT86" s="168"/>
      <c r="CU86" s="168"/>
      <c r="CV86" s="168"/>
      <c r="CW86" s="168"/>
      <c r="CX86" s="168"/>
      <c r="CY86" s="168"/>
      <c r="CZ86" s="168"/>
      <c r="DA86" s="168"/>
      <c r="DB86" s="15"/>
      <c r="DC86" s="15"/>
      <c r="DD86" s="15"/>
    </row>
    <row r="87" outlineLevel="1">
      <c r="A87" s="15"/>
      <c r="B87" s="171" t="s">
        <v>183</v>
      </c>
      <c r="C87" s="172">
        <v>3933269.0</v>
      </c>
      <c r="D87" s="172">
        <v>4074971.0</v>
      </c>
      <c r="E87" s="172">
        <v>4797559.0</v>
      </c>
      <c r="F87" s="172">
        <v>4463508.0</v>
      </c>
      <c r="G87" s="172">
        <v>3689404.0</v>
      </c>
      <c r="H87" s="173">
        <v>1852362.0</v>
      </c>
      <c r="I87" s="15"/>
      <c r="J87" s="174" t="s">
        <v>184</v>
      </c>
      <c r="K87" s="172">
        <v>72179.0</v>
      </c>
      <c r="L87" s="172">
        <v>104892.0</v>
      </c>
      <c r="M87" s="172">
        <v>63422.0</v>
      </c>
      <c r="N87" s="172">
        <v>165356.0</v>
      </c>
      <c r="O87" s="172">
        <v>311155.0</v>
      </c>
      <c r="P87" s="173">
        <v>99824.0</v>
      </c>
      <c r="Q87" s="15"/>
      <c r="R87" s="174" t="s">
        <v>185</v>
      </c>
      <c r="S87" s="172">
        <v>248878.0</v>
      </c>
      <c r="T87" s="172">
        <v>255421.0</v>
      </c>
      <c r="U87" s="172">
        <v>378865.0</v>
      </c>
      <c r="V87" s="172">
        <v>406352.0</v>
      </c>
      <c r="W87" s="172">
        <v>334149.0</v>
      </c>
      <c r="X87" s="173">
        <v>165349.0</v>
      </c>
      <c r="Y87" s="15"/>
      <c r="Z87" s="171" t="s">
        <v>186</v>
      </c>
      <c r="AA87" s="172">
        <v>2870000.0</v>
      </c>
      <c r="AB87" s="172">
        <v>3157000.0</v>
      </c>
      <c r="AC87" s="172">
        <v>3971875.0</v>
      </c>
      <c r="AD87" s="172">
        <v>3818125.0</v>
      </c>
      <c r="AE87" s="172">
        <v>2408750.0</v>
      </c>
      <c r="AF87" s="173">
        <v>5611875.0</v>
      </c>
      <c r="AG87" s="175"/>
      <c r="AH87" s="15" t="s">
        <v>187</v>
      </c>
      <c r="AI87" s="169">
        <v>3.616258016133E12</v>
      </c>
      <c r="AJ87" s="169">
        <v>3.368353247154E12</v>
      </c>
      <c r="AK87" s="169">
        <v>2.802447155031E12</v>
      </c>
      <c r="AL87" s="169">
        <v>1.377675973614E12</v>
      </c>
      <c r="AM87" s="15"/>
      <c r="AN87" s="40"/>
      <c r="AO87" s="21" t="str">
        <f>"Bulan "&amp;$C$3&amp;"2026"</f>
        <v>Bulan 2026</v>
      </c>
      <c r="AP87" s="15"/>
      <c r="AQ87" s="33" t="s">
        <v>179</v>
      </c>
      <c r="AR87" s="163">
        <v>2.014496300965E12</v>
      </c>
      <c r="AS87" s="163">
        <v>1.423755565845E12</v>
      </c>
      <c r="AT87" s="169">
        <v>1.546558831061E12</v>
      </c>
      <c r="AU87" s="169">
        <v>1.353948861099E12</v>
      </c>
      <c r="AV87" s="169">
        <v>1.024444841095E12</v>
      </c>
      <c r="AW87" s="169">
        <v>5.88225859025E11</v>
      </c>
      <c r="AX87" s="15"/>
      <c r="AY87" s="15"/>
      <c r="AZ87" s="15"/>
      <c r="BA87" s="15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15"/>
      <c r="BM87" s="15"/>
      <c r="BN87" s="15"/>
      <c r="BO87" s="165"/>
      <c r="BP87" s="165"/>
      <c r="BQ87" s="165"/>
      <c r="BR87" s="165"/>
      <c r="BS87" s="16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</row>
    <row r="88" outlineLevel="1">
      <c r="A88" s="15"/>
      <c r="B88" s="157" t="s">
        <v>188</v>
      </c>
      <c r="C88" s="176">
        <v>-0.0655</v>
      </c>
      <c r="D88" s="176">
        <v>-0.1506</v>
      </c>
      <c r="E88" s="177">
        <v>0.0748</v>
      </c>
      <c r="F88" s="177">
        <v>0.2098</v>
      </c>
      <c r="G88" s="177">
        <v>0.9917</v>
      </c>
      <c r="H88" s="178">
        <v>0.3145</v>
      </c>
      <c r="I88" s="15"/>
      <c r="J88" s="174" t="s">
        <v>189</v>
      </c>
      <c r="K88" s="172">
        <v>72179.0</v>
      </c>
      <c r="L88" s="172">
        <v>104892.0</v>
      </c>
      <c r="M88" s="172">
        <v>63422.0</v>
      </c>
      <c r="N88" s="172">
        <v>165356.0</v>
      </c>
      <c r="O88" s="172">
        <v>311155.0</v>
      </c>
      <c r="P88" s="173">
        <v>99824.0</v>
      </c>
      <c r="Q88" s="15"/>
      <c r="R88" s="174" t="s">
        <v>190</v>
      </c>
      <c r="S88" s="172">
        <v>45397.0</v>
      </c>
      <c r="T88" s="172">
        <v>42701.0</v>
      </c>
      <c r="U88" s="172">
        <v>35490.0</v>
      </c>
      <c r="V88" s="172">
        <v>28906.0</v>
      </c>
      <c r="W88" s="172">
        <v>24441.0</v>
      </c>
      <c r="X88" s="173">
        <v>23427.0</v>
      </c>
      <c r="Y88" s="15"/>
      <c r="Z88" s="157" t="s">
        <v>191</v>
      </c>
      <c r="AA88" s="176">
        <v>-0.2</v>
      </c>
      <c r="AB88" s="176">
        <v>-0.2052</v>
      </c>
      <c r="AC88" s="177">
        <v>0.0403</v>
      </c>
      <c r="AD88" s="177">
        <v>0.5851</v>
      </c>
      <c r="AE88" s="176">
        <v>-0.5708</v>
      </c>
      <c r="AF88" s="178">
        <v>1.7513</v>
      </c>
      <c r="AG88" s="179"/>
      <c r="AH88" s="15" t="s">
        <v>192</v>
      </c>
      <c r="AI88" s="169">
        <v>1.181301065045E12</v>
      </c>
      <c r="AJ88" s="169">
        <v>1.095154737627E12</v>
      </c>
      <c r="AK88" s="169">
        <v>8.86956712223E11</v>
      </c>
      <c r="AL88" s="169">
        <v>4.74686371685E11</v>
      </c>
      <c r="AM88" s="15"/>
      <c r="AN88" s="40" t="s">
        <v>193</v>
      </c>
      <c r="AO88" s="30"/>
      <c r="AP88" s="15"/>
      <c r="AQ88" s="33" t="s">
        <v>182</v>
      </c>
      <c r="AR88" s="163">
        <v>4.0845835675E10</v>
      </c>
      <c r="AS88" s="163">
        <v>4.4475248418E10</v>
      </c>
      <c r="AT88" s="169">
        <v>3.4105968434E10</v>
      </c>
      <c r="AU88" s="169">
        <v>2.6116783041E10</v>
      </c>
      <c r="AV88" s="169">
        <v>2.2932125308E10</v>
      </c>
      <c r="AW88" s="169">
        <v>2.33988049E10</v>
      </c>
      <c r="AX88" s="15"/>
      <c r="AY88" s="15"/>
      <c r="AZ88" s="15"/>
      <c r="BA88" s="15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15"/>
      <c r="BM88" s="15"/>
      <c r="BN88" s="15"/>
      <c r="BO88" s="165"/>
      <c r="BP88" s="165"/>
      <c r="BQ88" s="165"/>
      <c r="BR88" s="165"/>
      <c r="BS88" s="16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</row>
    <row r="89" outlineLevel="1">
      <c r="A89" s="15"/>
      <c r="B89" s="174" t="s">
        <v>194</v>
      </c>
      <c r="C89" s="172">
        <v>3103616.0</v>
      </c>
      <c r="D89" s="172">
        <v>3209068.0</v>
      </c>
      <c r="E89" s="172">
        <v>3617256.0</v>
      </c>
      <c r="F89" s="172">
        <v>3369057.0</v>
      </c>
      <c r="G89" s="172">
        <v>2803100.0</v>
      </c>
      <c r="H89" s="173">
        <v>1378324.0</v>
      </c>
      <c r="I89" s="15"/>
      <c r="J89" s="157" t="s">
        <v>195</v>
      </c>
      <c r="K89" s="176">
        <v>-0.074</v>
      </c>
      <c r="L89" s="177">
        <v>0.6539</v>
      </c>
      <c r="M89" s="176">
        <v>-0.6165</v>
      </c>
      <c r="N89" s="176">
        <v>-0.4686</v>
      </c>
      <c r="O89" s="177">
        <v>2.117</v>
      </c>
      <c r="P89" s="178">
        <v>1.1562</v>
      </c>
      <c r="Q89" s="15"/>
      <c r="R89" s="174" t="s">
        <v>196</v>
      </c>
      <c r="S89" s="172">
        <v>-138144.0</v>
      </c>
      <c r="T89" s="172">
        <v>14847.0</v>
      </c>
      <c r="U89" s="172">
        <v>-99898.0</v>
      </c>
      <c r="V89" s="172">
        <v>-357876.0</v>
      </c>
      <c r="W89" s="172">
        <v>-265488.0</v>
      </c>
      <c r="X89" s="173">
        <v>-222300.0</v>
      </c>
      <c r="Y89" s="15"/>
      <c r="Z89" s="174" t="s">
        <v>197</v>
      </c>
      <c r="AA89" s="172">
        <v>3769211.0</v>
      </c>
      <c r="AB89" s="172">
        <v>3921470.0</v>
      </c>
      <c r="AC89" s="172">
        <v>5048548.0</v>
      </c>
      <c r="AD89" s="172">
        <v>4656319.0</v>
      </c>
      <c r="AE89" s="172">
        <v>3347445.0</v>
      </c>
      <c r="AF89" s="173">
        <v>6123362.0</v>
      </c>
      <c r="AG89" s="175"/>
      <c r="AH89" s="15" t="s">
        <v>198</v>
      </c>
      <c r="AI89" s="169">
        <v>3.045512843E9</v>
      </c>
      <c r="AJ89" s="169">
        <v>6.370670689E9</v>
      </c>
      <c r="AK89" s="169">
        <v>3.766766861E9</v>
      </c>
      <c r="AL89" s="169">
        <v>1.5923835588E10</v>
      </c>
      <c r="AM89" s="33"/>
      <c r="AN89" s="40" t="s">
        <v>199</v>
      </c>
      <c r="AO89" s="30"/>
      <c r="AP89" s="33"/>
      <c r="AQ89" s="33" t="s">
        <v>179</v>
      </c>
      <c r="AR89" s="163">
        <v>1.00342207786E11</v>
      </c>
      <c r="AS89" s="163">
        <v>9.2787354345E10</v>
      </c>
      <c r="AT89" s="169">
        <v>9.0867416867E10</v>
      </c>
      <c r="AU89" s="169">
        <v>4.4674908951E10</v>
      </c>
      <c r="AV89" s="169">
        <v>4.9590303265E10</v>
      </c>
      <c r="AW89" s="169">
        <v>4.2393472168E10</v>
      </c>
      <c r="AX89" s="15"/>
      <c r="AY89" s="15"/>
      <c r="AZ89" s="15"/>
      <c r="BA89" s="15"/>
      <c r="BB89" s="33"/>
      <c r="BC89" s="33"/>
      <c r="BD89" s="33"/>
      <c r="BE89" s="33"/>
      <c r="BF89" s="33"/>
      <c r="BG89" s="33"/>
      <c r="BH89" s="33"/>
      <c r="BI89" s="33"/>
      <c r="BJ89" s="33"/>
      <c r="BK89" s="15"/>
      <c r="BL89" s="15"/>
      <c r="BM89" s="15"/>
      <c r="BN89" s="165"/>
      <c r="BO89" s="165"/>
      <c r="BP89" s="165"/>
      <c r="BQ89" s="165"/>
      <c r="BR89" s="165"/>
      <c r="BS89" s="165"/>
      <c r="BT89" s="165"/>
      <c r="BU89" s="165"/>
      <c r="BV89" s="16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15"/>
      <c r="DC89" s="15"/>
      <c r="DD89" s="15"/>
    </row>
    <row r="90" outlineLevel="1">
      <c r="A90" s="15"/>
      <c r="B90" s="174" t="s">
        <v>200</v>
      </c>
      <c r="C90" s="180">
        <v>829653.0</v>
      </c>
      <c r="D90" s="180">
        <v>865903.0</v>
      </c>
      <c r="E90" s="180">
        <v>1180303.0</v>
      </c>
      <c r="F90" s="180">
        <v>1094451.0</v>
      </c>
      <c r="G90" s="180">
        <v>886304.0</v>
      </c>
      <c r="H90" s="181">
        <v>474038.0</v>
      </c>
      <c r="I90" s="15"/>
      <c r="J90" s="174" t="s">
        <v>201</v>
      </c>
      <c r="K90" s="172">
        <v>1059597.0</v>
      </c>
      <c r="L90" s="172">
        <v>1295708.0</v>
      </c>
      <c r="M90" s="172">
        <v>1231426.0</v>
      </c>
      <c r="N90" s="172">
        <v>807444.0</v>
      </c>
      <c r="O90" s="172">
        <v>601000.0</v>
      </c>
      <c r="P90" s="173">
        <v>503574.0</v>
      </c>
      <c r="Q90" s="15"/>
      <c r="R90" s="174" t="s">
        <v>202</v>
      </c>
      <c r="S90" s="172">
        <v>156131.0</v>
      </c>
      <c r="T90" s="172">
        <v>312968.0</v>
      </c>
      <c r="U90" s="172">
        <v>314457.0</v>
      </c>
      <c r="V90" s="172">
        <v>77381.0</v>
      </c>
      <c r="W90" s="172">
        <v>93102.0</v>
      </c>
      <c r="X90" s="173">
        <v>-33523.0</v>
      </c>
      <c r="Y90" s="15"/>
      <c r="Z90" s="174" t="s">
        <v>203</v>
      </c>
      <c r="AA90" s="182">
        <v>280.0</v>
      </c>
      <c r="AB90" s="182">
        <v>296.85</v>
      </c>
      <c r="AC90" s="182">
        <v>353.42</v>
      </c>
      <c r="AD90" s="182">
        <v>320.79</v>
      </c>
      <c r="AE90" s="182">
        <v>194.34</v>
      </c>
      <c r="AF90" s="183">
        <v>437.27</v>
      </c>
      <c r="AG90" s="165"/>
      <c r="AH90" s="15" t="s">
        <v>204</v>
      </c>
      <c r="AI90" s="169">
        <v>2.368584914E9</v>
      </c>
      <c r="AJ90" s="169">
        <v>4.027970345E9</v>
      </c>
      <c r="AK90" s="169">
        <v>5.26751747E9</v>
      </c>
      <c r="AL90" s="169">
        <v>3.965961994E9</v>
      </c>
      <c r="AM90" s="33"/>
      <c r="AN90" s="40" t="s">
        <v>205</v>
      </c>
      <c r="AO90" s="30"/>
      <c r="AP90" s="33"/>
      <c r="AQ90" s="33" t="s">
        <v>179</v>
      </c>
      <c r="AR90" s="163">
        <v>-7.47005537967E11</v>
      </c>
      <c r="AS90" s="163">
        <v>-6.95217203791E11</v>
      </c>
      <c r="AT90" s="169">
        <v>-5.32840140491E11</v>
      </c>
      <c r="AU90" s="169">
        <v>-3.95416634638E11</v>
      </c>
      <c r="AV90" s="169">
        <v>-1.71955267593E11</v>
      </c>
      <c r="AW90" s="169">
        <v>-1.79751639255E11</v>
      </c>
      <c r="AX90" s="15"/>
      <c r="AY90" s="15"/>
      <c r="AZ90" s="15"/>
      <c r="BA90" s="15"/>
      <c r="BB90" s="33"/>
      <c r="BC90" s="33"/>
      <c r="BD90" s="33"/>
      <c r="BE90" s="33"/>
      <c r="BF90" s="33"/>
      <c r="BG90" s="33"/>
      <c r="BH90" s="33"/>
      <c r="BI90" s="33"/>
      <c r="BJ90" s="33"/>
      <c r="BK90" s="15"/>
      <c r="BL90" s="15"/>
      <c r="BM90" s="15"/>
      <c r="BN90" s="165"/>
      <c r="BO90" s="165"/>
      <c r="BP90" s="165"/>
      <c r="BQ90" s="165"/>
      <c r="BR90" s="165"/>
      <c r="BS90" s="165"/>
      <c r="BT90" s="165"/>
      <c r="BU90" s="165"/>
      <c r="BV90" s="16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15"/>
      <c r="DC90" s="15"/>
      <c r="DD90" s="15"/>
    </row>
    <row r="91" outlineLevel="1">
      <c r="A91" s="15"/>
      <c r="B91" s="174" t="s">
        <v>206</v>
      </c>
      <c r="C91" s="172">
        <v>416893.0</v>
      </c>
      <c r="D91" s="172">
        <v>443910.0</v>
      </c>
      <c r="E91" s="172">
        <v>563856.0</v>
      </c>
      <c r="F91" s="172">
        <v>470299.0</v>
      </c>
      <c r="G91" s="172">
        <v>328619.0</v>
      </c>
      <c r="H91" s="173">
        <v>226439.0</v>
      </c>
      <c r="I91" s="15"/>
      <c r="J91" s="174" t="s">
        <v>207</v>
      </c>
      <c r="K91" s="172">
        <v>1059597.0</v>
      </c>
      <c r="L91" s="172">
        <v>1295708.0</v>
      </c>
      <c r="M91" s="172">
        <v>1231426.0</v>
      </c>
      <c r="N91" s="172">
        <v>807444.0</v>
      </c>
      <c r="O91" s="172">
        <v>601000.0</v>
      </c>
      <c r="P91" s="173">
        <v>503574.0</v>
      </c>
      <c r="Q91" s="15"/>
      <c r="R91" s="157" t="s">
        <v>208</v>
      </c>
      <c r="S91" s="184">
        <v>-0.6558</v>
      </c>
      <c r="T91" s="184">
        <v>-0.0047</v>
      </c>
      <c r="U91" s="185">
        <v>3.0637</v>
      </c>
      <c r="V91" s="184">
        <v>-0.1689</v>
      </c>
      <c r="W91" s="186" t="s">
        <v>209</v>
      </c>
      <c r="X91" s="187" t="s">
        <v>209</v>
      </c>
      <c r="Y91" s="15"/>
      <c r="Z91" s="174" t="s">
        <v>210</v>
      </c>
      <c r="AA91" s="188">
        <v>11.53</v>
      </c>
      <c r="AB91" s="188">
        <v>12.36</v>
      </c>
      <c r="AC91" s="188">
        <v>10.48</v>
      </c>
      <c r="AD91" s="188">
        <v>9.4</v>
      </c>
      <c r="AE91" s="188">
        <v>7.21</v>
      </c>
      <c r="AF91" s="189">
        <v>33.94</v>
      </c>
      <c r="AG91" s="165"/>
      <c r="AH91" s="15" t="s">
        <v>211</v>
      </c>
      <c r="AI91" s="169">
        <v>4.72608557127E11</v>
      </c>
      <c r="AJ91" s="169">
        <v>3.85866338362E11</v>
      </c>
      <c r="AK91" s="169">
        <v>2.67706201995E11</v>
      </c>
      <c r="AL91" s="169">
        <v>1.67832396021E11</v>
      </c>
      <c r="AM91" s="33"/>
      <c r="AN91" s="40" t="s">
        <v>212</v>
      </c>
      <c r="AO91" s="30"/>
      <c r="AP91" s="33"/>
      <c r="AQ91" s="33" t="s">
        <v>182</v>
      </c>
      <c r="AR91" s="163">
        <v>-4.1886595103E10</v>
      </c>
      <c r="AS91" s="163">
        <v>-2.8636562748E10</v>
      </c>
      <c r="AT91" s="169">
        <v>-1.9422864016E10</v>
      </c>
      <c r="AU91" s="169">
        <v>-1.5705946273E10</v>
      </c>
      <c r="AV91" s="169">
        <v>-1.9810646562E10</v>
      </c>
      <c r="AW91" s="169">
        <v>-1.7507117355E10</v>
      </c>
      <c r="AX91" s="15"/>
      <c r="AY91" s="33"/>
      <c r="AZ91" s="15"/>
      <c r="BA91" s="15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15"/>
      <c r="DC91" s="15"/>
      <c r="DD91" s="15"/>
    </row>
    <row r="92" outlineLevel="1">
      <c r="A92" s="15"/>
      <c r="B92" s="174" t="s">
        <v>213</v>
      </c>
      <c r="C92" s="172">
        <v>12520.0</v>
      </c>
      <c r="D92" s="172">
        <v>15322.0</v>
      </c>
      <c r="E92" s="172">
        <v>20520.0</v>
      </c>
      <c r="F92" s="172">
        <v>20767.0</v>
      </c>
      <c r="G92" s="172">
        <v>43395.0</v>
      </c>
      <c r="H92" s="173">
        <v>6915.0</v>
      </c>
      <c r="I92" s="15"/>
      <c r="J92" s="174" t="s">
        <v>214</v>
      </c>
      <c r="K92" s="172">
        <v>1352094.0</v>
      </c>
      <c r="L92" s="172">
        <v>901180.0</v>
      </c>
      <c r="M92" s="172">
        <v>880544.0</v>
      </c>
      <c r="N92" s="172">
        <v>1263391.0</v>
      </c>
      <c r="O92" s="172">
        <v>1669639.0</v>
      </c>
      <c r="P92" s="173">
        <v>758517.0</v>
      </c>
      <c r="Q92" s="15"/>
      <c r="R92" s="174" t="s">
        <v>215</v>
      </c>
      <c r="S92" s="172">
        <v>-45368.0</v>
      </c>
      <c r="T92" s="172">
        <v>-61832.0</v>
      </c>
      <c r="U92" s="172">
        <v>-189779.0</v>
      </c>
      <c r="V92" s="172">
        <v>-41803.0</v>
      </c>
      <c r="W92" s="172">
        <v>-93947.0</v>
      </c>
      <c r="X92" s="173">
        <v>-32039.0</v>
      </c>
      <c r="Y92" s="15"/>
      <c r="Z92" s="174" t="s">
        <v>216</v>
      </c>
      <c r="AA92" s="188">
        <v>0.73</v>
      </c>
      <c r="AB92" s="188">
        <v>0.78</v>
      </c>
      <c r="AC92" s="188">
        <v>0.83</v>
      </c>
      <c r="AD92" s="188">
        <v>0.86</v>
      </c>
      <c r="AE92" s="188">
        <v>0.65</v>
      </c>
      <c r="AF92" s="189">
        <v>3.03</v>
      </c>
      <c r="AG92" s="165"/>
      <c r="AH92" s="15" t="s">
        <v>217</v>
      </c>
      <c r="AI92" s="169">
        <v>9.2244983993E10</v>
      </c>
      <c r="AJ92" s="169">
        <v>8.5136872318E10</v>
      </c>
      <c r="AK92" s="169">
        <v>6.1565555321E10</v>
      </c>
      <c r="AL92" s="169">
        <v>5.925461007E10</v>
      </c>
      <c r="AM92" s="33"/>
      <c r="AN92" s="40" t="s">
        <v>218</v>
      </c>
      <c r="AO92" s="30"/>
      <c r="AP92" s="33"/>
      <c r="AQ92" s="33" t="s">
        <v>219</v>
      </c>
      <c r="AR92" s="163">
        <v>1.830010425448E12</v>
      </c>
      <c r="AS92" s="163">
        <v>1.264513711833E12</v>
      </c>
      <c r="AT92" s="169">
        <v>1.505091052797E12</v>
      </c>
      <c r="AU92" s="169">
        <v>1.850036284417E12</v>
      </c>
      <c r="AV92" s="169">
        <v>1.210267227799E12</v>
      </c>
      <c r="AW92" s="169">
        <v>5.68198287216E11</v>
      </c>
      <c r="AX92" s="15"/>
      <c r="AY92" s="33"/>
      <c r="AZ92" s="15"/>
      <c r="BA92" s="15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15"/>
      <c r="DC92" s="15"/>
      <c r="DD92" s="15"/>
    </row>
    <row r="93" outlineLevel="1">
      <c r="A93" s="15"/>
      <c r="B93" s="174" t="s">
        <v>220</v>
      </c>
      <c r="C93" s="172">
        <v>429413.0</v>
      </c>
      <c r="D93" s="172">
        <v>459232.0</v>
      </c>
      <c r="E93" s="172">
        <v>584376.0</v>
      </c>
      <c r="F93" s="172">
        <v>491066.0</v>
      </c>
      <c r="G93" s="172">
        <v>372015.0</v>
      </c>
      <c r="H93" s="173">
        <v>233354.0</v>
      </c>
      <c r="I93" s="15"/>
      <c r="J93" s="174" t="s">
        <v>221</v>
      </c>
      <c r="K93" s="188" t="s">
        <v>209</v>
      </c>
      <c r="L93" s="188" t="s">
        <v>209</v>
      </c>
      <c r="M93" s="188" t="s">
        <v>209</v>
      </c>
      <c r="N93" s="188" t="s">
        <v>209</v>
      </c>
      <c r="O93" s="188">
        <v>10.42</v>
      </c>
      <c r="P93" s="189">
        <v>49.69</v>
      </c>
      <c r="Q93" s="15"/>
      <c r="R93" s="174" t="s">
        <v>222</v>
      </c>
      <c r="S93" s="172">
        <v>1032.0</v>
      </c>
      <c r="T93" s="172">
        <v>1000.0</v>
      </c>
      <c r="U93" s="188">
        <v>198.2</v>
      </c>
      <c r="V93" s="188">
        <v>536.94</v>
      </c>
      <c r="W93" s="188">
        <v>631.99</v>
      </c>
      <c r="X93" s="189">
        <v>80.0</v>
      </c>
      <c r="Y93" s="15"/>
      <c r="Z93" s="174" t="s">
        <v>223</v>
      </c>
      <c r="AA93" s="188">
        <v>1.49</v>
      </c>
      <c r="AB93" s="188">
        <v>1.67</v>
      </c>
      <c r="AC93" s="188">
        <v>2.54</v>
      </c>
      <c r="AD93" s="188">
        <v>2.77</v>
      </c>
      <c r="AE93" s="188">
        <v>2.15</v>
      </c>
      <c r="AF93" s="189">
        <v>6.51</v>
      </c>
      <c r="AG93" s="165"/>
      <c r="AH93" s="15" t="s">
        <v>224</v>
      </c>
      <c r="AI93" s="169">
        <v>9.2880640981E10</v>
      </c>
      <c r="AJ93" s="169">
        <v>7.6737481801E10</v>
      </c>
      <c r="AK93" s="169">
        <v>8.1776480705E10</v>
      </c>
      <c r="AL93" s="169">
        <v>4.2066844267E10</v>
      </c>
      <c r="AM93" s="33"/>
      <c r="AN93" s="40" t="s">
        <v>225</v>
      </c>
      <c r="AO93" s="30"/>
      <c r="AP93" s="33"/>
      <c r="AQ93" s="33" t="s">
        <v>226</v>
      </c>
      <c r="AR93" s="163">
        <v>1.791888369797E12</v>
      </c>
      <c r="AS93" s="163">
        <v>1.230984753728E12</v>
      </c>
      <c r="AT93" s="169">
        <v>1.471139244687E12</v>
      </c>
      <c r="AU93" s="169">
        <v>1.823253944323E12</v>
      </c>
      <c r="AV93" s="169">
        <v>1.186590217404E12</v>
      </c>
      <c r="AW93" s="169">
        <v>5.466120686E11</v>
      </c>
      <c r="AX93" s="15"/>
      <c r="AY93" s="33"/>
      <c r="AZ93" s="15"/>
      <c r="BA93" s="15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15"/>
      <c r="DC93" s="15"/>
      <c r="DD93" s="15"/>
    </row>
    <row r="94" outlineLevel="1">
      <c r="A94" s="15"/>
      <c r="B94" s="174" t="s">
        <v>227</v>
      </c>
      <c r="C94" s="180">
        <v>400240.0</v>
      </c>
      <c r="D94" s="180">
        <v>406672.0</v>
      </c>
      <c r="E94" s="180">
        <v>595927.0</v>
      </c>
      <c r="F94" s="180">
        <v>603385.0</v>
      </c>
      <c r="G94" s="180">
        <v>514290.0</v>
      </c>
      <c r="H94" s="181">
        <v>240684.0</v>
      </c>
      <c r="I94" s="15"/>
      <c r="J94" s="174" t="s">
        <v>228</v>
      </c>
      <c r="K94" s="172">
        <v>155396.0</v>
      </c>
      <c r="L94" s="172">
        <v>13186.0</v>
      </c>
      <c r="M94" s="172">
        <v>45072.0</v>
      </c>
      <c r="N94" s="172">
        <v>143699.0</v>
      </c>
      <c r="O94" s="172">
        <v>96480.0</v>
      </c>
      <c r="P94" s="173">
        <v>51960.0</v>
      </c>
      <c r="Q94" s="15"/>
      <c r="R94" s="174" t="s">
        <v>229</v>
      </c>
      <c r="S94" s="188" t="s">
        <v>209</v>
      </c>
      <c r="T94" s="188" t="s">
        <v>209</v>
      </c>
      <c r="U94" s="172">
        <v>13800.0</v>
      </c>
      <c r="V94" s="172">
        <v>20700.0</v>
      </c>
      <c r="W94" s="188" t="s">
        <v>209</v>
      </c>
      <c r="X94" s="189" t="s">
        <v>209</v>
      </c>
      <c r="Y94" s="15"/>
      <c r="Z94" s="174" t="s">
        <v>230</v>
      </c>
      <c r="AA94" s="188">
        <v>1.54</v>
      </c>
      <c r="AB94" s="188">
        <v>1.72</v>
      </c>
      <c r="AC94" s="188">
        <v>2.64</v>
      </c>
      <c r="AD94" s="188">
        <v>2.86</v>
      </c>
      <c r="AE94" s="188">
        <v>2.22</v>
      </c>
      <c r="AF94" s="189">
        <v>6.71</v>
      </c>
      <c r="AG94" s="165"/>
      <c r="AH94" s="15" t="s">
        <v>231</v>
      </c>
      <c r="AI94" s="169">
        <v>2.0520287599E10</v>
      </c>
      <c r="AJ94" s="169">
        <v>2.0847345111E10</v>
      </c>
      <c r="AK94" s="169">
        <v>4.3395347916E10</v>
      </c>
      <c r="AL94" s="169">
        <v>6.9150421E9</v>
      </c>
      <c r="AM94" s="33"/>
      <c r="AN94" s="40" t="s">
        <v>232</v>
      </c>
      <c r="AO94" s="30"/>
      <c r="AP94" s="33"/>
      <c r="AQ94" s="33" t="s">
        <v>233</v>
      </c>
      <c r="AR94" s="163">
        <v>3.8122055651E10</v>
      </c>
      <c r="AS94" s="163">
        <v>3.3528958105E10</v>
      </c>
      <c r="AT94" s="169">
        <v>3.395180811E10</v>
      </c>
      <c r="AU94" s="169">
        <v>2.6782340094E10</v>
      </c>
      <c r="AV94" s="169">
        <v>2.3677010395E10</v>
      </c>
      <c r="AW94" s="169">
        <v>2.1586218616E10</v>
      </c>
      <c r="AX94" s="15"/>
      <c r="AY94" s="33"/>
      <c r="AZ94" s="15"/>
      <c r="BA94" s="15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15"/>
      <c r="DC94" s="15"/>
      <c r="DD94" s="15"/>
    </row>
    <row r="95" outlineLevel="1">
      <c r="A95" s="15"/>
      <c r="B95" s="174" t="s">
        <v>234</v>
      </c>
      <c r="C95" s="172">
        <v>-66822.0</v>
      </c>
      <c r="D95" s="172">
        <v>-67456.0</v>
      </c>
      <c r="E95" s="172">
        <v>-81501.0</v>
      </c>
      <c r="F95" s="172">
        <v>-65778.0</v>
      </c>
      <c r="G95" s="172">
        <v>-68763.0</v>
      </c>
      <c r="H95" s="173">
        <v>-33786.0</v>
      </c>
      <c r="I95" s="15"/>
      <c r="J95" s="174" t="s">
        <v>235</v>
      </c>
      <c r="K95" s="180">
        <v>2639265.0</v>
      </c>
      <c r="L95" s="180">
        <v>2314966.0</v>
      </c>
      <c r="M95" s="180">
        <v>2220463.0</v>
      </c>
      <c r="N95" s="180">
        <v>2379890.0</v>
      </c>
      <c r="O95" s="180">
        <v>2678284.0</v>
      </c>
      <c r="P95" s="181">
        <v>1413924.0</v>
      </c>
      <c r="Q95" s="15"/>
      <c r="R95" s="174" t="s">
        <v>236</v>
      </c>
      <c r="S95" s="180">
        <v>-44336.0</v>
      </c>
      <c r="T95" s="180">
        <v>-60832.0</v>
      </c>
      <c r="U95" s="180">
        <v>-175781.0</v>
      </c>
      <c r="V95" s="180">
        <v>-20566.0</v>
      </c>
      <c r="W95" s="180">
        <v>-93315.0</v>
      </c>
      <c r="X95" s="181">
        <v>-31959.0</v>
      </c>
      <c r="Y95" s="15"/>
      <c r="Z95" s="174" t="s">
        <v>237</v>
      </c>
      <c r="AA95" s="188">
        <v>25.91</v>
      </c>
      <c r="AB95" s="188">
        <v>12.57</v>
      </c>
      <c r="AC95" s="188">
        <v>31.86</v>
      </c>
      <c r="AD95" s="188">
        <v>107.32</v>
      </c>
      <c r="AE95" s="188" t="s">
        <v>209</v>
      </c>
      <c r="AF95" s="189" t="s">
        <v>209</v>
      </c>
      <c r="AG95" s="165"/>
      <c r="AH95" s="15" t="s">
        <v>238</v>
      </c>
      <c r="AI95" s="169">
        <v>5.08460693102E11</v>
      </c>
      <c r="AJ95" s="169">
        <v>5.36965341069E11</v>
      </c>
      <c r="AK95" s="169">
        <v>4.41547410617E11</v>
      </c>
      <c r="AL95" s="169">
        <v>2.18507276809E11</v>
      </c>
      <c r="AM95" s="33"/>
      <c r="AN95" s="40" t="s">
        <v>239</v>
      </c>
      <c r="AO95" s="190"/>
      <c r="AP95" s="33"/>
      <c r="AQ95" s="15" t="s">
        <v>240</v>
      </c>
      <c r="AR95" s="163">
        <v>1.830010425448E12</v>
      </c>
      <c r="AS95" s="163">
        <v>1.264513711833E12</v>
      </c>
      <c r="AT95" s="169">
        <v>1.505091052797E12</v>
      </c>
      <c r="AU95" s="169">
        <v>1.850036284417E12</v>
      </c>
      <c r="AV95" s="169">
        <v>1.210267227799E12</v>
      </c>
      <c r="AW95" s="169">
        <v>5.68198287216E11</v>
      </c>
      <c r="AX95" s="15"/>
      <c r="AY95" s="33"/>
      <c r="AZ95" s="15"/>
      <c r="BA95" s="15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15"/>
      <c r="DC95" s="15"/>
      <c r="DD95" s="15"/>
    </row>
    <row r="96" outlineLevel="1">
      <c r="A96" s="15"/>
      <c r="B96" s="174" t="s">
        <v>241</v>
      </c>
      <c r="C96" s="188">
        <v>655.09</v>
      </c>
      <c r="D96" s="188">
        <v>788.43</v>
      </c>
      <c r="E96" s="172">
        <v>2369.0</v>
      </c>
      <c r="F96" s="172">
        <v>4028.0</v>
      </c>
      <c r="G96" s="172">
        <v>5268.0</v>
      </c>
      <c r="H96" s="173">
        <v>3966.0</v>
      </c>
      <c r="I96" s="15"/>
      <c r="J96" s="174" t="s">
        <v>242</v>
      </c>
      <c r="K96" s="172">
        <v>845501.0</v>
      </c>
      <c r="L96" s="172">
        <v>847651.0</v>
      </c>
      <c r="M96" s="172">
        <v>557170.0</v>
      </c>
      <c r="N96" s="172">
        <v>391554.0</v>
      </c>
      <c r="O96" s="172">
        <v>378737.0</v>
      </c>
      <c r="P96" s="173">
        <v>309525.0</v>
      </c>
      <c r="Q96" s="15"/>
      <c r="R96" s="174" t="s">
        <v>243</v>
      </c>
      <c r="S96" s="188" t="s">
        <v>209</v>
      </c>
      <c r="T96" s="188" t="s">
        <v>209</v>
      </c>
      <c r="U96" s="188" t="s">
        <v>209</v>
      </c>
      <c r="V96" s="172">
        <v>4009982.0</v>
      </c>
      <c r="W96" s="172">
        <v>3338042.0</v>
      </c>
      <c r="X96" s="173">
        <v>2542640.0</v>
      </c>
      <c r="Y96" s="15"/>
      <c r="Z96" s="174" t="s">
        <v>244</v>
      </c>
      <c r="AA96" s="188">
        <v>18.38</v>
      </c>
      <c r="AB96" s="188">
        <v>10.09</v>
      </c>
      <c r="AC96" s="188">
        <v>12.63</v>
      </c>
      <c r="AD96" s="188">
        <v>49.34</v>
      </c>
      <c r="AE96" s="188">
        <v>25.87</v>
      </c>
      <c r="AF96" s="189" t="s">
        <v>209</v>
      </c>
      <c r="AG96" s="165"/>
      <c r="AH96" s="15" t="s">
        <v>245</v>
      </c>
      <c r="AI96" s="169">
        <v>1.144424996E11</v>
      </c>
      <c r="AJ96" s="169">
        <v>1.1886545726E11</v>
      </c>
      <c r="AK96" s="169">
        <v>9.664239332E10</v>
      </c>
      <c r="AL96" s="169">
        <v>4.687822348E10</v>
      </c>
      <c r="AM96" s="33"/>
      <c r="AN96" s="40" t="s">
        <v>246</v>
      </c>
      <c r="AO96" s="30"/>
      <c r="AP96" s="33"/>
      <c r="AQ96" s="15" t="s">
        <v>219</v>
      </c>
      <c r="AR96" s="156">
        <v>1.830010425448E12</v>
      </c>
      <c r="AS96" s="156">
        <v>1.264513711833E12</v>
      </c>
      <c r="AT96" s="169">
        <v>1.505091052797E12</v>
      </c>
      <c r="AU96" s="169">
        <v>1.850036284417E12</v>
      </c>
      <c r="AV96" s="156">
        <v>1.210267227799E12</v>
      </c>
      <c r="AW96" s="156">
        <v>5.68198287216E11</v>
      </c>
      <c r="AX96" s="15"/>
      <c r="AY96" s="33"/>
      <c r="AZ96" s="15"/>
      <c r="BA96" s="15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15"/>
      <c r="DC96" s="15"/>
      <c r="DD96" s="15"/>
    </row>
    <row r="97" outlineLevel="1">
      <c r="A97" s="15"/>
      <c r="B97" s="174" t="s">
        <v>247</v>
      </c>
      <c r="C97" s="188">
        <v>-178.24</v>
      </c>
      <c r="D97" s="188">
        <v>-29.95</v>
      </c>
      <c r="E97" s="188" t="s">
        <v>209</v>
      </c>
      <c r="F97" s="188" t="s">
        <v>209</v>
      </c>
      <c r="G97" s="188" t="s">
        <v>209</v>
      </c>
      <c r="H97" s="189" t="s">
        <v>209</v>
      </c>
      <c r="I97" s="15"/>
      <c r="J97" s="174" t="s">
        <v>248</v>
      </c>
      <c r="K97" s="188" t="s">
        <v>209</v>
      </c>
      <c r="L97" s="188" t="s">
        <v>209</v>
      </c>
      <c r="M97" s="188" t="s">
        <v>209</v>
      </c>
      <c r="N97" s="172">
        <v>13800.0</v>
      </c>
      <c r="O97" s="172">
        <v>34500.0</v>
      </c>
      <c r="P97" s="173">
        <v>34500.0</v>
      </c>
      <c r="Q97" s="15"/>
      <c r="R97" s="174" t="s">
        <v>249</v>
      </c>
      <c r="S97" s="188" t="s">
        <v>209</v>
      </c>
      <c r="T97" s="172">
        <v>4154477.0</v>
      </c>
      <c r="U97" s="172">
        <v>4939538.0</v>
      </c>
      <c r="V97" s="172">
        <v>145098.0</v>
      </c>
      <c r="W97" s="172">
        <v>820826.0</v>
      </c>
      <c r="X97" s="189">
        <v>742.26</v>
      </c>
      <c r="Y97" s="15"/>
      <c r="Z97" s="174" t="s">
        <v>250</v>
      </c>
      <c r="AA97" s="188">
        <v>0.96</v>
      </c>
      <c r="AB97" s="188">
        <v>0.96</v>
      </c>
      <c r="AC97" s="188">
        <v>1.05</v>
      </c>
      <c r="AD97" s="188">
        <v>1.04</v>
      </c>
      <c r="AE97" s="188">
        <v>0.91</v>
      </c>
      <c r="AF97" s="189">
        <v>3.31</v>
      </c>
      <c r="AG97" s="165"/>
      <c r="AH97" s="15" t="s">
        <v>251</v>
      </c>
      <c r="AI97" s="169">
        <v>2.797164982E9</v>
      </c>
      <c r="AJ97" s="169">
        <v>1.977516849E9</v>
      </c>
      <c r="AK97" s="169">
        <v>1.087294161E9</v>
      </c>
      <c r="AL97" s="169">
        <v>4.83013841E8</v>
      </c>
      <c r="AM97" s="33"/>
      <c r="AN97" s="191" t="s">
        <v>252</v>
      </c>
      <c r="AO97" s="30"/>
      <c r="AP97" s="33"/>
      <c r="AQ97" s="192" t="s">
        <v>253</v>
      </c>
      <c r="AR97" s="166">
        <v>6.2266843151E10</v>
      </c>
      <c r="AS97" s="166">
        <v>4.7644896693E10</v>
      </c>
      <c r="AT97" s="156">
        <v>5.9206305875E10</v>
      </c>
      <c r="AU97" s="156">
        <v>3.7564955048E10</v>
      </c>
      <c r="AV97" s="156">
        <v>2.8981053478E10</v>
      </c>
      <c r="AW97" s="156">
        <v>2.1294142329E10</v>
      </c>
      <c r="AX97" s="15"/>
      <c r="AY97" s="15"/>
      <c r="AZ97" s="15"/>
      <c r="BA97" s="15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15"/>
      <c r="DC97" s="15"/>
      <c r="DD97" s="15"/>
    </row>
    <row r="98" outlineLevel="1">
      <c r="A98" s="15"/>
      <c r="B98" s="174" t="s">
        <v>254</v>
      </c>
      <c r="C98" s="172">
        <v>-2350.0</v>
      </c>
      <c r="D98" s="172">
        <v>1395.0</v>
      </c>
      <c r="E98" s="172">
        <v>-8532.0</v>
      </c>
      <c r="F98" s="172">
        <v>-5365.0</v>
      </c>
      <c r="G98" s="172">
        <v>-9585.0</v>
      </c>
      <c r="H98" s="173">
        <v>7563.0</v>
      </c>
      <c r="I98" s="15"/>
      <c r="J98" s="174" t="s">
        <v>255</v>
      </c>
      <c r="K98" s="172">
        <v>12267.0</v>
      </c>
      <c r="L98" s="172">
        <v>12574.0</v>
      </c>
      <c r="M98" s="172">
        <v>10728.0</v>
      </c>
      <c r="N98" s="172">
        <v>8421.0</v>
      </c>
      <c r="O98" s="172">
        <v>6260.0</v>
      </c>
      <c r="P98" s="173">
        <v>5175.0</v>
      </c>
      <c r="Q98" s="15"/>
      <c r="R98" s="174" t="s">
        <v>256</v>
      </c>
      <c r="S98" s="172">
        <v>4193971.0</v>
      </c>
      <c r="T98" s="172">
        <v>4154477.0</v>
      </c>
      <c r="U98" s="172">
        <v>4939538.0</v>
      </c>
      <c r="V98" s="172">
        <v>4155080.0</v>
      </c>
      <c r="W98" s="172">
        <v>4158868.0</v>
      </c>
      <c r="X98" s="173">
        <v>2543382.0</v>
      </c>
      <c r="Y98" s="15"/>
      <c r="Z98" s="174" t="s">
        <v>257</v>
      </c>
      <c r="AA98" s="188">
        <v>8.46</v>
      </c>
      <c r="AB98" s="188">
        <v>8.73</v>
      </c>
      <c r="AC98" s="188">
        <v>8.0</v>
      </c>
      <c r="AD98" s="188">
        <v>7.36</v>
      </c>
      <c r="AE98" s="188">
        <v>6.21</v>
      </c>
      <c r="AF98" s="189">
        <v>23.19</v>
      </c>
      <c r="AG98" s="165"/>
      <c r="AH98" s="15" t="s">
        <v>258</v>
      </c>
      <c r="AI98" s="169">
        <v>1.11645334618E11</v>
      </c>
      <c r="AJ98" s="169">
        <v>1.16887940411E11</v>
      </c>
      <c r="AK98" s="169">
        <v>9.5555099159E10</v>
      </c>
      <c r="AL98" s="169">
        <v>4.7361237321E10</v>
      </c>
      <c r="AM98" s="33"/>
      <c r="AN98" s="191" t="s">
        <v>259</v>
      </c>
      <c r="AO98" s="30"/>
      <c r="AP98" s="33"/>
      <c r="AQ98" s="192" t="s">
        <v>260</v>
      </c>
      <c r="AR98" s="166">
        <v>1.9930725937E10</v>
      </c>
      <c r="AS98" s="166">
        <v>1.5834696022E10</v>
      </c>
      <c r="AT98" s="156">
        <v>1.4211470347E10</v>
      </c>
      <c r="AU98" s="156">
        <v>1.1052379179E10</v>
      </c>
      <c r="AV98" s="156">
        <v>1.0418910422E10</v>
      </c>
      <c r="AW98" s="156">
        <v>1.0221563885E10</v>
      </c>
      <c r="AX98" s="15"/>
      <c r="AY98" s="15"/>
      <c r="AZ98" s="15"/>
      <c r="BA98" s="15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15"/>
      <c r="DC98" s="15"/>
      <c r="DD98" s="15"/>
    </row>
    <row r="99" outlineLevel="1">
      <c r="A99" s="15"/>
      <c r="B99" s="174" t="s">
        <v>261</v>
      </c>
      <c r="C99" s="172">
        <v>331545.0</v>
      </c>
      <c r="D99" s="172">
        <v>341369.0</v>
      </c>
      <c r="E99" s="172">
        <v>508262.0</v>
      </c>
      <c r="F99" s="172">
        <v>536270.0</v>
      </c>
      <c r="G99" s="172">
        <v>441209.0</v>
      </c>
      <c r="H99" s="173">
        <v>218427.0</v>
      </c>
      <c r="I99" s="15"/>
      <c r="J99" s="193" t="s">
        <v>262</v>
      </c>
      <c r="K99" s="194">
        <v>3497033.0</v>
      </c>
      <c r="L99" s="194">
        <v>3175191.0</v>
      </c>
      <c r="M99" s="194">
        <v>2788362.0</v>
      </c>
      <c r="N99" s="194">
        <v>2793665.0</v>
      </c>
      <c r="O99" s="194">
        <v>3097782.0</v>
      </c>
      <c r="P99" s="195">
        <v>1763124.0</v>
      </c>
      <c r="Q99" s="15"/>
      <c r="R99" s="174" t="s">
        <v>263</v>
      </c>
      <c r="S99" s="188" t="s">
        <v>209</v>
      </c>
      <c r="T99" s="188" t="s">
        <v>209</v>
      </c>
      <c r="U99" s="188" t="s">
        <v>209</v>
      </c>
      <c r="V99" s="172">
        <v>-4058915.0</v>
      </c>
      <c r="W99" s="172">
        <v>-3847179.0</v>
      </c>
      <c r="X99" s="173">
        <v>-2301340.0</v>
      </c>
      <c r="Y99" s="15"/>
      <c r="Z99" s="174" t="s">
        <v>264</v>
      </c>
      <c r="AA99" s="188">
        <v>9.42</v>
      </c>
      <c r="AB99" s="188">
        <v>9.64</v>
      </c>
      <c r="AC99" s="188">
        <v>8.47</v>
      </c>
      <c r="AD99" s="188">
        <v>7.72</v>
      </c>
      <c r="AE99" s="188">
        <v>6.51</v>
      </c>
      <c r="AF99" s="189">
        <v>25.44</v>
      </c>
      <c r="AG99" s="165"/>
      <c r="AH99" s="15" t="s">
        <v>265</v>
      </c>
      <c r="AI99" s="169">
        <v>3.96815358484E11</v>
      </c>
      <c r="AJ99" s="169">
        <v>4.20077400658E11</v>
      </c>
      <c r="AK99" s="169">
        <v>3.45992311458E11</v>
      </c>
      <c r="AL99" s="169">
        <v>1.71146039488E11</v>
      </c>
      <c r="AM99" s="33"/>
      <c r="AN99" s="196" t="s">
        <v>266</v>
      </c>
      <c r="AO99" s="30"/>
      <c r="AP99" s="33"/>
      <c r="AQ99" s="192" t="s">
        <v>267</v>
      </c>
      <c r="AR99" s="166">
        <v>9.3726806062E10</v>
      </c>
      <c r="AS99" s="166">
        <v>9.2973003315E10</v>
      </c>
      <c r="AT99" s="156">
        <v>9.1200982207E10</v>
      </c>
      <c r="AU99" s="156">
        <v>2.380500377E10</v>
      </c>
      <c r="AV99" s="166">
        <v>4.2668822315E10</v>
      </c>
      <c r="AW99" s="166">
        <v>2.3377382926E10</v>
      </c>
      <c r="AX99" s="15"/>
      <c r="AY99" s="15"/>
      <c r="AZ99" s="15"/>
      <c r="BA99" s="15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15"/>
      <c r="DC99" s="15"/>
      <c r="DD99" s="15"/>
    </row>
    <row r="100" outlineLevel="1">
      <c r="A100" s="15"/>
      <c r="B100" s="174" t="s">
        <v>268</v>
      </c>
      <c r="C100" s="188">
        <v>956.9</v>
      </c>
      <c r="D100" s="188">
        <v>956.9</v>
      </c>
      <c r="E100" s="188">
        <v>198.2</v>
      </c>
      <c r="F100" s="188">
        <v>536.94</v>
      </c>
      <c r="G100" s="188">
        <v>338.26</v>
      </c>
      <c r="H100" s="189">
        <v>80.0</v>
      </c>
      <c r="I100" s="15"/>
      <c r="J100" s="174" t="s">
        <v>269</v>
      </c>
      <c r="K100" s="172">
        <v>512392.0</v>
      </c>
      <c r="L100" s="172">
        <v>339600.0</v>
      </c>
      <c r="M100" s="172">
        <v>369394.0</v>
      </c>
      <c r="N100" s="172">
        <v>340374.0</v>
      </c>
      <c r="O100" s="172">
        <v>856188.0</v>
      </c>
      <c r="P100" s="173">
        <v>310219.0</v>
      </c>
      <c r="Q100" s="15"/>
      <c r="R100" s="174" t="s">
        <v>270</v>
      </c>
      <c r="S100" s="188" t="s">
        <v>209</v>
      </c>
      <c r="T100" s="172">
        <v>-4160248.0</v>
      </c>
      <c r="U100" s="172">
        <v>-4963467.0</v>
      </c>
      <c r="V100" s="172">
        <v>-139107.0</v>
      </c>
      <c r="W100" s="172">
        <v>-14571.0</v>
      </c>
      <c r="X100" s="173">
        <v>-33756.0</v>
      </c>
      <c r="Y100" s="15"/>
      <c r="Z100" s="174" t="s">
        <v>271</v>
      </c>
      <c r="AA100" s="182">
        <v>34.03</v>
      </c>
      <c r="AB100" s="182">
        <v>15.62</v>
      </c>
      <c r="AC100" s="182">
        <v>40.49</v>
      </c>
      <c r="AD100" s="182">
        <v>130.87</v>
      </c>
      <c r="AE100" s="182" t="s">
        <v>209</v>
      </c>
      <c r="AF100" s="183" t="s">
        <v>209</v>
      </c>
      <c r="AG100" s="165"/>
      <c r="AH100" s="15"/>
      <c r="AI100" s="15"/>
      <c r="AJ100" s="15"/>
      <c r="AK100" s="15"/>
      <c r="AL100" s="15"/>
      <c r="AM100" s="33"/>
      <c r="AN100" s="196" t="s">
        <v>272</v>
      </c>
      <c r="AO100" s="30"/>
      <c r="AP100" s="33"/>
      <c r="AQ100" s="192" t="s">
        <v>273</v>
      </c>
      <c r="AR100" s="166">
        <v>2.005934800598E12</v>
      </c>
      <c r="AS100" s="166">
        <v>1.420966307863E12</v>
      </c>
      <c r="AT100" s="166">
        <v>1.669709811226E12</v>
      </c>
      <c r="AU100" s="166">
        <v>1.922458622414E12</v>
      </c>
      <c r="AV100" s="166">
        <v>1.292336014015E12</v>
      </c>
      <c r="AW100" s="166">
        <v>6.23091376356E11</v>
      </c>
      <c r="AX100" s="15"/>
      <c r="AY100" s="165"/>
      <c r="AZ100" s="15"/>
      <c r="BA100" s="15"/>
      <c r="BB100" s="15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15"/>
      <c r="DC100" s="15"/>
      <c r="DD100" s="15"/>
    </row>
    <row r="101" outlineLevel="1">
      <c r="A101" s="15"/>
      <c r="B101" s="174" t="s">
        <v>274</v>
      </c>
      <c r="C101" s="188" t="s">
        <v>209</v>
      </c>
      <c r="D101" s="188" t="s">
        <v>209</v>
      </c>
      <c r="E101" s="188" t="s">
        <v>209</v>
      </c>
      <c r="F101" s="188">
        <v>-80.54</v>
      </c>
      <c r="G101" s="188" t="s">
        <v>209</v>
      </c>
      <c r="H101" s="189" t="s">
        <v>209</v>
      </c>
      <c r="I101" s="15"/>
      <c r="J101" s="174" t="s">
        <v>275</v>
      </c>
      <c r="K101" s="172">
        <v>5500.0</v>
      </c>
      <c r="L101" s="172">
        <v>44563.0</v>
      </c>
      <c r="M101" s="172">
        <v>18984.0</v>
      </c>
      <c r="N101" s="172">
        <v>5379.0</v>
      </c>
      <c r="O101" s="172">
        <v>3028.0</v>
      </c>
      <c r="P101" s="173">
        <v>6480.0</v>
      </c>
      <c r="Q101" s="15"/>
      <c r="R101" s="174" t="s">
        <v>276</v>
      </c>
      <c r="S101" s="172">
        <v>-4103488.0</v>
      </c>
      <c r="T101" s="172">
        <v>-4160248.0</v>
      </c>
      <c r="U101" s="172">
        <v>-4963467.0</v>
      </c>
      <c r="V101" s="172">
        <v>-4198022.0</v>
      </c>
      <c r="W101" s="172">
        <v>-3861750.0</v>
      </c>
      <c r="X101" s="173">
        <v>-2335096.0</v>
      </c>
      <c r="Y101" s="15"/>
      <c r="Z101" s="174" t="s">
        <v>277</v>
      </c>
      <c r="AA101" s="188">
        <v>0.47</v>
      </c>
      <c r="AB101" s="188">
        <v>0.41</v>
      </c>
      <c r="AC101" s="188">
        <v>0.5</v>
      </c>
      <c r="AD101" s="188">
        <v>0.57</v>
      </c>
      <c r="AE101" s="188">
        <v>0.74</v>
      </c>
      <c r="AF101" s="189">
        <v>0.62</v>
      </c>
      <c r="AG101" s="165"/>
      <c r="AH101" s="15" t="s">
        <v>278</v>
      </c>
      <c r="AI101" s="169">
        <f t="shared" ref="AI101:AL101" si="99">AI88+AI89-AI91-AI92</f>
        <v>619493036768</v>
      </c>
      <c r="AJ101" s="169">
        <f t="shared" si="99"/>
        <v>630522197636</v>
      </c>
      <c r="AK101" s="169">
        <f t="shared" si="99"/>
        <v>561451721768</v>
      </c>
      <c r="AL101" s="169">
        <f t="shared" si="99"/>
        <v>263523201182</v>
      </c>
      <c r="AM101" s="33"/>
      <c r="AN101" s="191" t="s">
        <v>279</v>
      </c>
      <c r="AO101" s="30"/>
      <c r="AP101" s="33"/>
      <c r="AQ101" s="192" t="s">
        <v>280</v>
      </c>
      <c r="AR101" s="166">
        <v>4.03555350857E11</v>
      </c>
      <c r="AS101" s="166">
        <v>4.23262090912E11</v>
      </c>
      <c r="AT101" s="166">
        <v>8.19102970668E11</v>
      </c>
      <c r="AU101" s="166">
        <v>7.68552539195E11</v>
      </c>
      <c r="AV101" s="166">
        <v>4.53450912773E11</v>
      </c>
      <c r="AW101" s="166">
        <v>2.69823324846E11</v>
      </c>
      <c r="AX101" s="15"/>
      <c r="AY101" s="165"/>
      <c r="AZ101" s="15"/>
      <c r="BA101" s="15"/>
      <c r="BB101" s="15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15"/>
      <c r="DC101" s="15"/>
      <c r="DD101" s="15"/>
    </row>
    <row r="102" outlineLevel="1">
      <c r="A102" s="15"/>
      <c r="B102" s="174" t="s">
        <v>281</v>
      </c>
      <c r="C102" s="180">
        <v>332502.0</v>
      </c>
      <c r="D102" s="180">
        <v>342326.0</v>
      </c>
      <c r="E102" s="180">
        <v>508461.0</v>
      </c>
      <c r="F102" s="180">
        <v>536965.0</v>
      </c>
      <c r="G102" s="180">
        <v>441547.0</v>
      </c>
      <c r="H102" s="181">
        <v>218507.0</v>
      </c>
      <c r="I102" s="15"/>
      <c r="J102" s="174" t="s">
        <v>282</v>
      </c>
      <c r="K102" s="172">
        <v>798263.0</v>
      </c>
      <c r="L102" s="172">
        <v>649221.0</v>
      </c>
      <c r="M102" s="172">
        <v>615529.0</v>
      </c>
      <c r="N102" s="172">
        <v>730455.0</v>
      </c>
      <c r="O102" s="172">
        <v>784886.0</v>
      </c>
      <c r="P102" s="173">
        <v>520118.0</v>
      </c>
      <c r="Q102" s="15"/>
      <c r="R102" s="174" t="s">
        <v>283</v>
      </c>
      <c r="S102" s="172">
        <v>90482.0</v>
      </c>
      <c r="T102" s="172">
        <v>-5771.0</v>
      </c>
      <c r="U102" s="172">
        <v>-23930.0</v>
      </c>
      <c r="V102" s="172">
        <v>-42943.0</v>
      </c>
      <c r="W102" s="172">
        <v>297118.0</v>
      </c>
      <c r="X102" s="173">
        <v>208286.0</v>
      </c>
      <c r="Y102" s="15"/>
      <c r="Z102" s="174" t="s">
        <v>284</v>
      </c>
      <c r="AA102" s="188">
        <v>2.05</v>
      </c>
      <c r="AB102" s="188">
        <v>1.72</v>
      </c>
      <c r="AC102" s="188">
        <v>1.22</v>
      </c>
      <c r="AD102" s="188">
        <v>1.24</v>
      </c>
      <c r="AE102" s="188">
        <v>1.54</v>
      </c>
      <c r="AF102" s="189">
        <v>2.01</v>
      </c>
      <c r="AG102" s="165"/>
      <c r="AH102" s="15" t="s">
        <v>136</v>
      </c>
      <c r="AI102" s="197">
        <f t="shared" ref="AI102:AL102" si="100">AI99/AI86</f>
        <v>0.08271192741</v>
      </c>
      <c r="AJ102" s="197">
        <f t="shared" si="100"/>
        <v>0.09411373343</v>
      </c>
      <c r="AK102" s="197">
        <f t="shared" si="100"/>
        <v>0.09378000455</v>
      </c>
      <c r="AL102" s="197">
        <f t="shared" si="100"/>
        <v>0.09239339156</v>
      </c>
      <c r="AM102" s="33"/>
      <c r="AN102" s="15"/>
      <c r="AO102" s="15"/>
      <c r="AP102" s="33"/>
      <c r="AQ102" s="192" t="s">
        <v>285</v>
      </c>
      <c r="AR102" s="166">
        <v>-8.16515709656E11</v>
      </c>
      <c r="AS102" s="166">
        <v>-5.14295696226E11</v>
      </c>
      <c r="AT102" s="166">
        <v>-6.81417015518E11</v>
      </c>
      <c r="AU102" s="166">
        <v>-5.34919521285E11</v>
      </c>
      <c r="AV102" s="166">
        <v>-6.51194239135E11</v>
      </c>
      <c r="AW102" s="166">
        <v>-3.6042096838E11</v>
      </c>
      <c r="AX102" s="15"/>
      <c r="AY102" s="165"/>
      <c r="AZ102" s="15"/>
      <c r="BA102" s="15"/>
      <c r="BB102" s="15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15"/>
      <c r="DC102" s="15"/>
      <c r="DD102" s="15"/>
    </row>
    <row r="103" outlineLevel="1">
      <c r="A103" s="15"/>
      <c r="B103" s="174" t="s">
        <v>286</v>
      </c>
      <c r="C103" s="172">
        <v>72737.0</v>
      </c>
      <c r="D103" s="172">
        <v>74827.0</v>
      </c>
      <c r="E103" s="172">
        <v>111645.0</v>
      </c>
      <c r="F103" s="172">
        <v>116888.0</v>
      </c>
      <c r="G103" s="172">
        <v>95555.0</v>
      </c>
      <c r="H103" s="173">
        <v>47361.0</v>
      </c>
      <c r="I103" s="15"/>
      <c r="J103" s="174" t="s">
        <v>287</v>
      </c>
      <c r="K103" s="172">
        <v>29869.0</v>
      </c>
      <c r="L103" s="172">
        <v>29869.0</v>
      </c>
      <c r="M103" s="172">
        <v>29869.0</v>
      </c>
      <c r="N103" s="172">
        <v>10315.0</v>
      </c>
      <c r="O103" s="172">
        <v>10315.0</v>
      </c>
      <c r="P103" s="173">
        <v>10198.0</v>
      </c>
      <c r="Q103" s="15"/>
      <c r="R103" s="174" t="s">
        <v>288</v>
      </c>
      <c r="S103" s="172">
        <v>-204895.0</v>
      </c>
      <c r="T103" s="172">
        <v>-204895.0</v>
      </c>
      <c r="U103" s="172">
        <v>-216681.0</v>
      </c>
      <c r="V103" s="172">
        <v>-159672.0</v>
      </c>
      <c r="W103" s="172">
        <v>-85573.0</v>
      </c>
      <c r="X103" s="173">
        <v>-89278.0</v>
      </c>
      <c r="Y103" s="15"/>
      <c r="Z103" s="174" t="s">
        <v>289</v>
      </c>
      <c r="AA103" s="188">
        <v>8.24</v>
      </c>
      <c r="AB103" s="188">
        <v>3.08</v>
      </c>
      <c r="AC103" s="188">
        <v>6.2</v>
      </c>
      <c r="AD103" s="188">
        <v>22.09</v>
      </c>
      <c r="AE103" s="188" t="s">
        <v>209</v>
      </c>
      <c r="AF103" s="189" t="s">
        <v>209</v>
      </c>
      <c r="AG103" s="16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92" t="s">
        <v>290</v>
      </c>
      <c r="AR103" s="166">
        <v>1.57367702235E11</v>
      </c>
      <c r="AS103" s="166">
        <v>1.53190270558E11</v>
      </c>
      <c r="AT103" s="166">
        <v>2.21883517448E11</v>
      </c>
      <c r="AU103" s="166">
        <v>1.87258078533E11</v>
      </c>
      <c r="AV103" s="166">
        <v>1.00777314135E11</v>
      </c>
      <c r="AW103" s="166">
        <v>6.6332384101E10</v>
      </c>
      <c r="AX103" s="15"/>
      <c r="AY103" s="165"/>
      <c r="AZ103" s="15"/>
      <c r="BA103" s="15"/>
      <c r="BB103" s="16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</row>
    <row r="104" outlineLevel="1">
      <c r="A104" s="15"/>
      <c r="B104" s="174" t="s">
        <v>291</v>
      </c>
      <c r="C104" s="172">
        <v>259765.0</v>
      </c>
      <c r="D104" s="172">
        <v>267499.0</v>
      </c>
      <c r="E104" s="172">
        <v>396815.0</v>
      </c>
      <c r="F104" s="172">
        <v>420077.0</v>
      </c>
      <c r="G104" s="172">
        <v>345992.0</v>
      </c>
      <c r="H104" s="173">
        <v>171146.0</v>
      </c>
      <c r="I104" s="15"/>
      <c r="J104" s="174" t="s">
        <v>292</v>
      </c>
      <c r="K104" s="172">
        <v>5207.0</v>
      </c>
      <c r="L104" s="172">
        <v>6079.0</v>
      </c>
      <c r="M104" s="172">
        <v>7915.0</v>
      </c>
      <c r="N104" s="172">
        <v>5542.0</v>
      </c>
      <c r="O104" s="172">
        <v>1571.0</v>
      </c>
      <c r="P104" s="189">
        <v>969.63</v>
      </c>
      <c r="Q104" s="15"/>
      <c r="R104" s="174" t="s">
        <v>293</v>
      </c>
      <c r="S104" s="180">
        <v>-114413.0</v>
      </c>
      <c r="T104" s="180">
        <v>-210666.0</v>
      </c>
      <c r="U104" s="180">
        <v>-240610.0</v>
      </c>
      <c r="V104" s="180">
        <v>-202614.0</v>
      </c>
      <c r="W104" s="180">
        <v>211544.0</v>
      </c>
      <c r="X104" s="181">
        <v>119009.0</v>
      </c>
      <c r="Y104" s="15"/>
      <c r="Z104" s="174" t="s">
        <v>294</v>
      </c>
      <c r="AA104" s="188">
        <v>0.44</v>
      </c>
      <c r="AB104" s="188">
        <v>0.35</v>
      </c>
      <c r="AC104" s="188">
        <v>0.45</v>
      </c>
      <c r="AD104" s="188">
        <v>0.45</v>
      </c>
      <c r="AE104" s="188">
        <v>0.46</v>
      </c>
      <c r="AF104" s="189">
        <v>0.5</v>
      </c>
      <c r="AG104" s="165"/>
      <c r="AH104" s="15"/>
      <c r="AI104" s="15"/>
      <c r="AJ104" s="15"/>
      <c r="AK104" s="15"/>
      <c r="AL104" s="15"/>
      <c r="AM104" s="15"/>
      <c r="AN104" s="151" t="s">
        <v>295</v>
      </c>
      <c r="AO104" s="15"/>
      <c r="AP104" s="15"/>
      <c r="AQ104" s="192" t="s">
        <v>296</v>
      </c>
      <c r="AR104" s="166">
        <v>9.021323237E9</v>
      </c>
      <c r="AS104" s="166">
        <v>8.688169321E9</v>
      </c>
      <c r="AT104" s="166">
        <v>9.944898065E9</v>
      </c>
      <c r="AU104" s="166">
        <v>8.918654837E9</v>
      </c>
      <c r="AV104" s="166">
        <v>7.625500007E9</v>
      </c>
      <c r="AW104" s="166">
        <v>3.478127956E9</v>
      </c>
      <c r="AX104" s="15"/>
      <c r="AY104" s="165"/>
      <c r="AZ104" s="15"/>
      <c r="BA104" s="15"/>
      <c r="BB104" s="16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</row>
    <row r="105" outlineLevel="1">
      <c r="A105" s="15"/>
      <c r="B105" s="174" t="s">
        <v>297</v>
      </c>
      <c r="C105" s="172">
        <v>-10886.0</v>
      </c>
      <c r="D105" s="172">
        <v>-12078.0</v>
      </c>
      <c r="E105" s="172">
        <v>-17951.0</v>
      </c>
      <c r="F105" s="172">
        <v>-13726.0</v>
      </c>
      <c r="G105" s="172">
        <v>-11843.0</v>
      </c>
      <c r="H105" s="173">
        <v>-5797.0</v>
      </c>
      <c r="I105" s="15"/>
      <c r="J105" s="174" t="s">
        <v>298</v>
      </c>
      <c r="K105" s="172">
        <v>26078.0</v>
      </c>
      <c r="L105" s="172">
        <v>13201.0</v>
      </c>
      <c r="M105" s="172">
        <v>34184.0</v>
      </c>
      <c r="N105" s="172">
        <v>35937.0</v>
      </c>
      <c r="O105" s="172">
        <v>17127.0</v>
      </c>
      <c r="P105" s="173">
        <v>20432.0</v>
      </c>
      <c r="Q105" s="15"/>
      <c r="R105" s="174" t="s">
        <v>299</v>
      </c>
      <c r="S105" s="180">
        <v>-2617.0</v>
      </c>
      <c r="T105" s="180">
        <v>41470.0</v>
      </c>
      <c r="U105" s="180">
        <v>-101934.0</v>
      </c>
      <c r="V105" s="180">
        <v>-145799.0</v>
      </c>
      <c r="W105" s="180">
        <v>211331.0</v>
      </c>
      <c r="X105" s="181">
        <v>53527.0</v>
      </c>
      <c r="Y105" s="15"/>
      <c r="Z105" s="174" t="s">
        <v>300</v>
      </c>
      <c r="AA105" s="188">
        <v>1.89</v>
      </c>
      <c r="AB105" s="188">
        <v>1.49</v>
      </c>
      <c r="AC105" s="188">
        <v>1.12</v>
      </c>
      <c r="AD105" s="188">
        <v>0.98</v>
      </c>
      <c r="AE105" s="188">
        <v>0.96</v>
      </c>
      <c r="AF105" s="189">
        <v>1.64</v>
      </c>
      <c r="AG105" s="165"/>
      <c r="AH105" s="15"/>
      <c r="AI105" s="15"/>
      <c r="AJ105" s="15"/>
      <c r="AK105" s="15"/>
      <c r="AL105" s="15"/>
      <c r="AM105" s="56"/>
      <c r="AN105" s="15"/>
      <c r="AO105" s="15"/>
      <c r="AP105" s="56"/>
      <c r="AQ105" s="192" t="s">
        <v>301</v>
      </c>
      <c r="AR105" s="166">
        <v>1.3695801E9</v>
      </c>
      <c r="AS105" s="155">
        <v>9.64233649E8</v>
      </c>
      <c r="AT105" s="155">
        <v>1.525649749E9</v>
      </c>
      <c r="AU105" s="155">
        <v>1.314210411E9</v>
      </c>
      <c r="AV105" s="166">
        <v>3.39182108E8</v>
      </c>
      <c r="AW105" s="166">
        <v>4.49756651E8</v>
      </c>
      <c r="AX105" s="15"/>
      <c r="AY105" s="165"/>
      <c r="AZ105" s="179"/>
      <c r="BA105" s="179"/>
      <c r="BB105" s="165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56"/>
      <c r="BS105" s="56"/>
      <c r="BT105" s="56"/>
      <c r="BU105" s="56"/>
      <c r="BV105" s="56"/>
      <c r="BW105" s="56"/>
      <c r="BX105" s="56"/>
      <c r="BY105" s="56"/>
      <c r="BZ105" s="56"/>
      <c r="CA105" s="56"/>
      <c r="CB105" s="56"/>
      <c r="CC105" s="56"/>
      <c r="CD105" s="56"/>
      <c r="CE105" s="56"/>
      <c r="CF105" s="56"/>
      <c r="CG105" s="56"/>
      <c r="CH105" s="56"/>
      <c r="CI105" s="56"/>
      <c r="CJ105" s="56"/>
      <c r="CK105" s="56"/>
      <c r="CL105" s="56"/>
      <c r="CM105" s="56"/>
      <c r="CN105" s="56"/>
      <c r="CO105" s="56"/>
      <c r="CP105" s="56"/>
      <c r="CQ105" s="56"/>
      <c r="CR105" s="56"/>
      <c r="CS105" s="56"/>
      <c r="CT105" s="56"/>
      <c r="CU105" s="56"/>
      <c r="CV105" s="56"/>
      <c r="CW105" s="56"/>
      <c r="CX105" s="56"/>
      <c r="CY105" s="56"/>
      <c r="CZ105" s="56"/>
      <c r="DA105" s="56"/>
      <c r="DB105" s="15"/>
      <c r="DC105" s="15"/>
      <c r="DD105" s="15"/>
    </row>
    <row r="106" outlineLevel="1">
      <c r="A106" s="15"/>
      <c r="B106" s="174" t="s">
        <v>185</v>
      </c>
      <c r="C106" s="172">
        <v>248878.0</v>
      </c>
      <c r="D106" s="172">
        <v>255421.0</v>
      </c>
      <c r="E106" s="172">
        <v>378865.0</v>
      </c>
      <c r="F106" s="172">
        <v>406352.0</v>
      </c>
      <c r="G106" s="172">
        <v>334149.0</v>
      </c>
      <c r="H106" s="173">
        <v>165349.0</v>
      </c>
      <c r="I106" s="15"/>
      <c r="J106" s="174" t="s">
        <v>302</v>
      </c>
      <c r="K106" s="172">
        <v>85878.0</v>
      </c>
      <c r="L106" s="172">
        <v>88983.0</v>
      </c>
      <c r="M106" s="172">
        <v>9874.0</v>
      </c>
      <c r="N106" s="172">
        <v>226565.0</v>
      </c>
      <c r="O106" s="172">
        <v>256570.0</v>
      </c>
      <c r="P106" s="173">
        <v>15117.0</v>
      </c>
      <c r="Q106" s="15"/>
      <c r="R106" s="174" t="s">
        <v>303</v>
      </c>
      <c r="S106" s="172">
        <v>110764.0</v>
      </c>
      <c r="T106" s="172">
        <v>251136.0</v>
      </c>
      <c r="U106" s="172">
        <v>124677.0</v>
      </c>
      <c r="V106" s="172">
        <v>35579.0</v>
      </c>
      <c r="W106" s="188">
        <v>-845.16</v>
      </c>
      <c r="X106" s="173">
        <v>-65562.0</v>
      </c>
      <c r="Y106" s="15"/>
      <c r="Z106" s="174" t="s">
        <v>304</v>
      </c>
      <c r="AA106" s="182">
        <v>7.59</v>
      </c>
      <c r="AB106" s="182">
        <v>2.66</v>
      </c>
      <c r="AC106" s="182">
        <v>5.69</v>
      </c>
      <c r="AD106" s="182">
        <v>17.44</v>
      </c>
      <c r="AE106" s="182">
        <v>-612.35</v>
      </c>
      <c r="AF106" s="183">
        <v>-6.58</v>
      </c>
      <c r="AG106" s="165"/>
      <c r="AH106" s="165"/>
      <c r="AI106" s="165"/>
      <c r="AJ106" s="165"/>
      <c r="AK106" s="165"/>
      <c r="AL106" s="165"/>
      <c r="AM106" s="165"/>
      <c r="AN106" s="40"/>
      <c r="AO106" s="21" t="str">
        <f>"Bulan "&amp;$C$3&amp;" 2026"</f>
        <v>Bulan  2026</v>
      </c>
      <c r="AP106" s="165"/>
      <c r="AQ106" s="15" t="s">
        <v>305</v>
      </c>
      <c r="AR106" s="15"/>
      <c r="AS106" s="15"/>
      <c r="AT106" s="15"/>
      <c r="AU106" s="15"/>
      <c r="AV106" s="166">
        <v>8.02549275E8</v>
      </c>
      <c r="AW106" s="166">
        <v>5.25756123E8</v>
      </c>
      <c r="AX106" s="15"/>
      <c r="AY106" s="165"/>
      <c r="AZ106" s="15"/>
      <c r="BA106" s="15"/>
      <c r="BB106" s="165"/>
      <c r="BC106" s="165"/>
      <c r="BD106" s="165"/>
      <c r="BE106" s="165"/>
      <c r="BF106" s="165"/>
      <c r="BG106" s="165"/>
      <c r="BH106" s="165"/>
      <c r="BI106" s="165"/>
      <c r="BJ106" s="165"/>
      <c r="BK106" s="165"/>
      <c r="BL106" s="165"/>
      <c r="BM106" s="165"/>
      <c r="BN106" s="165"/>
      <c r="BO106" s="165"/>
      <c r="BP106" s="165"/>
      <c r="BQ106" s="165"/>
      <c r="BR106" s="165"/>
      <c r="BS106" s="165"/>
      <c r="BT106" s="165"/>
      <c r="BU106" s="165"/>
      <c r="BV106" s="165"/>
      <c r="BW106" s="165"/>
      <c r="BX106" s="165"/>
      <c r="BY106" s="165"/>
      <c r="BZ106" s="165"/>
      <c r="CA106" s="165"/>
      <c r="CB106" s="165"/>
      <c r="CC106" s="165"/>
      <c r="CD106" s="165"/>
      <c r="CE106" s="165"/>
      <c r="CF106" s="165"/>
      <c r="CG106" s="165"/>
      <c r="CH106" s="165"/>
      <c r="CI106" s="165"/>
      <c r="CJ106" s="165"/>
      <c r="CK106" s="165"/>
      <c r="CL106" s="165"/>
      <c r="CM106" s="165"/>
      <c r="CN106" s="165"/>
      <c r="CO106" s="165"/>
      <c r="CP106" s="165"/>
      <c r="CQ106" s="165"/>
      <c r="CR106" s="165"/>
      <c r="CS106" s="165"/>
      <c r="CT106" s="165"/>
      <c r="CU106" s="165"/>
      <c r="CV106" s="165"/>
      <c r="CW106" s="165"/>
      <c r="CX106" s="165"/>
      <c r="CY106" s="165"/>
      <c r="CZ106" s="165"/>
      <c r="DA106" s="165"/>
      <c r="DB106" s="15"/>
      <c r="DC106" s="15"/>
      <c r="DD106" s="15"/>
    </row>
    <row r="107" outlineLevel="1">
      <c r="A107" s="15"/>
      <c r="B107" s="174" t="s">
        <v>306</v>
      </c>
      <c r="C107" s="172">
        <v>248878.0</v>
      </c>
      <c r="D107" s="172">
        <v>255421.0</v>
      </c>
      <c r="E107" s="172">
        <v>378865.0</v>
      </c>
      <c r="F107" s="172">
        <v>406352.0</v>
      </c>
      <c r="G107" s="172">
        <v>334149.0</v>
      </c>
      <c r="H107" s="173">
        <v>165349.0</v>
      </c>
      <c r="I107" s="15"/>
      <c r="J107" s="174" t="s">
        <v>307</v>
      </c>
      <c r="K107" s="188" t="s">
        <v>209</v>
      </c>
      <c r="L107" s="188" t="s">
        <v>209</v>
      </c>
      <c r="M107" s="188" t="s">
        <v>209</v>
      </c>
      <c r="N107" s="188" t="s">
        <v>209</v>
      </c>
      <c r="O107" s="188">
        <v>285.92</v>
      </c>
      <c r="P107" s="189">
        <v>918.82</v>
      </c>
      <c r="Q107" s="15"/>
      <c r="R107" s="157" t="s">
        <v>308</v>
      </c>
      <c r="S107" s="184">
        <v>-0.5973</v>
      </c>
      <c r="T107" s="185">
        <v>1.0143</v>
      </c>
      <c r="U107" s="185">
        <v>2.5043</v>
      </c>
      <c r="V107" s="186" t="s">
        <v>209</v>
      </c>
      <c r="W107" s="186" t="s">
        <v>209</v>
      </c>
      <c r="X107" s="187" t="s">
        <v>209</v>
      </c>
      <c r="Y107" s="15"/>
      <c r="Z107" s="174" t="s">
        <v>309</v>
      </c>
      <c r="AA107" s="188">
        <v>1.22</v>
      </c>
      <c r="AB107" s="188">
        <v>1.37</v>
      </c>
      <c r="AC107" s="188">
        <v>1.72</v>
      </c>
      <c r="AD107" s="188">
        <v>1.52</v>
      </c>
      <c r="AE107" s="188">
        <v>1.52</v>
      </c>
      <c r="AF107" s="189">
        <v>1.19</v>
      </c>
      <c r="AG107" s="165"/>
      <c r="AH107" s="165"/>
      <c r="AI107" s="165"/>
      <c r="AJ107" s="165"/>
      <c r="AK107" s="165"/>
      <c r="AL107" s="165"/>
      <c r="AM107" s="165"/>
      <c r="AN107" s="40" t="s">
        <v>310</v>
      </c>
      <c r="AO107" s="30"/>
      <c r="AP107" s="165"/>
      <c r="AQ107" s="15" t="s">
        <v>311</v>
      </c>
      <c r="AR107" s="15"/>
      <c r="AS107" s="15"/>
      <c r="AT107" s="15"/>
      <c r="AU107" s="15"/>
      <c r="AV107" s="166">
        <v>5111057.0</v>
      </c>
      <c r="AW107" s="166">
        <v>3.8043493E7</v>
      </c>
      <c r="AX107" s="15"/>
      <c r="AY107" s="165"/>
      <c r="AZ107" s="15"/>
      <c r="BA107" s="15"/>
      <c r="BB107" s="165"/>
      <c r="BC107" s="165"/>
      <c r="BD107" s="165"/>
      <c r="BE107" s="165"/>
      <c r="BF107" s="165"/>
      <c r="BG107" s="165"/>
      <c r="BH107" s="165"/>
      <c r="BI107" s="165"/>
      <c r="BJ107" s="165"/>
      <c r="BK107" s="165"/>
      <c r="BL107" s="165"/>
      <c r="BM107" s="165"/>
      <c r="BN107" s="165"/>
      <c r="BO107" s="165"/>
      <c r="BP107" s="165"/>
      <c r="BQ107" s="165"/>
      <c r="BR107" s="165"/>
      <c r="BS107" s="165"/>
      <c r="BT107" s="165"/>
      <c r="BU107" s="165"/>
      <c r="BV107" s="165"/>
      <c r="BW107" s="165"/>
      <c r="BX107" s="165"/>
      <c r="BY107" s="165"/>
      <c r="BZ107" s="165"/>
      <c r="CA107" s="165"/>
      <c r="CB107" s="165"/>
      <c r="CC107" s="165"/>
      <c r="CD107" s="165"/>
      <c r="CE107" s="165"/>
      <c r="CF107" s="165"/>
      <c r="CG107" s="165"/>
      <c r="CH107" s="165"/>
      <c r="CI107" s="165"/>
      <c r="CJ107" s="165"/>
      <c r="CK107" s="165"/>
      <c r="CL107" s="165"/>
      <c r="CM107" s="165"/>
      <c r="CN107" s="165"/>
      <c r="CO107" s="165"/>
      <c r="CP107" s="165"/>
      <c r="CQ107" s="165"/>
      <c r="CR107" s="165"/>
      <c r="CS107" s="165"/>
      <c r="CT107" s="165"/>
      <c r="CU107" s="165"/>
      <c r="CV107" s="165"/>
      <c r="CW107" s="165"/>
      <c r="CX107" s="165"/>
      <c r="CY107" s="165"/>
      <c r="CZ107" s="165"/>
      <c r="DA107" s="165"/>
      <c r="DB107" s="15"/>
      <c r="DC107" s="15"/>
      <c r="DD107" s="15"/>
    </row>
    <row r="108" outlineLevel="1">
      <c r="A108" s="15"/>
      <c r="B108" s="157" t="s">
        <v>312</v>
      </c>
      <c r="C108" s="184">
        <v>-0.1714</v>
      </c>
      <c r="D108" s="184">
        <v>-0.3258</v>
      </c>
      <c r="E108" s="184">
        <v>-0.0676</v>
      </c>
      <c r="F108" s="185">
        <v>0.2161</v>
      </c>
      <c r="G108" s="185">
        <v>1.0209</v>
      </c>
      <c r="H108" s="198">
        <v>0.4526</v>
      </c>
      <c r="I108" s="15"/>
      <c r="J108" s="174" t="s">
        <v>313</v>
      </c>
      <c r="K108" s="180">
        <v>1463188.0</v>
      </c>
      <c r="L108" s="180">
        <v>1171515.0</v>
      </c>
      <c r="M108" s="180">
        <v>1085748.0</v>
      </c>
      <c r="N108" s="180">
        <v>1354566.0</v>
      </c>
      <c r="O108" s="180">
        <v>1929971.0</v>
      </c>
      <c r="P108" s="181">
        <v>884452.0</v>
      </c>
      <c r="Q108" s="15"/>
      <c r="R108" s="174" t="s">
        <v>314</v>
      </c>
      <c r="S108" s="199">
        <v>0.0282</v>
      </c>
      <c r="T108" s="199">
        <v>0.0616</v>
      </c>
      <c r="U108" s="199">
        <v>0.026</v>
      </c>
      <c r="V108" s="199">
        <v>0.008</v>
      </c>
      <c r="W108" s="199">
        <v>-2.0E-4</v>
      </c>
      <c r="X108" s="200">
        <v>-0.0354</v>
      </c>
      <c r="Y108" s="15"/>
      <c r="Z108" s="174" t="s">
        <v>20</v>
      </c>
      <c r="AA108" s="188">
        <v>2.41</v>
      </c>
      <c r="AB108" s="188">
        <v>3.6</v>
      </c>
      <c r="AC108" s="188">
        <v>3.37</v>
      </c>
      <c r="AD108" s="188">
        <v>2.3</v>
      </c>
      <c r="AE108" s="188">
        <v>2.31</v>
      </c>
      <c r="AF108" s="189">
        <v>2.42</v>
      </c>
      <c r="AG108" s="165"/>
      <c r="AH108" s="165"/>
      <c r="AI108" s="165"/>
      <c r="AJ108" s="165"/>
      <c r="AK108" s="165"/>
      <c r="AL108" s="165"/>
      <c r="AM108" s="165"/>
      <c r="AN108" s="40" t="s">
        <v>315</v>
      </c>
      <c r="AO108" s="30"/>
      <c r="AP108" s="165"/>
      <c r="AQ108" s="192" t="s">
        <v>316</v>
      </c>
      <c r="AR108" s="166">
        <v>2.894312399E10</v>
      </c>
      <c r="AS108" s="155">
        <v>2.6793372513E10</v>
      </c>
      <c r="AT108" s="155">
        <v>2.3821689402E10</v>
      </c>
      <c r="AU108" s="155">
        <v>2.4904153929E10</v>
      </c>
      <c r="AV108" s="155">
        <v>2.4222506267E10</v>
      </c>
      <c r="AW108" s="155">
        <v>1.896206812E10</v>
      </c>
      <c r="AX108" s="15"/>
      <c r="AY108" s="165"/>
      <c r="AZ108" s="15"/>
      <c r="BA108" s="15"/>
      <c r="BB108" s="165"/>
      <c r="BC108" s="165"/>
      <c r="BD108" s="165"/>
      <c r="BE108" s="165"/>
      <c r="BF108" s="165"/>
      <c r="BG108" s="165"/>
      <c r="BH108" s="165"/>
      <c r="BI108" s="165"/>
      <c r="BJ108" s="165"/>
      <c r="BK108" s="165"/>
      <c r="BL108" s="165"/>
      <c r="BM108" s="165"/>
      <c r="BN108" s="165"/>
      <c r="BO108" s="165"/>
      <c r="BP108" s="165"/>
      <c r="BQ108" s="165"/>
      <c r="BR108" s="165"/>
      <c r="BS108" s="165"/>
      <c r="BT108" s="165"/>
      <c r="BU108" s="165"/>
      <c r="BV108" s="165"/>
      <c r="BW108" s="165"/>
      <c r="BX108" s="165"/>
      <c r="BY108" s="165"/>
      <c r="BZ108" s="165"/>
      <c r="CA108" s="165"/>
      <c r="CB108" s="165"/>
      <c r="CC108" s="165"/>
      <c r="CD108" s="165"/>
      <c r="CE108" s="165"/>
      <c r="CF108" s="165"/>
      <c r="CG108" s="165"/>
      <c r="CH108" s="165"/>
      <c r="CI108" s="165"/>
      <c r="CJ108" s="165"/>
      <c r="CK108" s="165"/>
      <c r="CL108" s="165"/>
      <c r="CM108" s="165"/>
      <c r="CN108" s="165"/>
      <c r="CO108" s="165"/>
      <c r="CP108" s="165"/>
      <c r="CQ108" s="165"/>
      <c r="CR108" s="165"/>
      <c r="CS108" s="165"/>
      <c r="CT108" s="165"/>
      <c r="CU108" s="165"/>
      <c r="CV108" s="165"/>
      <c r="CW108" s="165"/>
      <c r="CX108" s="165"/>
      <c r="CY108" s="165"/>
      <c r="CZ108" s="165"/>
      <c r="DA108" s="165"/>
      <c r="DB108" s="15"/>
      <c r="DC108" s="15"/>
      <c r="DD108" s="15"/>
    </row>
    <row r="109" outlineLevel="1">
      <c r="A109" s="15"/>
      <c r="B109" s="174" t="s">
        <v>317</v>
      </c>
      <c r="C109" s="172">
        <v>10250.0</v>
      </c>
      <c r="D109" s="172">
        <v>10250.0</v>
      </c>
      <c r="E109" s="172">
        <v>10250.0</v>
      </c>
      <c r="F109" s="172">
        <v>10250.0</v>
      </c>
      <c r="G109" s="172">
        <v>10250.0</v>
      </c>
      <c r="H109" s="173">
        <v>10250.0</v>
      </c>
      <c r="I109" s="15"/>
      <c r="J109" s="174" t="s">
        <v>318</v>
      </c>
      <c r="K109" s="172">
        <v>76959.0</v>
      </c>
      <c r="L109" s="172">
        <v>84426.0</v>
      </c>
      <c r="M109" s="172">
        <v>114294.0</v>
      </c>
      <c r="N109" s="172">
        <v>32239.0</v>
      </c>
      <c r="O109" s="172">
        <v>30474.0</v>
      </c>
      <c r="P109" s="189" t="s">
        <v>209</v>
      </c>
      <c r="Q109" s="15"/>
      <c r="R109" s="174" t="s">
        <v>319</v>
      </c>
      <c r="S109" s="182">
        <v>10.81</v>
      </c>
      <c r="T109" s="182">
        <v>24.5</v>
      </c>
      <c r="U109" s="182">
        <v>12.16</v>
      </c>
      <c r="V109" s="182">
        <v>3.47</v>
      </c>
      <c r="W109" s="182">
        <v>-0.08</v>
      </c>
      <c r="X109" s="183">
        <v>-6.4</v>
      </c>
      <c r="Y109" s="15"/>
      <c r="Z109" s="174" t="s">
        <v>17</v>
      </c>
      <c r="AA109" s="188">
        <v>0.77</v>
      </c>
      <c r="AB109" s="188">
        <v>1.2</v>
      </c>
      <c r="AC109" s="188">
        <v>1.19</v>
      </c>
      <c r="AD109" s="188">
        <v>0.72</v>
      </c>
      <c r="AE109" s="188">
        <v>0.47</v>
      </c>
      <c r="AF109" s="189">
        <v>0.68</v>
      </c>
      <c r="AG109" s="165"/>
      <c r="AH109" s="165"/>
      <c r="AI109" s="165"/>
      <c r="AJ109" s="165"/>
      <c r="AK109" s="165"/>
      <c r="AL109" s="165"/>
      <c r="AM109" s="165"/>
      <c r="AN109" s="40" t="s">
        <v>320</v>
      </c>
      <c r="AO109" s="30"/>
      <c r="AP109" s="165"/>
      <c r="AQ109" s="192" t="s">
        <v>321</v>
      </c>
      <c r="AR109" s="166">
        <v>6.960129613E9</v>
      </c>
      <c r="AS109" s="155">
        <v>8.16391827E9</v>
      </c>
      <c r="AT109" s="155">
        <v>9.952830379E9</v>
      </c>
      <c r="AU109" s="155">
        <v>6.733919712E9</v>
      </c>
      <c r="AV109" s="156">
        <v>4.964257286E9</v>
      </c>
      <c r="AW109" s="156">
        <v>4.377825782E9</v>
      </c>
      <c r="AX109" s="15"/>
      <c r="AY109" s="15"/>
      <c r="AZ109" s="15"/>
      <c r="BA109" s="15"/>
      <c r="BB109" s="165"/>
      <c r="BC109" s="165"/>
      <c r="BD109" s="165"/>
      <c r="BE109" s="165"/>
      <c r="BF109" s="165"/>
      <c r="BG109" s="165"/>
      <c r="BH109" s="165"/>
      <c r="BI109" s="165"/>
      <c r="BJ109" s="165"/>
      <c r="BK109" s="165"/>
      <c r="BL109" s="165"/>
      <c r="BM109" s="165"/>
      <c r="BN109" s="165"/>
      <c r="BO109" s="165"/>
      <c r="BP109" s="165"/>
      <c r="BQ109" s="165"/>
      <c r="BR109" s="165"/>
      <c r="BS109" s="165"/>
      <c r="BT109" s="165"/>
      <c r="BU109" s="165"/>
      <c r="BV109" s="165"/>
      <c r="BW109" s="165"/>
      <c r="BX109" s="165"/>
      <c r="BY109" s="165"/>
      <c r="BZ109" s="165"/>
      <c r="CA109" s="165"/>
      <c r="CB109" s="165"/>
      <c r="CC109" s="165"/>
      <c r="CD109" s="165"/>
      <c r="CE109" s="165"/>
      <c r="CF109" s="165"/>
      <c r="CG109" s="165"/>
      <c r="CH109" s="165"/>
      <c r="CI109" s="165"/>
      <c r="CJ109" s="165"/>
      <c r="CK109" s="165"/>
      <c r="CL109" s="165"/>
      <c r="CM109" s="165"/>
      <c r="CN109" s="165"/>
      <c r="CO109" s="165"/>
      <c r="CP109" s="165"/>
      <c r="CQ109" s="165"/>
      <c r="CR109" s="165"/>
      <c r="CS109" s="165"/>
      <c r="CT109" s="165"/>
      <c r="CU109" s="165"/>
      <c r="CV109" s="165"/>
      <c r="CW109" s="165"/>
      <c r="CX109" s="165"/>
      <c r="CY109" s="165"/>
      <c r="CZ109" s="165"/>
      <c r="DA109" s="165"/>
      <c r="DB109" s="15"/>
      <c r="DC109" s="15"/>
      <c r="DD109" s="15"/>
    </row>
    <row r="110" outlineLevel="1">
      <c r="A110" s="15"/>
      <c r="B110" s="174" t="s">
        <v>322</v>
      </c>
      <c r="C110" s="172">
        <v>10250.0</v>
      </c>
      <c r="D110" s="172">
        <v>10250.0</v>
      </c>
      <c r="E110" s="172">
        <v>10250.0</v>
      </c>
      <c r="F110" s="172">
        <v>10250.0</v>
      </c>
      <c r="G110" s="172">
        <v>10250.0</v>
      </c>
      <c r="H110" s="173">
        <v>10250.0</v>
      </c>
      <c r="I110" s="15"/>
      <c r="J110" s="174" t="s">
        <v>323</v>
      </c>
      <c r="K110" s="172">
        <v>2889.0</v>
      </c>
      <c r="L110" s="172">
        <v>4063.0</v>
      </c>
      <c r="M110" s="172">
        <v>5543.0</v>
      </c>
      <c r="N110" s="172">
        <v>7201.0</v>
      </c>
      <c r="O110" s="172">
        <v>1448.0</v>
      </c>
      <c r="P110" s="189">
        <v>290.47</v>
      </c>
      <c r="Q110" s="15"/>
      <c r="R110" s="174" t="s">
        <v>324</v>
      </c>
      <c r="S110" s="172">
        <v>80919.0</v>
      </c>
      <c r="T110" s="172">
        <v>81552.0</v>
      </c>
      <c r="U110" s="172">
        <v>92881.0</v>
      </c>
      <c r="V110" s="172">
        <v>76737.0</v>
      </c>
      <c r="W110" s="172">
        <v>81776.0</v>
      </c>
      <c r="X110" s="173">
        <v>42067.0</v>
      </c>
      <c r="Y110" s="15"/>
      <c r="Z110" s="174" t="s">
        <v>14</v>
      </c>
      <c r="AA110" s="182">
        <v>1.8</v>
      </c>
      <c r="AB110" s="182">
        <v>1.98</v>
      </c>
      <c r="AC110" s="182">
        <v>2.05</v>
      </c>
      <c r="AD110" s="182">
        <v>1.76</v>
      </c>
      <c r="AE110" s="182">
        <v>1.39</v>
      </c>
      <c r="AF110" s="183">
        <v>1.6</v>
      </c>
      <c r="AG110" s="165"/>
      <c r="AH110" s="165"/>
      <c r="AI110" s="165"/>
      <c r="AJ110" s="165"/>
      <c r="AK110" s="165"/>
      <c r="AL110" s="165"/>
      <c r="AM110" s="165"/>
      <c r="AN110" s="40" t="s">
        <v>325</v>
      </c>
      <c r="AO110" s="30"/>
      <c r="AP110" s="165"/>
      <c r="AQ110" s="154" t="s">
        <v>326</v>
      </c>
      <c r="AR110" s="155">
        <v>4.23229285E9</v>
      </c>
      <c r="AS110" s="155">
        <v>3.569913694E9</v>
      </c>
      <c r="AT110" s="155">
        <v>3.038926903E9</v>
      </c>
      <c r="AU110" s="155">
        <v>2.05596445E9</v>
      </c>
      <c r="AV110" s="156">
        <v>2.754400161E9</v>
      </c>
      <c r="AW110" s="156">
        <v>1.340182445E9</v>
      </c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65"/>
      <c r="BM110" s="165"/>
      <c r="BN110" s="165"/>
      <c r="BO110" s="165"/>
      <c r="BP110" s="165"/>
      <c r="BQ110" s="165"/>
      <c r="BR110" s="165"/>
      <c r="BS110" s="165"/>
      <c r="BT110" s="165"/>
      <c r="BU110" s="165"/>
      <c r="BV110" s="165"/>
      <c r="BW110" s="165"/>
      <c r="BX110" s="165"/>
      <c r="BY110" s="165"/>
      <c r="BZ110" s="165"/>
      <c r="CA110" s="165"/>
      <c r="CB110" s="165"/>
      <c r="CC110" s="165"/>
      <c r="CD110" s="165"/>
      <c r="CE110" s="165"/>
      <c r="CF110" s="165"/>
      <c r="CG110" s="165"/>
      <c r="CH110" s="165"/>
      <c r="CI110" s="165"/>
      <c r="CJ110" s="165"/>
      <c r="CK110" s="165"/>
      <c r="CL110" s="165"/>
      <c r="CM110" s="165"/>
      <c r="CN110" s="165"/>
      <c r="CO110" s="165"/>
      <c r="CP110" s="165"/>
      <c r="CQ110" s="165"/>
      <c r="CR110" s="165"/>
      <c r="CS110" s="165"/>
      <c r="CT110" s="165"/>
      <c r="CU110" s="165"/>
      <c r="CV110" s="165"/>
      <c r="CW110" s="165"/>
      <c r="CX110" s="165"/>
      <c r="CY110" s="165"/>
      <c r="CZ110" s="165"/>
      <c r="DA110" s="165"/>
      <c r="DB110" s="15"/>
      <c r="DC110" s="15"/>
      <c r="DD110" s="15"/>
    </row>
    <row r="111" outlineLevel="1">
      <c r="A111" s="15"/>
      <c r="B111" s="174" t="s">
        <v>327</v>
      </c>
      <c r="C111" s="188">
        <v>24.28</v>
      </c>
      <c r="D111" s="188">
        <v>24.92</v>
      </c>
      <c r="E111" s="188">
        <v>36.96</v>
      </c>
      <c r="F111" s="188">
        <v>39.64</v>
      </c>
      <c r="G111" s="188">
        <v>32.6</v>
      </c>
      <c r="H111" s="189">
        <v>16.13</v>
      </c>
      <c r="I111" s="15"/>
      <c r="J111" s="174" t="s">
        <v>328</v>
      </c>
      <c r="K111" s="172">
        <v>26834.0</v>
      </c>
      <c r="L111" s="172">
        <v>26834.0</v>
      </c>
      <c r="M111" s="172">
        <v>20829.0</v>
      </c>
      <c r="N111" s="172">
        <v>19582.0</v>
      </c>
      <c r="O111" s="172">
        <v>15569.0</v>
      </c>
      <c r="P111" s="173">
        <v>16170.0</v>
      </c>
      <c r="Q111" s="15"/>
      <c r="R111" s="174" t="s">
        <v>329</v>
      </c>
      <c r="S111" s="172">
        <v>79505.0</v>
      </c>
      <c r="T111" s="172">
        <v>54672.0</v>
      </c>
      <c r="U111" s="188">
        <v>588.75</v>
      </c>
      <c r="V111" s="172">
        <v>139620.0</v>
      </c>
      <c r="W111" s="172">
        <v>155238.0</v>
      </c>
      <c r="X111" s="173">
        <v>69228.0</v>
      </c>
      <c r="Y111" s="15"/>
      <c r="Z111" s="174" t="s">
        <v>330</v>
      </c>
      <c r="AA111" s="199">
        <v>0.1469</v>
      </c>
      <c r="AB111" s="199">
        <v>0.1551</v>
      </c>
      <c r="AC111" s="199">
        <v>0.2698</v>
      </c>
      <c r="AD111" s="199">
        <v>0.336</v>
      </c>
      <c r="AE111" s="199">
        <v>0.349</v>
      </c>
      <c r="AF111" s="200">
        <v>0.208</v>
      </c>
      <c r="AG111" s="179"/>
      <c r="AH111" s="179"/>
      <c r="AI111" s="179"/>
      <c r="AJ111" s="179"/>
      <c r="AK111" s="179"/>
      <c r="AL111" s="179"/>
      <c r="AM111" s="179"/>
      <c r="AN111" s="191" t="s">
        <v>331</v>
      </c>
      <c r="AO111" s="30"/>
      <c r="AP111" s="179"/>
      <c r="AQ111" s="15" t="s">
        <v>332</v>
      </c>
      <c r="AR111" s="156">
        <v>2.862205525E9</v>
      </c>
      <c r="AS111" s="156">
        <v>2.91732383E9</v>
      </c>
      <c r="AT111" s="155">
        <v>2.981576171E9</v>
      </c>
      <c r="AU111" s="155">
        <v>2.435814892E9</v>
      </c>
      <c r="AV111" s="156">
        <v>1.574590915E9</v>
      </c>
      <c r="AW111" s="156">
        <v>1.480073771E9</v>
      </c>
      <c r="AX111" s="15"/>
      <c r="AY111" s="15"/>
      <c r="AZ111" s="15"/>
      <c r="BA111" s="15"/>
      <c r="BB111" s="15"/>
      <c r="BC111" s="56"/>
      <c r="BD111" s="56"/>
      <c r="BE111" s="56"/>
      <c r="BF111" s="56"/>
      <c r="BG111" s="56"/>
      <c r="BH111" s="56"/>
      <c r="BI111" s="56"/>
      <c r="BJ111" s="56"/>
      <c r="BK111" s="56"/>
      <c r="BL111" s="179"/>
      <c r="BM111" s="179"/>
      <c r="BN111" s="179"/>
      <c r="BO111" s="179"/>
      <c r="BP111" s="179"/>
      <c r="BQ111" s="179"/>
      <c r="BR111" s="179"/>
      <c r="BS111" s="179"/>
      <c r="BT111" s="179"/>
      <c r="BU111" s="179"/>
      <c r="BV111" s="179"/>
      <c r="BW111" s="179"/>
      <c r="BX111" s="179"/>
      <c r="BY111" s="179"/>
      <c r="BZ111" s="179"/>
      <c r="CA111" s="179"/>
      <c r="CB111" s="179"/>
      <c r="CC111" s="179"/>
      <c r="CD111" s="179"/>
      <c r="CE111" s="179"/>
      <c r="CF111" s="179"/>
      <c r="CG111" s="179"/>
      <c r="CH111" s="179"/>
      <c r="CI111" s="179"/>
      <c r="CJ111" s="179"/>
      <c r="CK111" s="179"/>
      <c r="CL111" s="179"/>
      <c r="CM111" s="179"/>
      <c r="CN111" s="179"/>
      <c r="CO111" s="179"/>
      <c r="CP111" s="179"/>
      <c r="CQ111" s="179"/>
      <c r="CR111" s="179"/>
      <c r="CS111" s="179"/>
      <c r="CT111" s="179"/>
      <c r="CU111" s="179"/>
      <c r="CV111" s="179"/>
      <c r="CW111" s="179"/>
      <c r="CX111" s="179"/>
      <c r="CY111" s="179"/>
      <c r="CZ111" s="179"/>
      <c r="DA111" s="179"/>
      <c r="DB111" s="15"/>
      <c r="DC111" s="15"/>
      <c r="DD111" s="15"/>
    </row>
    <row r="112" outlineLevel="1">
      <c r="A112" s="15"/>
      <c r="B112" s="174" t="s">
        <v>333</v>
      </c>
      <c r="C112" s="188">
        <v>24.28</v>
      </c>
      <c r="D112" s="188">
        <v>24.92</v>
      </c>
      <c r="E112" s="188">
        <v>36.96</v>
      </c>
      <c r="F112" s="188">
        <v>39.64</v>
      </c>
      <c r="G112" s="188">
        <v>32.6</v>
      </c>
      <c r="H112" s="189">
        <v>16.13</v>
      </c>
      <c r="I112" s="15"/>
      <c r="J112" s="193" t="s">
        <v>334</v>
      </c>
      <c r="K112" s="194">
        <v>1569869.0</v>
      </c>
      <c r="L112" s="194">
        <v>1286837.0</v>
      </c>
      <c r="M112" s="194">
        <v>1226414.0</v>
      </c>
      <c r="N112" s="194">
        <v>1413588.0</v>
      </c>
      <c r="O112" s="194">
        <v>1977461.0</v>
      </c>
      <c r="P112" s="195">
        <v>900913.0</v>
      </c>
      <c r="Q112" s="15"/>
      <c r="R112" s="174" t="s">
        <v>335</v>
      </c>
      <c r="S112" s="172">
        <v>54755.0</v>
      </c>
      <c r="T112" s="172">
        <v>193756.0</v>
      </c>
      <c r="U112" s="172">
        <v>48900.0</v>
      </c>
      <c r="V112" s="172">
        <v>-49241.0</v>
      </c>
      <c r="W112" s="172">
        <v>-64049.0</v>
      </c>
      <c r="X112" s="173">
        <v>-106029.0</v>
      </c>
      <c r="Y112" s="15"/>
      <c r="Z112" s="174" t="s">
        <v>336</v>
      </c>
      <c r="AA112" s="199">
        <v>0.0778</v>
      </c>
      <c r="AB112" s="199">
        <v>0.0852</v>
      </c>
      <c r="AC112" s="199">
        <v>0.1335</v>
      </c>
      <c r="AD112" s="199">
        <v>0.128</v>
      </c>
      <c r="AE112" s="199">
        <v>0.1323</v>
      </c>
      <c r="AF112" s="200">
        <v>0.0969</v>
      </c>
      <c r="AG112" s="179"/>
      <c r="AH112" s="179"/>
      <c r="AI112" s="179"/>
      <c r="AJ112" s="179"/>
      <c r="AK112" s="179"/>
      <c r="AL112" s="179"/>
      <c r="AM112" s="179"/>
      <c r="AN112" s="196" t="s">
        <v>337</v>
      </c>
      <c r="AO112" s="30"/>
      <c r="AP112" s="179"/>
      <c r="AQ112" s="15" t="s">
        <v>338</v>
      </c>
      <c r="AR112" s="156">
        <v>2.247025099E9</v>
      </c>
      <c r="AS112" s="156">
        <v>1.93346633E9</v>
      </c>
      <c r="AT112" s="156">
        <v>2.261409556E9</v>
      </c>
      <c r="AU112" s="156">
        <v>2.172934143E9</v>
      </c>
      <c r="AV112" s="156">
        <v>1.379457491E9</v>
      </c>
      <c r="AW112" s="156">
        <v>1.076250706E9</v>
      </c>
      <c r="AX112" s="15"/>
      <c r="AY112" s="15"/>
      <c r="AZ112" s="56"/>
      <c r="BA112" s="56"/>
      <c r="BB112" s="15"/>
      <c r="BC112" s="56"/>
      <c r="BD112" s="56"/>
      <c r="BE112" s="56"/>
      <c r="BF112" s="56"/>
      <c r="BG112" s="56"/>
      <c r="BH112" s="56"/>
      <c r="BI112" s="56"/>
      <c r="BJ112" s="56"/>
      <c r="BK112" s="56"/>
      <c r="BL112" s="179"/>
      <c r="BM112" s="179"/>
      <c r="BN112" s="179"/>
      <c r="BO112" s="179"/>
      <c r="BP112" s="179"/>
      <c r="BQ112" s="179"/>
      <c r="BR112" s="179"/>
      <c r="BS112" s="179"/>
      <c r="BT112" s="179"/>
      <c r="BU112" s="179"/>
      <c r="BV112" s="179"/>
      <c r="BW112" s="179"/>
      <c r="BX112" s="179"/>
      <c r="BY112" s="179"/>
      <c r="BZ112" s="179"/>
      <c r="CA112" s="179"/>
      <c r="CB112" s="179"/>
      <c r="CC112" s="179"/>
      <c r="CD112" s="179"/>
      <c r="CE112" s="179"/>
      <c r="CF112" s="179"/>
      <c r="CG112" s="179"/>
      <c r="CH112" s="179"/>
      <c r="CI112" s="179"/>
      <c r="CJ112" s="179"/>
      <c r="CK112" s="179"/>
      <c r="CL112" s="179"/>
      <c r="CM112" s="179"/>
      <c r="CN112" s="179"/>
      <c r="CO112" s="179"/>
      <c r="CP112" s="179"/>
      <c r="CQ112" s="179"/>
      <c r="CR112" s="179"/>
      <c r="CS112" s="179"/>
      <c r="CT112" s="179"/>
      <c r="CU112" s="179"/>
      <c r="CV112" s="179"/>
      <c r="CW112" s="179"/>
      <c r="CX112" s="179"/>
      <c r="CY112" s="179"/>
      <c r="CZ112" s="179"/>
      <c r="DA112" s="179"/>
      <c r="DB112" s="15"/>
      <c r="DC112" s="15"/>
      <c r="DD112" s="15"/>
    </row>
    <row r="113" outlineLevel="1">
      <c r="A113" s="15"/>
      <c r="B113" s="157" t="s">
        <v>339</v>
      </c>
      <c r="C113" s="176">
        <v>-0.1714</v>
      </c>
      <c r="D113" s="176">
        <v>-0.3258</v>
      </c>
      <c r="E113" s="176">
        <v>-0.0676</v>
      </c>
      <c r="F113" s="177">
        <v>0.2159</v>
      </c>
      <c r="G113" s="177">
        <v>1.0211</v>
      </c>
      <c r="H113" s="178">
        <v>0.4525</v>
      </c>
      <c r="I113" s="15"/>
      <c r="J113" s="174" t="s">
        <v>340</v>
      </c>
      <c r="K113" s="172">
        <v>512500.0</v>
      </c>
      <c r="L113" s="172">
        <v>512500.0</v>
      </c>
      <c r="M113" s="172">
        <v>512500.0</v>
      </c>
      <c r="N113" s="172">
        <v>512500.0</v>
      </c>
      <c r="O113" s="172">
        <v>512500.0</v>
      </c>
      <c r="P113" s="173">
        <v>512500.0</v>
      </c>
      <c r="Q113" s="15"/>
      <c r="R113" s="174" t="s">
        <v>341</v>
      </c>
      <c r="S113" s="172">
        <v>96519.0</v>
      </c>
      <c r="T113" s="172">
        <v>235916.0</v>
      </c>
      <c r="U113" s="172">
        <v>99838.0</v>
      </c>
      <c r="V113" s="172">
        <v>-8130.0</v>
      </c>
      <c r="W113" s="172">
        <v>-21072.0</v>
      </c>
      <c r="X113" s="173">
        <v>-84912.0</v>
      </c>
      <c r="Y113" s="15"/>
      <c r="Z113" s="174" t="s">
        <v>342</v>
      </c>
      <c r="AA113" s="199">
        <v>0.1174</v>
      </c>
      <c r="AB113" s="199">
        <v>0.1316</v>
      </c>
      <c r="AC113" s="199">
        <v>0.2177</v>
      </c>
      <c r="AD113" s="199">
        <v>0.2595</v>
      </c>
      <c r="AE113" s="199">
        <v>0.2749</v>
      </c>
      <c r="AF113" s="200">
        <v>0.1601</v>
      </c>
      <c r="AG113" s="179"/>
      <c r="AH113" s="179"/>
      <c r="AI113" s="179"/>
      <c r="AJ113" s="179"/>
      <c r="AK113" s="179"/>
      <c r="AL113" s="179"/>
      <c r="AM113" s="179"/>
      <c r="AN113" s="196" t="s">
        <v>343</v>
      </c>
      <c r="AO113" s="30"/>
      <c r="AP113" s="179"/>
      <c r="AQ113" s="15" t="s">
        <v>344</v>
      </c>
      <c r="AR113" s="156">
        <v>2.114880447E9</v>
      </c>
      <c r="AS113" s="156">
        <v>1.601055726E9</v>
      </c>
      <c r="AT113" s="156">
        <v>1.96317719E9</v>
      </c>
      <c r="AU113" s="156">
        <v>1.654207557E9</v>
      </c>
      <c r="AV113" s="156">
        <v>9.8163639E8</v>
      </c>
      <c r="AW113" s="156">
        <v>3.74453599E8</v>
      </c>
      <c r="AX113" s="15"/>
      <c r="AY113" s="15"/>
      <c r="AZ113" s="15"/>
      <c r="BA113" s="15"/>
      <c r="BB113" s="15"/>
      <c r="BC113" s="56"/>
      <c r="BD113" s="56"/>
      <c r="BE113" s="56"/>
      <c r="BF113" s="56"/>
      <c r="BG113" s="56"/>
      <c r="BH113" s="56"/>
      <c r="BI113" s="56"/>
      <c r="BJ113" s="56"/>
      <c r="BK113" s="56"/>
      <c r="BL113" s="179"/>
      <c r="BM113" s="179"/>
      <c r="BN113" s="179"/>
      <c r="BO113" s="179"/>
      <c r="BP113" s="179"/>
      <c r="BQ113" s="179"/>
      <c r="BR113" s="179"/>
      <c r="BS113" s="179"/>
      <c r="BT113" s="179"/>
      <c r="BU113" s="179"/>
      <c r="BV113" s="179"/>
      <c r="BW113" s="179"/>
      <c r="BX113" s="179"/>
      <c r="BY113" s="179"/>
      <c r="BZ113" s="179"/>
      <c r="CA113" s="179"/>
      <c r="CB113" s="179"/>
      <c r="CC113" s="179"/>
      <c r="CD113" s="179"/>
      <c r="CE113" s="179"/>
      <c r="CF113" s="179"/>
      <c r="CG113" s="179"/>
      <c r="CH113" s="179"/>
      <c r="CI113" s="179"/>
      <c r="CJ113" s="179"/>
      <c r="CK113" s="179"/>
      <c r="CL113" s="179"/>
      <c r="CM113" s="179"/>
      <c r="CN113" s="179"/>
      <c r="CO113" s="179"/>
      <c r="CP113" s="179"/>
      <c r="CQ113" s="179"/>
      <c r="CR113" s="179"/>
      <c r="CS113" s="179"/>
      <c r="CT113" s="179"/>
      <c r="CU113" s="179"/>
      <c r="CV113" s="179"/>
      <c r="CW113" s="179"/>
      <c r="CX113" s="179"/>
      <c r="CY113" s="179"/>
      <c r="CZ113" s="179"/>
      <c r="DA113" s="179"/>
      <c r="DB113" s="15"/>
      <c r="DC113" s="15"/>
      <c r="DD113" s="15"/>
    </row>
    <row r="114" outlineLevel="1">
      <c r="A114" s="15"/>
      <c r="B114" s="174" t="s">
        <v>303</v>
      </c>
      <c r="C114" s="172">
        <v>110764.0</v>
      </c>
      <c r="D114" s="172">
        <v>251136.0</v>
      </c>
      <c r="E114" s="172">
        <v>124677.0</v>
      </c>
      <c r="F114" s="172">
        <v>35579.0</v>
      </c>
      <c r="G114" s="188">
        <v>-845.16</v>
      </c>
      <c r="H114" s="173">
        <v>-65562.0</v>
      </c>
      <c r="I114" s="15"/>
      <c r="J114" s="174" t="s">
        <v>345</v>
      </c>
      <c r="K114" s="172">
        <v>12031.0</v>
      </c>
      <c r="L114" s="172">
        <v>12031.0</v>
      </c>
      <c r="M114" s="172">
        <v>12031.0</v>
      </c>
      <c r="N114" s="172">
        <v>12031.0</v>
      </c>
      <c r="O114" s="172">
        <v>12031.0</v>
      </c>
      <c r="P114" s="173">
        <v>12031.0</v>
      </c>
      <c r="Q114" s="15"/>
      <c r="R114" s="15"/>
      <c r="S114" s="15"/>
      <c r="T114" s="15"/>
      <c r="U114" s="15"/>
      <c r="V114" s="15"/>
      <c r="W114" s="15"/>
      <c r="X114" s="15"/>
      <c r="Y114" s="15"/>
      <c r="Z114" s="174" t="s">
        <v>346</v>
      </c>
      <c r="AA114" s="199">
        <v>0.197</v>
      </c>
      <c r="AB114" s="199">
        <v>0.203</v>
      </c>
      <c r="AC114" s="199">
        <v>0.35</v>
      </c>
      <c r="AD114" s="199">
        <v>0.419</v>
      </c>
      <c r="AE114" s="199">
        <v>0.44</v>
      </c>
      <c r="AF114" s="200">
        <v>0.274</v>
      </c>
      <c r="AG114" s="179"/>
      <c r="AH114" s="179"/>
      <c r="AI114" s="179"/>
      <c r="AJ114" s="179"/>
      <c r="AK114" s="179"/>
      <c r="AL114" s="179"/>
      <c r="AM114" s="179"/>
      <c r="AN114" s="40" t="s">
        <v>347</v>
      </c>
      <c r="AO114" s="30"/>
      <c r="AP114" s="179"/>
      <c r="AQ114" s="15" t="s">
        <v>348</v>
      </c>
      <c r="AR114" s="156">
        <v>2.42576716E8</v>
      </c>
      <c r="AS114" s="156">
        <v>2.3164822E8</v>
      </c>
      <c r="AT114" s="156">
        <v>2.09351498E8</v>
      </c>
      <c r="AU114" s="156">
        <v>2.32518485E8</v>
      </c>
      <c r="AV114" s="156">
        <v>1.69110628E8</v>
      </c>
      <c r="AW114" s="156">
        <v>1.06941169E8</v>
      </c>
      <c r="AX114" s="15"/>
      <c r="AY114" s="15"/>
      <c r="AZ114" s="15"/>
      <c r="BA114" s="15"/>
      <c r="BB114" s="15"/>
      <c r="BC114" s="56"/>
      <c r="BD114" s="56"/>
      <c r="BE114" s="56"/>
      <c r="BF114" s="56"/>
      <c r="BG114" s="56"/>
      <c r="BH114" s="56"/>
      <c r="BI114" s="56"/>
      <c r="BJ114" s="56"/>
      <c r="BK114" s="56"/>
      <c r="BL114" s="179"/>
      <c r="BM114" s="179"/>
      <c r="BN114" s="179"/>
      <c r="BO114" s="179"/>
      <c r="BP114" s="179"/>
      <c r="BQ114" s="179"/>
      <c r="BR114" s="179"/>
      <c r="BS114" s="179"/>
      <c r="BT114" s="179"/>
      <c r="BU114" s="179"/>
      <c r="BV114" s="179"/>
      <c r="BW114" s="179"/>
      <c r="BX114" s="179"/>
      <c r="BY114" s="179"/>
      <c r="BZ114" s="179"/>
      <c r="CA114" s="179"/>
      <c r="CB114" s="179"/>
      <c r="CC114" s="179"/>
      <c r="CD114" s="179"/>
      <c r="CE114" s="179"/>
      <c r="CF114" s="179"/>
      <c r="CG114" s="179"/>
      <c r="CH114" s="179"/>
      <c r="CI114" s="179"/>
      <c r="CJ114" s="179"/>
      <c r="CK114" s="179"/>
      <c r="CL114" s="179"/>
      <c r="CM114" s="179"/>
      <c r="CN114" s="179"/>
      <c r="CO114" s="179"/>
      <c r="CP114" s="179"/>
      <c r="CQ114" s="179"/>
      <c r="CR114" s="179"/>
      <c r="CS114" s="179"/>
      <c r="CT114" s="179"/>
      <c r="CU114" s="179"/>
      <c r="CV114" s="179"/>
      <c r="CW114" s="179"/>
      <c r="CX114" s="179"/>
      <c r="CY114" s="179"/>
      <c r="CZ114" s="179"/>
      <c r="DA114" s="179"/>
      <c r="DB114" s="15"/>
      <c r="DC114" s="15"/>
      <c r="DD114" s="15"/>
    </row>
    <row r="115" outlineLevel="1">
      <c r="A115" s="15"/>
      <c r="B115" s="174" t="s">
        <v>319</v>
      </c>
      <c r="C115" s="182">
        <v>10.81</v>
      </c>
      <c r="D115" s="182">
        <v>24.5</v>
      </c>
      <c r="E115" s="182">
        <v>12.16</v>
      </c>
      <c r="F115" s="182">
        <v>3.47</v>
      </c>
      <c r="G115" s="182">
        <v>-0.08</v>
      </c>
      <c r="H115" s="183">
        <v>-6.4</v>
      </c>
      <c r="I115" s="15"/>
      <c r="J115" s="174" t="s">
        <v>349</v>
      </c>
      <c r="K115" s="172">
        <v>1080806.0</v>
      </c>
      <c r="L115" s="172">
        <v>1043184.0</v>
      </c>
      <c r="M115" s="172">
        <v>982513.0</v>
      </c>
      <c r="N115" s="172">
        <v>813774.0</v>
      </c>
      <c r="O115" s="172">
        <v>561172.0</v>
      </c>
      <c r="P115" s="173">
        <v>312596.0</v>
      </c>
      <c r="Q115" s="15"/>
      <c r="R115" s="15"/>
      <c r="S115" s="15"/>
      <c r="T115" s="15"/>
      <c r="U115" s="15"/>
      <c r="V115" s="15"/>
      <c r="W115" s="15"/>
      <c r="X115" s="15"/>
      <c r="Y115" s="15"/>
      <c r="Z115" s="174" t="s">
        <v>350</v>
      </c>
      <c r="AA115" s="199">
        <v>0.0867</v>
      </c>
      <c r="AB115" s="199">
        <v>0.0809</v>
      </c>
      <c r="AC115" s="199">
        <v>0.0954</v>
      </c>
      <c r="AD115" s="199">
        <v>0.1064</v>
      </c>
      <c r="AE115" s="199">
        <v>0.1387</v>
      </c>
      <c r="AF115" s="200">
        <v>0.0295</v>
      </c>
      <c r="AG115" s="179"/>
      <c r="AH115" s="179"/>
      <c r="AI115" s="179"/>
      <c r="AJ115" s="179"/>
      <c r="AK115" s="179"/>
      <c r="AL115" s="179"/>
      <c r="AM115" s="179"/>
      <c r="AN115" s="191" t="s">
        <v>351</v>
      </c>
      <c r="AO115" s="30"/>
      <c r="AP115" s="179"/>
      <c r="AQ115" s="15" t="s">
        <v>352</v>
      </c>
      <c r="AR115" s="156">
        <v>1.90946431E8</v>
      </c>
      <c r="AS115" s="156">
        <v>3.14294689E8</v>
      </c>
      <c r="AT115" s="156">
        <v>4.75846567E8</v>
      </c>
      <c r="AU115" s="156">
        <v>3.36988007E8</v>
      </c>
      <c r="AV115" s="156">
        <v>3.5500067E8</v>
      </c>
      <c r="AW115" s="156">
        <v>5.55342604E8</v>
      </c>
      <c r="AX115" s="15"/>
      <c r="AY115" s="15"/>
      <c r="AZ115" s="15"/>
      <c r="BA115" s="15"/>
      <c r="BB115" s="15"/>
      <c r="BC115" s="56"/>
      <c r="BD115" s="56"/>
      <c r="BE115" s="56"/>
      <c r="BF115" s="56"/>
      <c r="BG115" s="56"/>
      <c r="BH115" s="56"/>
      <c r="BI115" s="56"/>
      <c r="BJ115" s="56"/>
      <c r="BK115" s="56"/>
      <c r="BL115" s="179"/>
      <c r="BM115" s="179"/>
      <c r="BN115" s="179"/>
      <c r="BO115" s="179"/>
      <c r="BP115" s="179"/>
      <c r="BQ115" s="179"/>
      <c r="BR115" s="179"/>
      <c r="BS115" s="179"/>
      <c r="BT115" s="179"/>
      <c r="BU115" s="179"/>
      <c r="BV115" s="179"/>
      <c r="BW115" s="179"/>
      <c r="BX115" s="179"/>
      <c r="BY115" s="179"/>
      <c r="BZ115" s="179"/>
      <c r="CA115" s="179"/>
      <c r="CB115" s="179"/>
      <c r="CC115" s="179"/>
      <c r="CD115" s="179"/>
      <c r="CE115" s="179"/>
      <c r="CF115" s="179"/>
      <c r="CG115" s="179"/>
      <c r="CH115" s="179"/>
      <c r="CI115" s="179"/>
      <c r="CJ115" s="179"/>
      <c r="CK115" s="179"/>
      <c r="CL115" s="179"/>
      <c r="CM115" s="179"/>
      <c r="CN115" s="179"/>
      <c r="CO115" s="179"/>
      <c r="CP115" s="179"/>
      <c r="CQ115" s="179"/>
      <c r="CR115" s="179"/>
      <c r="CS115" s="179"/>
      <c r="CT115" s="179"/>
      <c r="CU115" s="179"/>
      <c r="CV115" s="179"/>
      <c r="CW115" s="179"/>
      <c r="CX115" s="179"/>
      <c r="CY115" s="179"/>
      <c r="CZ115" s="179"/>
      <c r="DA115" s="179"/>
      <c r="DB115" s="15"/>
      <c r="DC115" s="15"/>
      <c r="DD115" s="15"/>
    </row>
    <row r="116" outlineLevel="1">
      <c r="A116" s="15"/>
      <c r="B116" s="174" t="s">
        <v>353</v>
      </c>
      <c r="C116" s="188" t="s">
        <v>209</v>
      </c>
      <c r="D116" s="188" t="s">
        <v>209</v>
      </c>
      <c r="E116" s="188">
        <v>19.0</v>
      </c>
      <c r="F116" s="188">
        <v>20.5</v>
      </c>
      <c r="G116" s="188">
        <v>15.0</v>
      </c>
      <c r="H116" s="189">
        <v>8.35</v>
      </c>
      <c r="I116" s="15"/>
      <c r="J116" s="174" t="s">
        <v>354</v>
      </c>
      <c r="K116" s="172">
        <v>263624.0</v>
      </c>
      <c r="L116" s="172">
        <v>263624.0</v>
      </c>
      <c r="M116" s="188">
        <v>-206.51</v>
      </c>
      <c r="N116" s="172">
        <v>-1882.0</v>
      </c>
      <c r="O116" s="172">
        <v>-1254.0</v>
      </c>
      <c r="P116" s="173">
        <v>-1278.0</v>
      </c>
      <c r="Q116" s="15"/>
      <c r="R116" s="15"/>
      <c r="S116" s="15"/>
      <c r="T116" s="15"/>
      <c r="U116" s="15"/>
      <c r="V116" s="15"/>
      <c r="W116" s="15"/>
      <c r="X116" s="15"/>
      <c r="Y116" s="15"/>
      <c r="Z116" s="174" t="s">
        <v>355</v>
      </c>
      <c r="AA116" s="199">
        <v>0.0386</v>
      </c>
      <c r="AB116" s="199">
        <v>0.0795</v>
      </c>
      <c r="AC116" s="199">
        <v>0.0314</v>
      </c>
      <c r="AD116" s="199">
        <v>0.0093</v>
      </c>
      <c r="AE116" s="199">
        <v>-3.0E-4</v>
      </c>
      <c r="AF116" s="200">
        <v>-0.0117</v>
      </c>
      <c r="AG116" s="179"/>
      <c r="AH116" s="179"/>
      <c r="AI116" s="179"/>
      <c r="AJ116" s="179"/>
      <c r="AK116" s="179"/>
      <c r="AL116" s="179"/>
      <c r="AM116" s="179"/>
      <c r="AN116" s="15"/>
      <c r="AO116" s="15"/>
      <c r="AP116" s="179"/>
      <c r="AQ116" s="15" t="s">
        <v>356</v>
      </c>
      <c r="AR116" s="15"/>
      <c r="AS116" s="15"/>
      <c r="AT116" s="156">
        <v>5.70208334E8</v>
      </c>
      <c r="AU116" s="156">
        <v>1.509375E9</v>
      </c>
      <c r="AV116" s="156">
        <v>1.509375E9</v>
      </c>
      <c r="AW116" s="156">
        <v>1.509375E9</v>
      </c>
      <c r="AX116" s="15"/>
      <c r="AY116" s="15"/>
      <c r="AZ116" s="15"/>
      <c r="BA116" s="15"/>
      <c r="BB116" s="15"/>
      <c r="BC116" s="56"/>
      <c r="BD116" s="56"/>
      <c r="BE116" s="56"/>
      <c r="BF116" s="56"/>
      <c r="BG116" s="56"/>
      <c r="BH116" s="56"/>
      <c r="BI116" s="56"/>
      <c r="BJ116" s="56"/>
      <c r="BK116" s="56"/>
      <c r="BL116" s="179"/>
      <c r="BM116" s="179"/>
      <c r="BN116" s="179"/>
      <c r="BO116" s="179"/>
      <c r="BP116" s="179"/>
      <c r="BQ116" s="179"/>
      <c r="BR116" s="179"/>
      <c r="BS116" s="179"/>
      <c r="BT116" s="179"/>
      <c r="BU116" s="179"/>
      <c r="BV116" s="179"/>
      <c r="BW116" s="179"/>
      <c r="BX116" s="179"/>
      <c r="BY116" s="179"/>
      <c r="BZ116" s="179"/>
      <c r="CA116" s="179"/>
      <c r="CB116" s="179"/>
      <c r="CC116" s="179"/>
      <c r="CD116" s="179"/>
      <c r="CE116" s="179"/>
      <c r="CF116" s="179"/>
      <c r="CG116" s="179"/>
      <c r="CH116" s="179"/>
      <c r="CI116" s="179"/>
      <c r="CJ116" s="179"/>
      <c r="CK116" s="179"/>
      <c r="CL116" s="179"/>
      <c r="CM116" s="179"/>
      <c r="CN116" s="179"/>
      <c r="CO116" s="179"/>
      <c r="CP116" s="179"/>
      <c r="CQ116" s="179"/>
      <c r="CR116" s="179"/>
      <c r="CS116" s="179"/>
      <c r="CT116" s="179"/>
      <c r="CU116" s="179"/>
      <c r="CV116" s="179"/>
      <c r="CW116" s="179"/>
      <c r="CX116" s="179"/>
      <c r="CY116" s="179"/>
      <c r="CZ116" s="179"/>
      <c r="DA116" s="179"/>
      <c r="DB116" s="15"/>
      <c r="DC116" s="15"/>
      <c r="DD116" s="15"/>
    </row>
    <row r="117" outlineLevel="1">
      <c r="A117" s="15"/>
      <c r="B117" s="157" t="s">
        <v>357</v>
      </c>
      <c r="C117" s="201" t="s">
        <v>209</v>
      </c>
      <c r="D117" s="201" t="s">
        <v>209</v>
      </c>
      <c r="E117" s="176">
        <v>-0.0732</v>
      </c>
      <c r="F117" s="177">
        <v>0.3667</v>
      </c>
      <c r="G117" s="177">
        <v>0.7964</v>
      </c>
      <c r="H117" s="202">
        <v>-0.0413</v>
      </c>
      <c r="I117" s="15"/>
      <c r="J117" s="174" t="s">
        <v>358</v>
      </c>
      <c r="K117" s="172">
        <v>1868961.0</v>
      </c>
      <c r="L117" s="172">
        <v>1831339.0</v>
      </c>
      <c r="M117" s="172">
        <v>1506838.0</v>
      </c>
      <c r="N117" s="172">
        <v>1336423.0</v>
      </c>
      <c r="O117" s="172">
        <v>1084449.0</v>
      </c>
      <c r="P117" s="173">
        <v>835849.0</v>
      </c>
      <c r="Q117" s="15"/>
      <c r="R117" s="15"/>
      <c r="S117" s="15"/>
      <c r="T117" s="15"/>
      <c r="U117" s="15"/>
      <c r="V117" s="15"/>
      <c r="W117" s="15"/>
      <c r="X117" s="15"/>
      <c r="Y117" s="15"/>
      <c r="Z117" s="174" t="s">
        <v>359</v>
      </c>
      <c r="AA117" s="199">
        <v>0.0679</v>
      </c>
      <c r="AB117" s="188" t="s">
        <v>209</v>
      </c>
      <c r="AC117" s="199">
        <v>0.0538</v>
      </c>
      <c r="AD117" s="199">
        <v>0.0639</v>
      </c>
      <c r="AE117" s="199">
        <v>0.0772</v>
      </c>
      <c r="AF117" s="200">
        <v>0.0191</v>
      </c>
      <c r="AG117" s="179"/>
      <c r="AH117" s="179"/>
      <c r="AI117" s="179"/>
      <c r="AJ117" s="179"/>
      <c r="AK117" s="179"/>
      <c r="AL117" s="179"/>
      <c r="AM117" s="179"/>
      <c r="AN117" s="15"/>
      <c r="AO117" s="15"/>
      <c r="AP117" s="179"/>
      <c r="AQ117" s="15" t="s">
        <v>360</v>
      </c>
      <c r="AR117" s="156">
        <v>2.17974631E8</v>
      </c>
      <c r="AS117" s="156">
        <v>4.64507711E8</v>
      </c>
      <c r="AT117" s="156">
        <v>5.9121629E8</v>
      </c>
      <c r="AU117" s="156">
        <v>6.43717329E8</v>
      </c>
      <c r="AV117" s="156">
        <v>1.316343408E9</v>
      </c>
      <c r="AW117" s="156">
        <v>3.05317714E8</v>
      </c>
      <c r="AX117" s="15"/>
      <c r="AY117" s="15"/>
      <c r="AZ117" s="15"/>
      <c r="BA117" s="15"/>
      <c r="BB117" s="15"/>
      <c r="BC117" s="56"/>
      <c r="BD117" s="56"/>
      <c r="BE117" s="56"/>
      <c r="BF117" s="56"/>
      <c r="BG117" s="56"/>
      <c r="BH117" s="56"/>
      <c r="BI117" s="56"/>
      <c r="BJ117" s="56"/>
      <c r="BK117" s="56"/>
      <c r="BL117" s="179"/>
      <c r="BM117" s="179"/>
      <c r="BN117" s="179"/>
      <c r="BO117" s="179"/>
      <c r="BP117" s="179"/>
      <c r="BQ117" s="179"/>
      <c r="BR117" s="179"/>
      <c r="BS117" s="179"/>
      <c r="BT117" s="179"/>
      <c r="BU117" s="179"/>
      <c r="BV117" s="179"/>
      <c r="BW117" s="179"/>
      <c r="BX117" s="179"/>
      <c r="BY117" s="179"/>
      <c r="BZ117" s="179"/>
      <c r="CA117" s="179"/>
      <c r="CB117" s="179"/>
      <c r="CC117" s="179"/>
      <c r="CD117" s="179"/>
      <c r="CE117" s="179"/>
      <c r="CF117" s="179"/>
      <c r="CG117" s="179"/>
      <c r="CH117" s="179"/>
      <c r="CI117" s="179"/>
      <c r="CJ117" s="179"/>
      <c r="CK117" s="179"/>
      <c r="CL117" s="179"/>
      <c r="CM117" s="179"/>
      <c r="CN117" s="179"/>
      <c r="CO117" s="179"/>
      <c r="CP117" s="179"/>
      <c r="CQ117" s="179"/>
      <c r="CR117" s="179"/>
      <c r="CS117" s="179"/>
      <c r="CT117" s="179"/>
      <c r="CU117" s="179"/>
      <c r="CV117" s="179"/>
      <c r="CW117" s="179"/>
      <c r="CX117" s="179"/>
      <c r="CY117" s="179"/>
      <c r="CZ117" s="179"/>
      <c r="DA117" s="179"/>
      <c r="DB117" s="15"/>
      <c r="DC117" s="15"/>
      <c r="DD117" s="15"/>
    </row>
    <row r="118" outlineLevel="1">
      <c r="A118" s="15"/>
      <c r="B118" s="174" t="s">
        <v>361</v>
      </c>
      <c r="C118" s="199">
        <v>0.2109</v>
      </c>
      <c r="D118" s="199">
        <v>0.2125</v>
      </c>
      <c r="E118" s="199">
        <v>0.246</v>
      </c>
      <c r="F118" s="199">
        <v>0.2452</v>
      </c>
      <c r="G118" s="199">
        <v>0.2402</v>
      </c>
      <c r="H118" s="200">
        <v>0.2559</v>
      </c>
      <c r="I118" s="15"/>
      <c r="J118" s="174" t="s">
        <v>362</v>
      </c>
      <c r="K118" s="172">
        <v>58203.0</v>
      </c>
      <c r="L118" s="172">
        <v>57015.0</v>
      </c>
      <c r="M118" s="172">
        <v>55111.0</v>
      </c>
      <c r="N118" s="172">
        <v>43654.0</v>
      </c>
      <c r="O118" s="172">
        <v>35871.0</v>
      </c>
      <c r="P118" s="173">
        <v>26362.0</v>
      </c>
      <c r="Q118" s="15"/>
      <c r="R118" s="15"/>
      <c r="S118" s="15"/>
      <c r="T118" s="15"/>
      <c r="U118" s="15"/>
      <c r="V118" s="15"/>
      <c r="W118" s="15"/>
      <c r="X118" s="15"/>
      <c r="Y118" s="15"/>
      <c r="Z118" s="174" t="s">
        <v>363</v>
      </c>
      <c r="AA118" s="199">
        <v>0.8233</v>
      </c>
      <c r="AB118" s="199">
        <v>0.8022</v>
      </c>
      <c r="AC118" s="199">
        <v>0.5719</v>
      </c>
      <c r="AD118" s="199">
        <v>0.3929</v>
      </c>
      <c r="AE118" s="199">
        <v>0.2561</v>
      </c>
      <c r="AF118" s="200">
        <v>0.5399</v>
      </c>
      <c r="AG118" s="179"/>
      <c r="AH118" s="179"/>
      <c r="AI118" s="179"/>
      <c r="AJ118" s="179"/>
      <c r="AK118" s="179"/>
      <c r="AL118" s="179"/>
      <c r="AM118" s="179"/>
      <c r="AN118" s="151" t="s">
        <v>364</v>
      </c>
      <c r="AO118" s="15"/>
      <c r="AP118" s="179"/>
      <c r="AQ118" s="15" t="s">
        <v>365</v>
      </c>
      <c r="AR118" s="156">
        <v>-4.2763491429E10</v>
      </c>
      <c r="AS118" s="156">
        <v>-3.5785047862E10</v>
      </c>
      <c r="AT118" s="156">
        <v>-4.38127293E10</v>
      </c>
      <c r="AU118" s="156">
        <v>-4.5247237926E10</v>
      </c>
      <c r="AV118" s="156">
        <v>-3.6927345531E10</v>
      </c>
      <c r="AW118" s="156">
        <v>-1.6658478178E10</v>
      </c>
      <c r="AX118" s="15"/>
      <c r="AY118" s="15"/>
      <c r="AZ118" s="15"/>
      <c r="BA118" s="15"/>
      <c r="BB118" s="15"/>
      <c r="BC118" s="56"/>
      <c r="BD118" s="56"/>
      <c r="BE118" s="56"/>
      <c r="BF118" s="56"/>
      <c r="BG118" s="56"/>
      <c r="BH118" s="56"/>
      <c r="BI118" s="56"/>
      <c r="BJ118" s="56"/>
      <c r="BK118" s="56"/>
      <c r="BL118" s="179"/>
      <c r="BM118" s="179"/>
      <c r="BN118" s="179"/>
      <c r="BO118" s="179"/>
      <c r="BP118" s="179"/>
      <c r="BQ118" s="179"/>
      <c r="BR118" s="179"/>
      <c r="BS118" s="179"/>
      <c r="BT118" s="179"/>
      <c r="BU118" s="179"/>
      <c r="BV118" s="179"/>
      <c r="BW118" s="179"/>
      <c r="BX118" s="179"/>
      <c r="BY118" s="179"/>
      <c r="BZ118" s="179"/>
      <c r="CA118" s="179"/>
      <c r="CB118" s="179"/>
      <c r="CC118" s="179"/>
      <c r="CD118" s="179"/>
      <c r="CE118" s="179"/>
      <c r="CF118" s="179"/>
      <c r="CG118" s="179"/>
      <c r="CH118" s="179"/>
      <c r="CI118" s="179"/>
      <c r="CJ118" s="179"/>
      <c r="CK118" s="179"/>
      <c r="CL118" s="179"/>
      <c r="CM118" s="179"/>
      <c r="CN118" s="179"/>
      <c r="CO118" s="179"/>
      <c r="CP118" s="179"/>
      <c r="CQ118" s="179"/>
      <c r="CR118" s="179"/>
      <c r="CS118" s="179"/>
      <c r="CT118" s="179"/>
      <c r="CU118" s="179"/>
      <c r="CV118" s="179"/>
      <c r="CW118" s="179"/>
      <c r="CX118" s="179"/>
      <c r="CY118" s="179"/>
      <c r="CZ118" s="179"/>
      <c r="DA118" s="179"/>
      <c r="DB118" s="15"/>
      <c r="DC118" s="15"/>
      <c r="DD118" s="15"/>
    </row>
    <row r="119" outlineLevel="1">
      <c r="A119" s="15"/>
      <c r="B119" s="174" t="s">
        <v>366</v>
      </c>
      <c r="C119" s="199">
        <v>0.1018</v>
      </c>
      <c r="D119" s="203">
        <v>0.0998</v>
      </c>
      <c r="E119" s="199">
        <v>0.1242</v>
      </c>
      <c r="F119" s="199">
        <v>0.1352</v>
      </c>
      <c r="G119" s="199">
        <v>0.1394</v>
      </c>
      <c r="H119" s="200">
        <v>0.1299</v>
      </c>
      <c r="I119" s="15"/>
      <c r="J119" s="193" t="s">
        <v>367</v>
      </c>
      <c r="K119" s="204">
        <v>1927165.0</v>
      </c>
      <c r="L119" s="204">
        <v>1888354.0</v>
      </c>
      <c r="M119" s="204">
        <v>1561948.0</v>
      </c>
      <c r="N119" s="204">
        <v>1380077.0</v>
      </c>
      <c r="O119" s="204">
        <v>1120320.0</v>
      </c>
      <c r="P119" s="205">
        <v>862211.0</v>
      </c>
      <c r="Q119" s="15"/>
      <c r="R119" s="15"/>
      <c r="S119" s="15"/>
      <c r="T119" s="15"/>
      <c r="U119" s="15"/>
      <c r="V119" s="15"/>
      <c r="W119" s="15"/>
      <c r="X119" s="15"/>
      <c r="Y119" s="15"/>
      <c r="Z119" s="206" t="s">
        <v>368</v>
      </c>
      <c r="AA119" s="207">
        <v>0.0679</v>
      </c>
      <c r="AB119" s="208" t="s">
        <v>209</v>
      </c>
      <c r="AC119" s="207">
        <v>0.0538</v>
      </c>
      <c r="AD119" s="207">
        <v>0.0639</v>
      </c>
      <c r="AE119" s="207">
        <v>0.0772</v>
      </c>
      <c r="AF119" s="209">
        <v>0.0191</v>
      </c>
      <c r="AG119" s="210"/>
      <c r="AH119" s="56"/>
      <c r="AI119" s="56"/>
      <c r="AJ119" s="56"/>
      <c r="AK119" s="56"/>
      <c r="AL119" s="56"/>
      <c r="AM119" s="56"/>
      <c r="AN119" s="15"/>
      <c r="AO119" s="15"/>
      <c r="AP119" s="56"/>
      <c r="AQ119" s="15" t="s">
        <v>369</v>
      </c>
      <c r="AR119" s="156">
        <v>-4.2763491429E10</v>
      </c>
      <c r="AS119" s="156">
        <v>-3.5785047862E10</v>
      </c>
      <c r="AT119" s="156">
        <v>-4.38127293E10</v>
      </c>
      <c r="AU119" s="156">
        <v>-4.5247237926E10</v>
      </c>
      <c r="AV119" s="156">
        <v>-3.6927345531E10</v>
      </c>
      <c r="AW119" s="156">
        <v>-1.6658478178E10</v>
      </c>
      <c r="AX119" s="15"/>
      <c r="AY119" s="15"/>
      <c r="AZ119" s="15"/>
      <c r="BA119" s="15"/>
      <c r="BB119" s="15"/>
      <c r="BC119" s="56"/>
      <c r="BD119" s="56"/>
      <c r="BE119" s="56"/>
      <c r="BF119" s="56"/>
      <c r="BG119" s="56"/>
      <c r="BH119" s="56"/>
      <c r="BI119" s="56"/>
      <c r="BJ119" s="56"/>
      <c r="BK119" s="56"/>
      <c r="BL119" s="210"/>
      <c r="BM119" s="210"/>
      <c r="BN119" s="210"/>
      <c r="BO119" s="210"/>
      <c r="BP119" s="210"/>
      <c r="BQ119" s="210"/>
      <c r="BR119" s="210"/>
      <c r="BS119" s="210"/>
      <c r="BT119" s="210"/>
      <c r="BU119" s="210"/>
      <c r="BV119" s="210"/>
      <c r="BW119" s="210"/>
      <c r="BX119" s="210"/>
      <c r="BY119" s="210"/>
      <c r="BZ119" s="210"/>
      <c r="CA119" s="210"/>
      <c r="CB119" s="210"/>
      <c r="CC119" s="210"/>
      <c r="CD119" s="210"/>
      <c r="CE119" s="210"/>
      <c r="CF119" s="210"/>
      <c r="CG119" s="210"/>
      <c r="CH119" s="210"/>
      <c r="CI119" s="210"/>
      <c r="CJ119" s="210"/>
      <c r="CK119" s="210"/>
      <c r="CL119" s="210"/>
      <c r="CM119" s="210"/>
      <c r="CN119" s="210"/>
      <c r="CO119" s="210"/>
      <c r="CP119" s="210"/>
      <c r="CQ119" s="210"/>
      <c r="CR119" s="210"/>
      <c r="CS119" s="210"/>
      <c r="CT119" s="210"/>
      <c r="CU119" s="210"/>
      <c r="CV119" s="210"/>
      <c r="CW119" s="210"/>
      <c r="CX119" s="210"/>
      <c r="CY119" s="210"/>
      <c r="CZ119" s="210"/>
      <c r="DA119" s="210"/>
      <c r="DB119" s="15"/>
      <c r="DC119" s="15"/>
      <c r="DD119" s="15"/>
    </row>
    <row r="120" outlineLevel="1">
      <c r="A120" s="15"/>
      <c r="B120" s="174" t="s">
        <v>370</v>
      </c>
      <c r="C120" s="199">
        <v>0.0633</v>
      </c>
      <c r="D120" s="199">
        <v>0.0627</v>
      </c>
      <c r="E120" s="199">
        <v>0.079</v>
      </c>
      <c r="F120" s="199">
        <v>0.091</v>
      </c>
      <c r="G120" s="199">
        <v>0.0906</v>
      </c>
      <c r="H120" s="200">
        <v>0.0893</v>
      </c>
      <c r="I120" s="15"/>
      <c r="J120" s="174" t="s">
        <v>371</v>
      </c>
      <c r="K120" s="180">
        <v>3497033.0</v>
      </c>
      <c r="L120" s="180">
        <v>3175191.0</v>
      </c>
      <c r="M120" s="180">
        <v>2788362.0</v>
      </c>
      <c r="N120" s="180">
        <v>2793665.0</v>
      </c>
      <c r="O120" s="180">
        <v>3097782.0</v>
      </c>
      <c r="P120" s="181">
        <v>1763124.0</v>
      </c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40"/>
      <c r="AO120" s="21" t="str">
        <f>"Bulan "&amp;$C$3&amp;" 2026"</f>
        <v>Bulan  2026</v>
      </c>
      <c r="AP120" s="15"/>
      <c r="AQ120" s="15" t="s">
        <v>372</v>
      </c>
      <c r="AR120" s="156">
        <v>0.0</v>
      </c>
      <c r="AS120" s="156">
        <v>4.18236043E8</v>
      </c>
      <c r="AT120" s="156">
        <v>1.56887932E8</v>
      </c>
      <c r="AU120" s="156">
        <v>3.626250891E9</v>
      </c>
      <c r="AV120" s="156">
        <v>2.227810625E9</v>
      </c>
      <c r="AW120" s="156">
        <v>4.667074134E9</v>
      </c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</row>
    <row r="121" outlineLevel="1">
      <c r="A121" s="15"/>
      <c r="B121" s="174" t="s">
        <v>314</v>
      </c>
      <c r="C121" s="211">
        <v>0.0282</v>
      </c>
      <c r="D121" s="211">
        <v>0.0616</v>
      </c>
      <c r="E121" s="211">
        <v>0.026</v>
      </c>
      <c r="F121" s="211">
        <v>0.008</v>
      </c>
      <c r="G121" s="211">
        <v>-2.0E-4</v>
      </c>
      <c r="H121" s="212">
        <v>-0.0354</v>
      </c>
      <c r="I121" s="15"/>
      <c r="J121" s="174" t="s">
        <v>373</v>
      </c>
      <c r="K121" s="172">
        <v>913186.0</v>
      </c>
      <c r="L121" s="172">
        <v>773657.0</v>
      </c>
      <c r="M121" s="172">
        <v>773149.0</v>
      </c>
      <c r="N121" s="172">
        <v>785751.0</v>
      </c>
      <c r="O121" s="172">
        <v>828694.0</v>
      </c>
      <c r="P121" s="173">
        <v>531576.0</v>
      </c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40" t="s">
        <v>374</v>
      </c>
      <c r="AO121" s="30"/>
      <c r="AP121" s="15"/>
      <c r="AQ121" s="15" t="s">
        <v>375</v>
      </c>
      <c r="AR121" s="156">
        <v>1.2E8</v>
      </c>
      <c r="AS121" s="156">
        <v>1.25E8</v>
      </c>
      <c r="AT121" s="156">
        <v>8.5E7</v>
      </c>
      <c r="AU121" s="156">
        <v>6.75E7</v>
      </c>
      <c r="AV121" s="156">
        <v>8.0E7</v>
      </c>
      <c r="AW121" s="156">
        <v>6.25E7</v>
      </c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</row>
    <row r="122" outlineLevel="1">
      <c r="A122" s="15"/>
      <c r="B122" s="174" t="s">
        <v>376</v>
      </c>
      <c r="C122" s="172">
        <v>445637.0</v>
      </c>
      <c r="D122" s="172">
        <v>449372.0</v>
      </c>
      <c r="E122" s="172">
        <v>631417.0</v>
      </c>
      <c r="F122" s="172">
        <v>632290.0</v>
      </c>
      <c r="G122" s="172">
        <v>538731.0</v>
      </c>
      <c r="H122" s="173">
        <v>264112.0</v>
      </c>
      <c r="I122" s="15"/>
      <c r="J122" s="174" t="s">
        <v>377</v>
      </c>
      <c r="K122" s="172">
        <v>-841008.0</v>
      </c>
      <c r="L122" s="172">
        <v>-668765.0</v>
      </c>
      <c r="M122" s="172">
        <v>-709728.0</v>
      </c>
      <c r="N122" s="172">
        <v>-620395.0</v>
      </c>
      <c r="O122" s="172">
        <v>-517539.0</v>
      </c>
      <c r="P122" s="173">
        <v>-431753.0</v>
      </c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40" t="s">
        <v>378</v>
      </c>
      <c r="AO122" s="30"/>
      <c r="AP122" s="15"/>
      <c r="AQ122" s="15" t="s">
        <v>379</v>
      </c>
      <c r="AR122" s="156">
        <v>0.0</v>
      </c>
      <c r="AS122" s="156">
        <v>1.48298862E8</v>
      </c>
      <c r="AT122" s="156">
        <v>5.404079E7</v>
      </c>
      <c r="AU122" s="156">
        <v>5.10845969E8</v>
      </c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</row>
    <row r="123" outlineLevel="1">
      <c r="A123" s="15"/>
      <c r="B123" s="157" t="s">
        <v>22</v>
      </c>
      <c r="C123" s="213">
        <v>0.1133</v>
      </c>
      <c r="D123" s="213">
        <v>0.1103</v>
      </c>
      <c r="E123" s="213">
        <v>0.1316</v>
      </c>
      <c r="F123" s="213">
        <v>0.1417</v>
      </c>
      <c r="G123" s="213">
        <v>0.146</v>
      </c>
      <c r="H123" s="214">
        <v>0.1426</v>
      </c>
      <c r="I123" s="15"/>
      <c r="J123" s="174" t="s">
        <v>380</v>
      </c>
      <c r="K123" s="182">
        <v>-82.05</v>
      </c>
      <c r="L123" s="182">
        <v>-65.25</v>
      </c>
      <c r="M123" s="182">
        <v>-69.24</v>
      </c>
      <c r="N123" s="182">
        <v>-60.53</v>
      </c>
      <c r="O123" s="182">
        <v>-50.49</v>
      </c>
      <c r="P123" s="183">
        <v>-42.12</v>
      </c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96" t="s">
        <v>381</v>
      </c>
      <c r="AO123" s="30"/>
      <c r="AP123" s="15"/>
      <c r="AQ123" s="15" t="s">
        <v>382</v>
      </c>
      <c r="AR123" s="156">
        <v>1.924170512E9</v>
      </c>
      <c r="AS123" s="156">
        <v>1.18316996E8</v>
      </c>
      <c r="AT123" s="156">
        <v>4.64841237E8</v>
      </c>
      <c r="AU123" s="156">
        <v>9.42596949E8</v>
      </c>
      <c r="AV123" s="156">
        <v>6.82438142E8</v>
      </c>
      <c r="AW123" s="156">
        <v>1.54066101E8</v>
      </c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</row>
    <row r="124" outlineLevel="1">
      <c r="A124" s="15"/>
      <c r="B124" s="174" t="s">
        <v>383</v>
      </c>
      <c r="C124" s="172">
        <v>45397.0</v>
      </c>
      <c r="D124" s="172">
        <v>42701.0</v>
      </c>
      <c r="E124" s="172">
        <v>35490.0</v>
      </c>
      <c r="F124" s="172">
        <v>28906.0</v>
      </c>
      <c r="G124" s="172">
        <v>24441.0</v>
      </c>
      <c r="H124" s="173">
        <v>23427.0</v>
      </c>
      <c r="I124" s="15"/>
      <c r="J124" s="174" t="s">
        <v>384</v>
      </c>
      <c r="K124" s="172">
        <v>10250.0</v>
      </c>
      <c r="L124" s="172">
        <v>10250.0</v>
      </c>
      <c r="M124" s="172">
        <v>10250.0</v>
      </c>
      <c r="N124" s="172">
        <v>10250.0</v>
      </c>
      <c r="O124" s="172">
        <v>10250.0</v>
      </c>
      <c r="P124" s="173">
        <v>10250.0</v>
      </c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215"/>
      <c r="AO124" s="216"/>
      <c r="AP124" s="15"/>
      <c r="AQ124" s="15" t="s">
        <v>385</v>
      </c>
      <c r="AR124" s="156">
        <v>5.85030752E9</v>
      </c>
      <c r="AS124" s="156">
        <v>1.2441654047E10</v>
      </c>
      <c r="AT124" s="15"/>
      <c r="AU124" s="15"/>
      <c r="AV124" s="156">
        <v>0.0</v>
      </c>
      <c r="AW124" s="156">
        <v>1.234783426E9</v>
      </c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</row>
    <row r="125" outlineLevel="1">
      <c r="A125" s="15"/>
      <c r="B125" s="174" t="s">
        <v>386</v>
      </c>
      <c r="C125" s="172">
        <v>400240.0</v>
      </c>
      <c r="D125" s="172">
        <v>406672.0</v>
      </c>
      <c r="E125" s="172">
        <v>595927.0</v>
      </c>
      <c r="F125" s="172">
        <v>603385.0</v>
      </c>
      <c r="G125" s="172">
        <v>514290.0</v>
      </c>
      <c r="H125" s="173">
        <v>240684.0</v>
      </c>
      <c r="I125" s="15"/>
      <c r="J125" s="174" t="s">
        <v>387</v>
      </c>
      <c r="K125" s="180">
        <v>10250.0</v>
      </c>
      <c r="L125" s="180">
        <v>10250.0</v>
      </c>
      <c r="M125" s="180">
        <v>10250.0</v>
      </c>
      <c r="N125" s="180">
        <v>10250.0</v>
      </c>
      <c r="O125" s="180">
        <v>10250.0</v>
      </c>
      <c r="P125" s="181">
        <v>10250.0</v>
      </c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40" t="s">
        <v>388</v>
      </c>
      <c r="AO125" s="30"/>
      <c r="AP125" s="15"/>
      <c r="AQ125" s="15" t="s">
        <v>389</v>
      </c>
      <c r="AR125" s="156">
        <v>0.0</v>
      </c>
      <c r="AS125" s="156">
        <v>1.7060668E9</v>
      </c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</row>
    <row r="126" outlineLevel="1">
      <c r="A126" s="15"/>
      <c r="B126" s="157" t="s">
        <v>390</v>
      </c>
      <c r="C126" s="217">
        <v>0.1018</v>
      </c>
      <c r="D126" s="217">
        <v>0.0998</v>
      </c>
      <c r="E126" s="217">
        <v>0.1242</v>
      </c>
      <c r="F126" s="217">
        <v>0.1352</v>
      </c>
      <c r="G126" s="217">
        <v>0.1394</v>
      </c>
      <c r="H126" s="218">
        <v>0.1299</v>
      </c>
      <c r="I126" s="15"/>
      <c r="J126" s="174" t="s">
        <v>391</v>
      </c>
      <c r="K126" s="172">
        <v>1176078.0</v>
      </c>
      <c r="L126" s="172">
        <v>1143451.0</v>
      </c>
      <c r="M126" s="172">
        <v>1134716.0</v>
      </c>
      <c r="N126" s="172">
        <v>1025324.0</v>
      </c>
      <c r="O126" s="172">
        <v>748313.0</v>
      </c>
      <c r="P126" s="173">
        <v>529471.0</v>
      </c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40" t="s">
        <v>392</v>
      </c>
      <c r="AO126" s="30"/>
      <c r="AP126" s="15"/>
      <c r="AQ126" s="154" t="s">
        <v>393</v>
      </c>
      <c r="AR126" s="155">
        <v>-1.2697783981E10</v>
      </c>
      <c r="AS126" s="155">
        <v>-8.238490913E9</v>
      </c>
      <c r="AT126" s="156">
        <v>-1.4682187724E10</v>
      </c>
      <c r="AU126" s="156">
        <v>-1.0270101232E10</v>
      </c>
      <c r="AV126" s="155">
        <v>-1.815057189E9</v>
      </c>
      <c r="AW126" s="155">
        <v>0.0</v>
      </c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</row>
    <row r="127" outlineLevel="1">
      <c r="A127" s="15"/>
      <c r="B127" s="206" t="s">
        <v>394</v>
      </c>
      <c r="C127" s="207">
        <v>0.2188</v>
      </c>
      <c r="D127" s="207">
        <v>0.2186</v>
      </c>
      <c r="E127" s="207">
        <v>0.2196</v>
      </c>
      <c r="F127" s="207">
        <v>0.2177</v>
      </c>
      <c r="G127" s="207">
        <v>0.2164</v>
      </c>
      <c r="H127" s="209">
        <v>0.2168</v>
      </c>
      <c r="I127" s="15"/>
      <c r="J127" s="174" t="s">
        <v>395</v>
      </c>
      <c r="K127" s="188">
        <v>182.34</v>
      </c>
      <c r="L127" s="188">
        <v>178.67</v>
      </c>
      <c r="M127" s="188">
        <v>147.01</v>
      </c>
      <c r="N127" s="188">
        <v>130.38</v>
      </c>
      <c r="O127" s="188">
        <v>105.8</v>
      </c>
      <c r="P127" s="189">
        <v>81.55</v>
      </c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96" t="s">
        <v>396</v>
      </c>
      <c r="AO127" s="30"/>
      <c r="AP127" s="15"/>
      <c r="AQ127" s="154" t="s">
        <v>397</v>
      </c>
      <c r="AR127" s="15"/>
      <c r="AS127" s="15"/>
      <c r="AT127" s="155">
        <v>-6311211.0</v>
      </c>
      <c r="AU127" s="155">
        <v>-1.440666465E10</v>
      </c>
      <c r="AV127" s="155">
        <v>-1.206346727E9</v>
      </c>
      <c r="AW127" s="155">
        <v>-3.5340831E7</v>
      </c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</row>
    <row r="128" outlineLevel="1">
      <c r="A128" s="15"/>
      <c r="B128" s="15"/>
      <c r="C128" s="15"/>
      <c r="D128" s="15"/>
      <c r="E128" s="15"/>
      <c r="F128" s="15"/>
      <c r="G128" s="15"/>
      <c r="H128" s="15"/>
      <c r="I128" s="15"/>
      <c r="J128" s="174" t="s">
        <v>398</v>
      </c>
      <c r="K128" s="172">
        <v>1868961.0</v>
      </c>
      <c r="L128" s="172">
        <v>1831339.0</v>
      </c>
      <c r="M128" s="172">
        <v>1506838.0</v>
      </c>
      <c r="N128" s="172">
        <v>1336423.0</v>
      </c>
      <c r="O128" s="172">
        <v>1084449.0</v>
      </c>
      <c r="P128" s="173">
        <v>835849.0</v>
      </c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215"/>
      <c r="AO128" s="216"/>
      <c r="AP128" s="15"/>
      <c r="AQ128" s="219" t="s">
        <v>399</v>
      </c>
      <c r="AR128" s="155">
        <v>-1903101.0</v>
      </c>
      <c r="AS128" s="155">
        <v>-3.33711157E8</v>
      </c>
      <c r="AT128" s="155">
        <v>-6364543.0</v>
      </c>
      <c r="AU128" s="155">
        <v>-1336736.0</v>
      </c>
      <c r="AV128" s="155">
        <v>-2.2813838E7</v>
      </c>
      <c r="AW128" s="155">
        <v>-2.218278888E9</v>
      </c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</row>
    <row r="129" outlineLevel="1">
      <c r="A129" s="15"/>
      <c r="B129" s="15"/>
      <c r="C129" s="15"/>
      <c r="D129" s="15"/>
      <c r="E129" s="15"/>
      <c r="F129" s="15"/>
      <c r="G129" s="15"/>
      <c r="H129" s="15"/>
      <c r="I129" s="15"/>
      <c r="J129" s="174" t="s">
        <v>400</v>
      </c>
      <c r="K129" s="182">
        <v>182.34</v>
      </c>
      <c r="L129" s="182">
        <v>178.67</v>
      </c>
      <c r="M129" s="182">
        <v>147.01</v>
      </c>
      <c r="N129" s="182">
        <v>130.38</v>
      </c>
      <c r="O129" s="182">
        <v>105.8</v>
      </c>
      <c r="P129" s="183">
        <v>81.55</v>
      </c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40" t="s">
        <v>401</v>
      </c>
      <c r="AO129" s="30"/>
      <c r="AP129" s="15"/>
      <c r="AQ129" s="15"/>
      <c r="AR129" s="15"/>
      <c r="AS129" s="15"/>
      <c r="AT129" s="15"/>
      <c r="AU129" s="15"/>
      <c r="AV129" s="165"/>
      <c r="AW129" s="16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</row>
    <row r="130" outlineLevel="1">
      <c r="A130" s="15"/>
      <c r="B130" s="15" t="s">
        <v>402</v>
      </c>
      <c r="C130" s="15"/>
      <c r="D130" s="15"/>
      <c r="E130" s="15"/>
      <c r="F130" s="15"/>
      <c r="G130" s="15"/>
      <c r="H130" s="15"/>
      <c r="I130" s="15"/>
      <c r="J130" s="174" t="s">
        <v>403</v>
      </c>
      <c r="K130" s="172">
        <v>293309.0</v>
      </c>
      <c r="L130" s="172">
        <v>293309.0</v>
      </c>
      <c r="M130" s="172">
        <v>14540.0</v>
      </c>
      <c r="N130" s="172">
        <v>10908.0</v>
      </c>
      <c r="O130" s="172">
        <v>10908.0</v>
      </c>
      <c r="P130" s="173">
        <v>10908.0</v>
      </c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40" t="s">
        <v>404</v>
      </c>
      <c r="AO130" s="30"/>
      <c r="AP130" s="15"/>
      <c r="AQ130" s="15"/>
      <c r="AR130" s="15"/>
      <c r="AS130" s="15"/>
      <c r="AT130" s="165"/>
      <c r="AU130" s="165"/>
      <c r="AV130" s="165"/>
      <c r="AW130" s="16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</row>
    <row r="131" outlineLevel="1">
      <c r="A131" s="15"/>
      <c r="B131" s="220" t="s">
        <v>405</v>
      </c>
      <c r="C131" s="15"/>
      <c r="D131" s="15"/>
      <c r="E131" s="15"/>
      <c r="F131" s="15"/>
      <c r="G131" s="15"/>
      <c r="H131" s="15"/>
      <c r="I131" s="15"/>
      <c r="J131" s="174" t="s">
        <v>406</v>
      </c>
      <c r="K131" s="172">
        <v>300247.0</v>
      </c>
      <c r="L131" s="172">
        <v>299732.0</v>
      </c>
      <c r="M131" s="172">
        <v>240587.0</v>
      </c>
      <c r="N131" s="172">
        <v>200361.0</v>
      </c>
      <c r="O131" s="172">
        <v>173186.0</v>
      </c>
      <c r="P131" s="173">
        <v>165962.0</v>
      </c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96" t="s">
        <v>407</v>
      </c>
      <c r="AO131" s="30"/>
      <c r="AP131" s="15"/>
      <c r="AQ131" s="15"/>
      <c r="AR131" s="15"/>
      <c r="AS131" s="15"/>
      <c r="AT131" s="165"/>
      <c r="AU131" s="165"/>
      <c r="AV131" s="165"/>
      <c r="AW131" s="16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</row>
    <row r="132" outlineLevel="1">
      <c r="A132" s="15"/>
      <c r="B132" s="15"/>
      <c r="C132" s="15"/>
      <c r="D132" s="15"/>
      <c r="E132" s="15"/>
      <c r="F132" s="15"/>
      <c r="G132" s="15"/>
      <c r="H132" s="15"/>
      <c r="I132" s="15"/>
      <c r="J132" s="174" t="s">
        <v>408</v>
      </c>
      <c r="K132" s="172">
        <v>488596.0</v>
      </c>
      <c r="L132" s="172">
        <v>477771.0</v>
      </c>
      <c r="M132" s="172">
        <v>358650.0</v>
      </c>
      <c r="N132" s="172">
        <v>343912.0</v>
      </c>
      <c r="O132" s="172">
        <v>242097.0</v>
      </c>
      <c r="P132" s="173">
        <v>227156.0</v>
      </c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221"/>
      <c r="AR132" s="221"/>
      <c r="AS132" s="221"/>
      <c r="AT132" s="221"/>
      <c r="AU132" s="221"/>
      <c r="AV132" s="221"/>
      <c r="AW132" s="221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</row>
    <row r="133" outlineLevel="1">
      <c r="A133" s="15"/>
      <c r="B133" s="15"/>
      <c r="C133" s="15"/>
      <c r="D133" s="15"/>
      <c r="E133" s="15"/>
      <c r="F133" s="15"/>
      <c r="G133" s="15"/>
      <c r="H133" s="15"/>
      <c r="I133" s="15"/>
      <c r="J133" s="206" t="s">
        <v>409</v>
      </c>
      <c r="K133" s="222">
        <v>21770.0</v>
      </c>
      <c r="L133" s="222">
        <v>23327.0</v>
      </c>
      <c r="M133" s="222">
        <v>147180.0</v>
      </c>
      <c r="N133" s="222">
        <v>5295.0</v>
      </c>
      <c r="O133" s="222">
        <v>94562.0</v>
      </c>
      <c r="P133" s="223">
        <v>23926.0</v>
      </c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224"/>
      <c r="AR133" s="224"/>
      <c r="AS133" s="224"/>
      <c r="AT133" s="224"/>
      <c r="AU133" s="224"/>
      <c r="AV133" s="224"/>
      <c r="AW133" s="224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</row>
    <row r="134" outlineLevel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</row>
    <row r="135" outlineLevel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</row>
    <row r="136" outlineLevel="1">
      <c r="AY136" s="225"/>
      <c r="BB136" s="60"/>
    </row>
    <row r="137" outlineLevel="1">
      <c r="B137" s="226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R137" s="226"/>
      <c r="S137" s="227"/>
      <c r="T137" s="227"/>
      <c r="U137" s="227"/>
      <c r="V137" s="227"/>
      <c r="W137" s="227"/>
      <c r="X137" s="227"/>
      <c r="Y137" s="227"/>
      <c r="Z137" s="227"/>
      <c r="AA137" s="227"/>
      <c r="AB137" s="227"/>
      <c r="AC137" s="227"/>
      <c r="AD137" s="227"/>
      <c r="AE137" s="227"/>
      <c r="AF137" s="227"/>
      <c r="AG137" s="227"/>
      <c r="AH137" s="226"/>
      <c r="AI137" s="227"/>
      <c r="AJ137" s="227"/>
      <c r="AK137" s="227"/>
      <c r="AL137" s="227"/>
      <c r="AM137" s="227"/>
      <c r="AN137" s="227"/>
      <c r="AO137" s="227"/>
      <c r="AP137" s="227"/>
      <c r="AQ137" s="227"/>
      <c r="AR137" s="227"/>
      <c r="AS137" s="227"/>
      <c r="AT137" s="227"/>
      <c r="AU137" s="227"/>
      <c r="AV137" s="227"/>
      <c r="AW137" s="227"/>
      <c r="AX137" s="226"/>
      <c r="AY137" s="227"/>
      <c r="AZ137" s="227"/>
      <c r="BA137" s="227"/>
      <c r="BB137" s="227"/>
      <c r="BC137" s="227"/>
      <c r="BD137" s="227"/>
      <c r="BE137" s="227"/>
      <c r="BF137" s="227"/>
      <c r="BG137" s="227"/>
      <c r="BH137" s="227"/>
      <c r="BI137" s="227"/>
      <c r="BJ137" s="227"/>
      <c r="BK137" s="227"/>
      <c r="BL137" s="227"/>
      <c r="BM137" s="227"/>
      <c r="BN137" s="227"/>
      <c r="BO137" s="227"/>
      <c r="BP137" s="227"/>
      <c r="BQ137" s="227"/>
      <c r="BR137" s="227"/>
      <c r="BS137" s="228"/>
    </row>
    <row r="138" outlineLevel="1">
      <c r="A138" s="15"/>
      <c r="B138" s="157" t="s">
        <v>410</v>
      </c>
      <c r="C138" s="158" t="s">
        <v>144</v>
      </c>
      <c r="D138" s="158" t="s">
        <v>145</v>
      </c>
      <c r="E138" s="158" t="s">
        <v>146</v>
      </c>
      <c r="F138" s="158" t="s">
        <v>147</v>
      </c>
      <c r="G138" s="158" t="s">
        <v>148</v>
      </c>
      <c r="H138" s="158" t="s">
        <v>149</v>
      </c>
      <c r="I138" s="158" t="s">
        <v>150</v>
      </c>
      <c r="J138" s="158" t="s">
        <v>151</v>
      </c>
      <c r="K138" s="158" t="s">
        <v>152</v>
      </c>
      <c r="L138" s="158" t="s">
        <v>153</v>
      </c>
      <c r="M138" s="158" t="s">
        <v>154</v>
      </c>
      <c r="N138" s="158" t="s">
        <v>155</v>
      </c>
      <c r="O138" s="158" t="s">
        <v>156</v>
      </c>
      <c r="P138" s="158" t="s">
        <v>157</v>
      </c>
      <c r="Q138" s="229"/>
      <c r="R138" s="157" t="s">
        <v>410</v>
      </c>
      <c r="S138" s="158" t="s">
        <v>144</v>
      </c>
      <c r="T138" s="158" t="s">
        <v>145</v>
      </c>
      <c r="U138" s="158" t="s">
        <v>146</v>
      </c>
      <c r="V138" s="158" t="s">
        <v>147</v>
      </c>
      <c r="W138" s="158" t="s">
        <v>148</v>
      </c>
      <c r="X138" s="158" t="s">
        <v>149</v>
      </c>
      <c r="Y138" s="158" t="s">
        <v>150</v>
      </c>
      <c r="Z138" s="158" t="s">
        <v>151</v>
      </c>
      <c r="AA138" s="158" t="s">
        <v>152</v>
      </c>
      <c r="AB138" s="158" t="s">
        <v>153</v>
      </c>
      <c r="AC138" s="158" t="s">
        <v>154</v>
      </c>
      <c r="AD138" s="158" t="s">
        <v>155</v>
      </c>
      <c r="AE138" s="158" t="s">
        <v>156</v>
      </c>
      <c r="AF138" s="158" t="s">
        <v>157</v>
      </c>
      <c r="AG138" s="229"/>
      <c r="AH138" s="157" t="s">
        <v>410</v>
      </c>
      <c r="AI138" s="158" t="s">
        <v>144</v>
      </c>
      <c r="AJ138" s="158" t="s">
        <v>145</v>
      </c>
      <c r="AK138" s="158" t="s">
        <v>146</v>
      </c>
      <c r="AL138" s="158" t="s">
        <v>147</v>
      </c>
      <c r="AM138" s="158" t="s">
        <v>148</v>
      </c>
      <c r="AN138" s="158" t="s">
        <v>149</v>
      </c>
      <c r="AO138" s="158" t="s">
        <v>150</v>
      </c>
      <c r="AP138" s="158" t="s">
        <v>151</v>
      </c>
      <c r="AQ138" s="158" t="s">
        <v>152</v>
      </c>
      <c r="AR138" s="158" t="s">
        <v>153</v>
      </c>
      <c r="AS138" s="158" t="s">
        <v>154</v>
      </c>
      <c r="AT138" s="158" t="s">
        <v>155</v>
      </c>
      <c r="AU138" s="158" t="s">
        <v>156</v>
      </c>
      <c r="AV138" s="158" t="s">
        <v>157</v>
      </c>
      <c r="AW138" s="229"/>
      <c r="AX138" s="157" t="s">
        <v>410</v>
      </c>
      <c r="AY138" s="158" t="s">
        <v>172</v>
      </c>
      <c r="AZ138" s="158" t="s">
        <v>144</v>
      </c>
      <c r="BA138" s="158" t="s">
        <v>145</v>
      </c>
      <c r="BB138" s="158" t="s">
        <v>146</v>
      </c>
      <c r="BC138" s="158" t="s">
        <v>147</v>
      </c>
      <c r="BD138" s="158" t="s">
        <v>148</v>
      </c>
      <c r="BE138" s="158" t="s">
        <v>149</v>
      </c>
      <c r="BF138" s="158" t="s">
        <v>150</v>
      </c>
      <c r="BG138" s="158" t="s">
        <v>151</v>
      </c>
      <c r="BH138" s="158" t="s">
        <v>152</v>
      </c>
      <c r="BI138" s="158" t="s">
        <v>153</v>
      </c>
      <c r="BJ138" s="158" t="s">
        <v>154</v>
      </c>
      <c r="BK138" s="158" t="s">
        <v>155</v>
      </c>
      <c r="BL138" s="158" t="s">
        <v>156</v>
      </c>
      <c r="BM138" s="158" t="s">
        <v>157</v>
      </c>
      <c r="BN138" s="229"/>
      <c r="BO138" s="229"/>
      <c r="BP138" s="229"/>
      <c r="BQ138" s="229"/>
      <c r="BR138" s="229"/>
      <c r="BS138" s="230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</row>
    <row r="139" outlineLevel="1">
      <c r="A139" s="15"/>
      <c r="B139" s="157" t="s">
        <v>180</v>
      </c>
      <c r="C139" s="167">
        <v>46203.0</v>
      </c>
      <c r="D139" s="167">
        <v>46112.0</v>
      </c>
      <c r="E139" s="167">
        <v>46022.0</v>
      </c>
      <c r="F139" s="167">
        <v>45930.0</v>
      </c>
      <c r="G139" s="167">
        <v>45838.0</v>
      </c>
      <c r="H139" s="167">
        <v>45747.0</v>
      </c>
      <c r="I139" s="167">
        <v>45657.0</v>
      </c>
      <c r="J139" s="167">
        <v>45565.0</v>
      </c>
      <c r="K139" s="167">
        <v>45473.0</v>
      </c>
      <c r="L139" s="167">
        <v>45382.0</v>
      </c>
      <c r="M139" s="167">
        <v>45291.0</v>
      </c>
      <c r="N139" s="167">
        <v>45199.0</v>
      </c>
      <c r="O139" s="167">
        <v>45107.0</v>
      </c>
      <c r="P139" s="167">
        <v>45016.0</v>
      </c>
      <c r="Q139" s="168"/>
      <c r="R139" s="157" t="s">
        <v>180</v>
      </c>
      <c r="S139" s="167">
        <v>46203.0</v>
      </c>
      <c r="T139" s="167">
        <v>46112.0</v>
      </c>
      <c r="U139" s="167">
        <v>46022.0</v>
      </c>
      <c r="V139" s="167">
        <v>45930.0</v>
      </c>
      <c r="W139" s="167">
        <v>45838.0</v>
      </c>
      <c r="X139" s="167">
        <v>45747.0</v>
      </c>
      <c r="Y139" s="167">
        <v>45657.0</v>
      </c>
      <c r="Z139" s="167">
        <v>45565.0</v>
      </c>
      <c r="AA139" s="167">
        <v>45473.0</v>
      </c>
      <c r="AB139" s="167">
        <v>45382.0</v>
      </c>
      <c r="AC139" s="167">
        <v>45291.0</v>
      </c>
      <c r="AD139" s="167">
        <v>45199.0</v>
      </c>
      <c r="AE139" s="167">
        <v>45107.0</v>
      </c>
      <c r="AF139" s="167">
        <v>45016.0</v>
      </c>
      <c r="AG139" s="168"/>
      <c r="AH139" s="157" t="s">
        <v>180</v>
      </c>
      <c r="AI139" s="167">
        <v>46203.0</v>
      </c>
      <c r="AJ139" s="167">
        <v>46112.0</v>
      </c>
      <c r="AK139" s="167">
        <v>46022.0</v>
      </c>
      <c r="AL139" s="167">
        <v>45930.0</v>
      </c>
      <c r="AM139" s="167">
        <v>45838.0</v>
      </c>
      <c r="AN139" s="167">
        <v>45747.0</v>
      </c>
      <c r="AO139" s="167">
        <v>45657.0</v>
      </c>
      <c r="AP139" s="167">
        <v>45565.0</v>
      </c>
      <c r="AQ139" s="167">
        <v>45473.0</v>
      </c>
      <c r="AR139" s="167">
        <v>45382.0</v>
      </c>
      <c r="AS139" s="167">
        <v>45291.0</v>
      </c>
      <c r="AT139" s="167">
        <v>45199.0</v>
      </c>
      <c r="AU139" s="167">
        <v>45107.0</v>
      </c>
      <c r="AV139" s="167">
        <v>45016.0</v>
      </c>
      <c r="AW139" s="168"/>
      <c r="AX139" s="157" t="s">
        <v>180</v>
      </c>
      <c r="AY139" s="167">
        <v>46304.0</v>
      </c>
      <c r="AZ139" s="167">
        <v>46203.0</v>
      </c>
      <c r="BA139" s="167">
        <v>46112.0</v>
      </c>
      <c r="BB139" s="167">
        <v>46022.0</v>
      </c>
      <c r="BC139" s="167">
        <v>45930.0</v>
      </c>
      <c r="BD139" s="167">
        <v>45838.0</v>
      </c>
      <c r="BE139" s="167">
        <v>45747.0</v>
      </c>
      <c r="BF139" s="167">
        <v>45657.0</v>
      </c>
      <c r="BG139" s="167">
        <v>45565.0</v>
      </c>
      <c r="BH139" s="167">
        <v>45473.0</v>
      </c>
      <c r="BI139" s="167">
        <v>45382.0</v>
      </c>
      <c r="BJ139" s="167">
        <v>45291.0</v>
      </c>
      <c r="BK139" s="167">
        <v>45199.0</v>
      </c>
      <c r="BL139" s="167">
        <v>45107.0</v>
      </c>
      <c r="BM139" s="167">
        <v>45016.0</v>
      </c>
      <c r="BN139" s="168"/>
      <c r="BO139" s="168"/>
      <c r="BP139" s="168"/>
      <c r="BQ139" s="168"/>
      <c r="BR139" s="168"/>
      <c r="BS139" s="168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</row>
    <row r="140" outlineLevel="1">
      <c r="A140" s="15"/>
      <c r="B140" s="231" t="s">
        <v>411</v>
      </c>
      <c r="C140" s="172">
        <v>1417358.0</v>
      </c>
      <c r="D140" s="172">
        <v>601661.0</v>
      </c>
      <c r="E140" s="172">
        <v>1151122.0</v>
      </c>
      <c r="F140" s="172">
        <v>1219390.0</v>
      </c>
      <c r="G140" s="172">
        <v>961097.0</v>
      </c>
      <c r="H140" s="172">
        <v>743363.0</v>
      </c>
      <c r="I140" s="172">
        <v>1135058.0</v>
      </c>
      <c r="J140" s="172">
        <v>1243476.0</v>
      </c>
      <c r="K140" s="172">
        <v>1087094.0</v>
      </c>
      <c r="L140" s="172">
        <v>1331930.0</v>
      </c>
      <c r="M140" s="172">
        <v>639626.0</v>
      </c>
      <c r="N140" s="172">
        <v>1053751.0</v>
      </c>
      <c r="O140" s="172">
        <v>1244047.0</v>
      </c>
      <c r="P140" s="172">
        <v>1526084.0</v>
      </c>
      <c r="Q140" s="232"/>
      <c r="R140" s="233" t="s">
        <v>184</v>
      </c>
      <c r="S140" s="172">
        <v>150557.0</v>
      </c>
      <c r="T140" s="172">
        <v>72179.0</v>
      </c>
      <c r="U140" s="172">
        <v>104892.0</v>
      </c>
      <c r="V140" s="172">
        <v>95167.0</v>
      </c>
      <c r="W140" s="172">
        <v>121306.0</v>
      </c>
      <c r="X140" s="172">
        <v>77950.0</v>
      </c>
      <c r="Y140" s="172">
        <v>63422.0</v>
      </c>
      <c r="Z140" s="172">
        <v>71816.0</v>
      </c>
      <c r="AA140" s="172">
        <v>104157.0</v>
      </c>
      <c r="AB140" s="172">
        <v>91144.0</v>
      </c>
      <c r="AC140" s="172">
        <v>165356.0</v>
      </c>
      <c r="AD140" s="172">
        <v>77006.0</v>
      </c>
      <c r="AE140" s="172">
        <v>112716.0</v>
      </c>
      <c r="AF140" s="172">
        <v>86592.0</v>
      </c>
      <c r="AG140" s="232"/>
      <c r="AH140" s="233" t="s">
        <v>185</v>
      </c>
      <c r="AI140" s="172">
        <v>84029.0</v>
      </c>
      <c r="AJ140" s="172">
        <v>37622.0</v>
      </c>
      <c r="AK140" s="172">
        <v>67596.0</v>
      </c>
      <c r="AL140" s="172">
        <v>84949.0</v>
      </c>
      <c r="AM140" s="172">
        <v>58710.0</v>
      </c>
      <c r="AN140" s="172">
        <v>44165.0</v>
      </c>
      <c r="AO140" s="172">
        <v>78167.0</v>
      </c>
      <c r="AP140" s="172">
        <v>93092.0</v>
      </c>
      <c r="AQ140" s="172">
        <v>84947.0</v>
      </c>
      <c r="AR140" s="172">
        <v>122659.0</v>
      </c>
      <c r="AS140" s="172">
        <v>61998.0</v>
      </c>
      <c r="AT140" s="172">
        <v>108346.0</v>
      </c>
      <c r="AU140" s="172">
        <v>95870.0</v>
      </c>
      <c r="AV140" s="172">
        <v>140137.0</v>
      </c>
      <c r="AW140" s="232"/>
      <c r="AX140" s="234" t="s">
        <v>412</v>
      </c>
      <c r="AY140" s="172">
        <v>3423500.0</v>
      </c>
      <c r="AZ140" s="172">
        <v>2767500.0</v>
      </c>
      <c r="BA140" s="172">
        <v>3423500.0</v>
      </c>
      <c r="BB140" s="172">
        <v>3157000.0</v>
      </c>
      <c r="BC140" s="172">
        <v>3280000.0</v>
      </c>
      <c r="BD140" s="172">
        <v>3464500.0</v>
      </c>
      <c r="BE140" s="172">
        <v>3423500.0</v>
      </c>
      <c r="BF140" s="172">
        <v>3971875.0</v>
      </c>
      <c r="BG140" s="172">
        <v>4100000.0</v>
      </c>
      <c r="BH140" s="172">
        <v>3638750.0</v>
      </c>
      <c r="BI140" s="172">
        <v>3920625.0</v>
      </c>
      <c r="BJ140" s="172">
        <v>3818125.0</v>
      </c>
      <c r="BK140" s="172">
        <v>3997500.0</v>
      </c>
      <c r="BL140" s="172">
        <v>3843750.0</v>
      </c>
      <c r="BM140" s="172">
        <v>3126250.0</v>
      </c>
      <c r="BN140" s="232"/>
      <c r="BO140" s="232"/>
      <c r="BP140" s="232"/>
      <c r="BQ140" s="232"/>
      <c r="BR140" s="232"/>
      <c r="BS140" s="23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</row>
    <row r="141" outlineLevel="1">
      <c r="A141" s="15"/>
      <c r="B141" s="157" t="s">
        <v>188</v>
      </c>
      <c r="C141" s="185">
        <v>0.4747</v>
      </c>
      <c r="D141" s="184">
        <v>-0.1906</v>
      </c>
      <c r="E141" s="185">
        <v>0.0142</v>
      </c>
      <c r="F141" s="184">
        <v>-0.0194</v>
      </c>
      <c r="G141" s="184">
        <v>-0.1159</v>
      </c>
      <c r="H141" s="184">
        <v>-0.4419</v>
      </c>
      <c r="I141" s="185">
        <v>0.7746</v>
      </c>
      <c r="J141" s="185">
        <v>0.18</v>
      </c>
      <c r="K141" s="184">
        <v>-0.1262</v>
      </c>
      <c r="L141" s="184">
        <v>-0.1272</v>
      </c>
      <c r="M141" s="184">
        <v>-0.4841</v>
      </c>
      <c r="N141" s="185">
        <v>0.0535</v>
      </c>
      <c r="O141" s="185">
        <v>1.0397</v>
      </c>
      <c r="P141" s="185">
        <v>0.8179</v>
      </c>
      <c r="Q141" s="236"/>
      <c r="R141" s="237" t="s">
        <v>413</v>
      </c>
      <c r="S141" s="172">
        <v>1047.0</v>
      </c>
      <c r="T141" s="188" t="s">
        <v>209</v>
      </c>
      <c r="U141" s="188" t="s">
        <v>209</v>
      </c>
      <c r="V141" s="188" t="s">
        <v>209</v>
      </c>
      <c r="W141" s="172" t="s">
        <v>209</v>
      </c>
      <c r="X141" s="172" t="s">
        <v>209</v>
      </c>
      <c r="Y141" s="172" t="s">
        <v>209</v>
      </c>
      <c r="Z141" s="172">
        <v>13800.0</v>
      </c>
      <c r="AA141" s="172">
        <v>13800.0</v>
      </c>
      <c r="AB141" s="172" t="s">
        <v>209</v>
      </c>
      <c r="AC141" s="172" t="s">
        <v>209</v>
      </c>
      <c r="AD141" s="172" t="s">
        <v>209</v>
      </c>
      <c r="AE141" s="172" t="s">
        <v>209</v>
      </c>
      <c r="AF141" s="172" t="s">
        <v>209</v>
      </c>
      <c r="AG141" s="232"/>
      <c r="AH141" s="233" t="s">
        <v>190</v>
      </c>
      <c r="AI141" s="172">
        <v>12143.0</v>
      </c>
      <c r="AJ141" s="172">
        <v>12021.0</v>
      </c>
      <c r="AK141" s="172">
        <v>11702.0</v>
      </c>
      <c r="AL141" s="172">
        <v>11594.0</v>
      </c>
      <c r="AM141" s="172">
        <v>10080.0</v>
      </c>
      <c r="AN141" s="172">
        <v>9324.0</v>
      </c>
      <c r="AO141" s="172">
        <v>9363.0</v>
      </c>
      <c r="AP141" s="172">
        <v>8877.0</v>
      </c>
      <c r="AQ141" s="172">
        <v>8695.0</v>
      </c>
      <c r="AR141" s="172">
        <v>8555.0</v>
      </c>
      <c r="AS141" s="172">
        <v>8431.0</v>
      </c>
      <c r="AT141" s="172">
        <v>7366.0</v>
      </c>
      <c r="AU141" s="172">
        <v>6661.0</v>
      </c>
      <c r="AV141" s="172">
        <v>6447.0</v>
      </c>
      <c r="AW141" s="232"/>
      <c r="AX141" s="238" t="s">
        <v>414</v>
      </c>
      <c r="AY141" s="185">
        <v>0.0503</v>
      </c>
      <c r="AZ141" s="184">
        <v>-0.2012</v>
      </c>
      <c r="BA141" s="239">
        <v>0.0</v>
      </c>
      <c r="BB141" s="184">
        <v>-0.2052</v>
      </c>
      <c r="BC141" s="184">
        <v>-0.2</v>
      </c>
      <c r="BD141" s="184">
        <v>-0.0479</v>
      </c>
      <c r="BE141" s="184">
        <v>-0.1268</v>
      </c>
      <c r="BF141" s="185">
        <v>0.0403</v>
      </c>
      <c r="BG141" s="185">
        <v>0.0256</v>
      </c>
      <c r="BH141" s="184">
        <v>-0.0533</v>
      </c>
      <c r="BI141" s="185">
        <v>0.2541</v>
      </c>
      <c r="BJ141" s="185">
        <v>0.5851</v>
      </c>
      <c r="BK141" s="185">
        <v>0.7333</v>
      </c>
      <c r="BL141" s="185">
        <v>0.569</v>
      </c>
      <c r="BM141" s="185">
        <v>0.0083</v>
      </c>
      <c r="BN141" s="236"/>
      <c r="BO141" s="236"/>
      <c r="BP141" s="236"/>
      <c r="BQ141" s="236"/>
      <c r="BR141" s="236"/>
      <c r="BS141" s="240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</row>
    <row r="142" outlineLevel="1">
      <c r="A142" s="15"/>
      <c r="B142" s="237" t="s">
        <v>194</v>
      </c>
      <c r="C142" s="172">
        <v>1130293.0</v>
      </c>
      <c r="D142" s="172">
        <v>462872.0</v>
      </c>
      <c r="E142" s="172">
        <v>941004.0</v>
      </c>
      <c r="F142" s="172">
        <v>937817.0</v>
      </c>
      <c r="G142" s="172">
        <v>761923.0</v>
      </c>
      <c r="H142" s="172">
        <v>568324.0</v>
      </c>
      <c r="I142" s="172">
        <v>869348.0</v>
      </c>
      <c r="J142" s="172">
        <v>940036.0</v>
      </c>
      <c r="K142" s="172">
        <v>812733.0</v>
      </c>
      <c r="L142" s="172">
        <v>995139.0</v>
      </c>
      <c r="M142" s="172">
        <v>452884.0</v>
      </c>
      <c r="N142" s="172">
        <v>759849.0</v>
      </c>
      <c r="O142" s="172">
        <v>966805.0</v>
      </c>
      <c r="P142" s="172">
        <v>1189519.0</v>
      </c>
      <c r="Q142" s="232"/>
      <c r="R142" s="233" t="s">
        <v>189</v>
      </c>
      <c r="S142" s="172">
        <v>151604.0</v>
      </c>
      <c r="T142" s="172">
        <v>72179.0</v>
      </c>
      <c r="U142" s="172">
        <v>104892.0</v>
      </c>
      <c r="V142" s="172">
        <v>95167.0</v>
      </c>
      <c r="W142" s="172">
        <v>121306.0</v>
      </c>
      <c r="X142" s="172">
        <v>77950.0</v>
      </c>
      <c r="Y142" s="172">
        <v>63422.0</v>
      </c>
      <c r="Z142" s="172">
        <v>85616.0</v>
      </c>
      <c r="AA142" s="172">
        <v>117957.0</v>
      </c>
      <c r="AB142" s="172">
        <v>91144.0</v>
      </c>
      <c r="AC142" s="172">
        <v>165356.0</v>
      </c>
      <c r="AD142" s="172">
        <v>77006.0</v>
      </c>
      <c r="AE142" s="172">
        <v>112716.0</v>
      </c>
      <c r="AF142" s="172">
        <v>86592.0</v>
      </c>
      <c r="AG142" s="232"/>
      <c r="AH142" s="233" t="s">
        <v>196</v>
      </c>
      <c r="AI142" s="172">
        <v>-602543.0</v>
      </c>
      <c r="AJ142" s="172">
        <v>-212046.0</v>
      </c>
      <c r="AK142" s="172">
        <v>68295.0</v>
      </c>
      <c r="AL142" s="172">
        <v>280966.0</v>
      </c>
      <c r="AM142" s="172">
        <v>-275358.0</v>
      </c>
      <c r="AN142" s="172">
        <v>-59055.0</v>
      </c>
      <c r="AO142" s="172">
        <v>384617.0</v>
      </c>
      <c r="AP142" s="172">
        <v>251352.0</v>
      </c>
      <c r="AQ142" s="172">
        <v>-459982.0</v>
      </c>
      <c r="AR142" s="172">
        <v>-275886.0</v>
      </c>
      <c r="AS142" s="172">
        <v>182026.0</v>
      </c>
      <c r="AT142" s="172">
        <v>-105640.0</v>
      </c>
      <c r="AU142" s="172">
        <v>151999.0</v>
      </c>
      <c r="AV142" s="172">
        <v>-586260.0</v>
      </c>
      <c r="AW142" s="232"/>
      <c r="AX142" s="233" t="s">
        <v>197</v>
      </c>
      <c r="AY142" s="172">
        <v>4840066.0</v>
      </c>
      <c r="AZ142" s="172">
        <v>3666711.0</v>
      </c>
      <c r="BA142" s="172">
        <v>4149280.0</v>
      </c>
      <c r="BB142" s="172">
        <v>3921470.0</v>
      </c>
      <c r="BC142" s="172">
        <v>4323532.0</v>
      </c>
      <c r="BD142" s="172">
        <v>4260466.0</v>
      </c>
      <c r="BE142" s="172">
        <v>4185184.0</v>
      </c>
      <c r="BF142" s="172">
        <v>5048548.0</v>
      </c>
      <c r="BG142" s="172">
        <v>5343655.0</v>
      </c>
      <c r="BH142" s="172">
        <v>4489560.0</v>
      </c>
      <c r="BI142" s="172">
        <v>4584674.0</v>
      </c>
      <c r="BJ142" s="172">
        <v>4656319.0</v>
      </c>
      <c r="BK142" s="172">
        <v>4782225.0</v>
      </c>
      <c r="BL142" s="172">
        <v>4855337.0</v>
      </c>
      <c r="BM142" s="172">
        <v>3679660.0</v>
      </c>
      <c r="BN142" s="232"/>
      <c r="BO142" s="232"/>
      <c r="BP142" s="232"/>
      <c r="BQ142" s="232"/>
      <c r="BR142" s="232"/>
      <c r="BS142" s="23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</row>
    <row r="143" outlineLevel="1">
      <c r="A143" s="15"/>
      <c r="B143" s="237" t="s">
        <v>200</v>
      </c>
      <c r="C143" s="172">
        <v>287065.0</v>
      </c>
      <c r="D143" s="172">
        <v>138789.0</v>
      </c>
      <c r="E143" s="172">
        <v>210118.0</v>
      </c>
      <c r="F143" s="172">
        <v>281573.0</v>
      </c>
      <c r="G143" s="172">
        <v>199174.0</v>
      </c>
      <c r="H143" s="172">
        <v>175039.0</v>
      </c>
      <c r="I143" s="172">
        <v>265710.0</v>
      </c>
      <c r="J143" s="172">
        <v>303440.0</v>
      </c>
      <c r="K143" s="172">
        <v>274362.0</v>
      </c>
      <c r="L143" s="172">
        <v>336791.0</v>
      </c>
      <c r="M143" s="172">
        <v>186742.0</v>
      </c>
      <c r="N143" s="172">
        <v>293902.0</v>
      </c>
      <c r="O143" s="172">
        <v>277242.0</v>
      </c>
      <c r="P143" s="172">
        <v>336565.0</v>
      </c>
      <c r="Q143" s="232"/>
      <c r="R143" s="238" t="s">
        <v>415</v>
      </c>
      <c r="S143" s="185">
        <v>0.2498</v>
      </c>
      <c r="T143" s="184">
        <v>-0.074</v>
      </c>
      <c r="U143" s="185">
        <v>0.6539</v>
      </c>
      <c r="V143" s="185">
        <v>0.1115</v>
      </c>
      <c r="W143" s="185">
        <v>0.0284</v>
      </c>
      <c r="X143" s="184">
        <v>-0.1448</v>
      </c>
      <c r="Y143" s="184">
        <v>-0.6165</v>
      </c>
      <c r="Z143" s="185">
        <v>0.1118</v>
      </c>
      <c r="AA143" s="185">
        <v>0.0465</v>
      </c>
      <c r="AB143" s="185">
        <v>0.0526</v>
      </c>
      <c r="AC143" s="184">
        <v>-0.4686</v>
      </c>
      <c r="AD143" s="184">
        <v>-0.2565</v>
      </c>
      <c r="AE143" s="184">
        <v>-0.0916</v>
      </c>
      <c r="AF143" s="184">
        <v>-0.643</v>
      </c>
      <c r="AG143" s="236"/>
      <c r="AH143" s="237" t="s">
        <v>202</v>
      </c>
      <c r="AI143" s="172">
        <v>-506371.0</v>
      </c>
      <c r="AJ143" s="172">
        <v>-162403.0</v>
      </c>
      <c r="AK143" s="172">
        <v>147594.0</v>
      </c>
      <c r="AL143" s="172">
        <v>377509.0</v>
      </c>
      <c r="AM143" s="172">
        <v>-206568.0</v>
      </c>
      <c r="AN143" s="172">
        <v>-5566.0</v>
      </c>
      <c r="AO143" s="172">
        <v>472147.0</v>
      </c>
      <c r="AP143" s="172">
        <v>353320.0</v>
      </c>
      <c r="AQ143" s="172">
        <v>-366339.0</v>
      </c>
      <c r="AR143" s="172">
        <v>-144671.0</v>
      </c>
      <c r="AS143" s="172">
        <v>252455.0</v>
      </c>
      <c r="AT143" s="172">
        <v>10072.0</v>
      </c>
      <c r="AU143" s="172">
        <v>254530.0</v>
      </c>
      <c r="AV143" s="172">
        <v>-439676.0</v>
      </c>
      <c r="AW143" s="232"/>
      <c r="AX143" s="233" t="s">
        <v>203</v>
      </c>
      <c r="AY143" s="172">
        <v>324.0</v>
      </c>
      <c r="AZ143" s="172">
        <v>270.0</v>
      </c>
      <c r="BA143" s="172">
        <v>321.91</v>
      </c>
      <c r="BB143" s="172">
        <v>296.85</v>
      </c>
      <c r="BC143" s="188">
        <v>308.41</v>
      </c>
      <c r="BD143" s="188">
        <v>325.76</v>
      </c>
      <c r="BE143" s="188">
        <v>304.63</v>
      </c>
      <c r="BF143" s="188">
        <v>353.42</v>
      </c>
      <c r="BG143" s="188">
        <v>364.83</v>
      </c>
      <c r="BH143" s="188">
        <v>305.72</v>
      </c>
      <c r="BI143" s="188">
        <v>329.4</v>
      </c>
      <c r="BJ143" s="188">
        <v>320.79</v>
      </c>
      <c r="BK143" s="188">
        <v>335.86</v>
      </c>
      <c r="BL143" s="188">
        <v>322.95</v>
      </c>
      <c r="BM143" s="188">
        <v>252.23</v>
      </c>
      <c r="BN143" s="241"/>
      <c r="BO143" s="241"/>
      <c r="BP143" s="241"/>
      <c r="BQ143" s="241"/>
      <c r="BR143" s="241"/>
      <c r="BS143" s="242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</row>
    <row r="144" outlineLevel="1">
      <c r="A144" s="15"/>
      <c r="B144" s="237" t="s">
        <v>206</v>
      </c>
      <c r="C144" s="172">
        <v>141289.0</v>
      </c>
      <c r="D144" s="172">
        <v>74072.0</v>
      </c>
      <c r="E144" s="172">
        <v>96801.0</v>
      </c>
      <c r="F144" s="172">
        <v>139055.0</v>
      </c>
      <c r="G144" s="172">
        <v>106965.0</v>
      </c>
      <c r="H144" s="172">
        <v>101088.0</v>
      </c>
      <c r="I144" s="172">
        <v>141284.0</v>
      </c>
      <c r="J144" s="172">
        <v>144989.0</v>
      </c>
      <c r="K144" s="172">
        <v>135247.0</v>
      </c>
      <c r="L144" s="172">
        <v>142336.0</v>
      </c>
      <c r="M144" s="172">
        <v>100561.0</v>
      </c>
      <c r="N144" s="172">
        <v>131954.0</v>
      </c>
      <c r="O144" s="172">
        <v>114003.0</v>
      </c>
      <c r="P144" s="172">
        <v>123782.0</v>
      </c>
      <c r="Q144" s="232"/>
      <c r="R144" s="233" t="s">
        <v>201</v>
      </c>
      <c r="S144" s="172">
        <v>1624663.0</v>
      </c>
      <c r="T144" s="172">
        <v>1059597.0</v>
      </c>
      <c r="U144" s="172">
        <v>1295708.0</v>
      </c>
      <c r="V144" s="172">
        <v>1305024.0</v>
      </c>
      <c r="W144" s="172">
        <v>1061373.0</v>
      </c>
      <c r="X144" s="172">
        <v>985320.0</v>
      </c>
      <c r="Y144" s="172">
        <v>1231426.0</v>
      </c>
      <c r="Z144" s="172">
        <v>1415918.0</v>
      </c>
      <c r="AA144" s="172">
        <v>1458639.0</v>
      </c>
      <c r="AB144" s="172">
        <v>1350798.0</v>
      </c>
      <c r="AC144" s="172">
        <v>807444.0</v>
      </c>
      <c r="AD144" s="172">
        <v>1153128.0</v>
      </c>
      <c r="AE144" s="172">
        <v>1093355.0</v>
      </c>
      <c r="AF144" s="172">
        <v>1159721.0</v>
      </c>
      <c r="AG144" s="232"/>
      <c r="AH144" s="238" t="s">
        <v>416</v>
      </c>
      <c r="AI144" s="243" t="s">
        <v>209</v>
      </c>
      <c r="AJ144" s="243" t="s">
        <v>209</v>
      </c>
      <c r="AK144" s="184">
        <v>-0.6874</v>
      </c>
      <c r="AL144" s="185">
        <v>0.0685</v>
      </c>
      <c r="AM144" s="186" t="s">
        <v>209</v>
      </c>
      <c r="AN144" s="186" t="s">
        <v>209</v>
      </c>
      <c r="AO144" s="185">
        <v>0.8702</v>
      </c>
      <c r="AP144" s="185">
        <v>34.0789</v>
      </c>
      <c r="AQ144" s="186" t="s">
        <v>209</v>
      </c>
      <c r="AR144" s="186" t="s">
        <v>209</v>
      </c>
      <c r="AS144" s="184">
        <v>-0.4648</v>
      </c>
      <c r="AT144" s="184">
        <v>-0.6684</v>
      </c>
      <c r="AU144" s="186" t="s">
        <v>209</v>
      </c>
      <c r="AV144" s="186" t="s">
        <v>209</v>
      </c>
      <c r="AW144" s="236"/>
      <c r="AX144" s="174" t="s">
        <v>210</v>
      </c>
      <c r="AY144" s="188">
        <v>12.11</v>
      </c>
      <c r="AZ144" s="188">
        <v>10.09</v>
      </c>
      <c r="BA144" s="188">
        <v>13.76</v>
      </c>
      <c r="BB144" s="188">
        <v>12.36</v>
      </c>
      <c r="BC144" s="188">
        <v>12.33</v>
      </c>
      <c r="BD144" s="188">
        <v>12.64</v>
      </c>
      <c r="BE144" s="188">
        <v>11.4</v>
      </c>
      <c r="BF144" s="188">
        <v>10.48</v>
      </c>
      <c r="BG144" s="188">
        <v>11.3</v>
      </c>
      <c r="BH144" s="188">
        <v>9.63</v>
      </c>
      <c r="BI144" s="188">
        <v>10.08</v>
      </c>
      <c r="BJ144" s="188">
        <v>9.4</v>
      </c>
      <c r="BK144" s="188">
        <v>8.73</v>
      </c>
      <c r="BL144" s="188">
        <v>8.95</v>
      </c>
      <c r="BM144" s="188">
        <v>7.87</v>
      </c>
      <c r="BN144" s="241"/>
      <c r="BO144" s="241"/>
      <c r="BP144" s="241"/>
      <c r="BQ144" s="241"/>
      <c r="BR144" s="241"/>
      <c r="BS144" s="242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</row>
    <row r="145" outlineLevel="1">
      <c r="A145" s="15"/>
      <c r="B145" s="237" t="s">
        <v>213</v>
      </c>
      <c r="C145" s="172">
        <v>8807.0</v>
      </c>
      <c r="D145" s="172">
        <v>3893.0</v>
      </c>
      <c r="E145" s="172">
        <v>429.41</v>
      </c>
      <c r="F145" s="172">
        <v>6321.0</v>
      </c>
      <c r="G145" s="172">
        <v>1877.0</v>
      </c>
      <c r="H145" s="172">
        <v>6695.0</v>
      </c>
      <c r="I145" s="172">
        <v>-2238.0</v>
      </c>
      <c r="J145" s="172">
        <v>8064.0</v>
      </c>
      <c r="K145" s="172">
        <v>817.07</v>
      </c>
      <c r="L145" s="172">
        <v>13878.0</v>
      </c>
      <c r="M145" s="172">
        <v>-8736.0</v>
      </c>
      <c r="N145" s="172">
        <v>4825.0</v>
      </c>
      <c r="O145" s="172">
        <v>18912.0</v>
      </c>
      <c r="P145" s="172">
        <v>5766.0</v>
      </c>
      <c r="Q145" s="232"/>
      <c r="R145" s="233" t="s">
        <v>207</v>
      </c>
      <c r="S145" s="172">
        <v>1624663.0</v>
      </c>
      <c r="T145" s="172">
        <v>1059597.0</v>
      </c>
      <c r="U145" s="172">
        <v>1295708.0</v>
      </c>
      <c r="V145" s="172">
        <v>1305024.0</v>
      </c>
      <c r="W145" s="172">
        <v>1061373.0</v>
      </c>
      <c r="X145" s="172">
        <v>985320.0</v>
      </c>
      <c r="Y145" s="172">
        <v>1231426.0</v>
      </c>
      <c r="Z145" s="172">
        <v>1415918.0</v>
      </c>
      <c r="AA145" s="172">
        <v>1458639.0</v>
      </c>
      <c r="AB145" s="172">
        <v>1350798.0</v>
      </c>
      <c r="AC145" s="172">
        <v>807444.0</v>
      </c>
      <c r="AD145" s="172">
        <v>1153128.0</v>
      </c>
      <c r="AE145" s="172">
        <v>1093355.0</v>
      </c>
      <c r="AF145" s="172">
        <v>1159721.0</v>
      </c>
      <c r="AG145" s="232"/>
      <c r="AH145" s="244" t="s">
        <v>215</v>
      </c>
      <c r="AI145" s="172">
        <v>-10841.0</v>
      </c>
      <c r="AJ145" s="172">
        <v>-9870.0</v>
      </c>
      <c r="AK145" s="172">
        <v>-9439.0</v>
      </c>
      <c r="AL145" s="172">
        <v>-8039.0</v>
      </c>
      <c r="AM145" s="172">
        <v>-18020.0</v>
      </c>
      <c r="AN145" s="172">
        <v>-26335.0</v>
      </c>
      <c r="AO145" s="172">
        <v>-36442.0</v>
      </c>
      <c r="AP145" s="172">
        <v>-74135.0</v>
      </c>
      <c r="AQ145" s="172">
        <v>-41568.0</v>
      </c>
      <c r="AR145" s="172">
        <v>-37634.0</v>
      </c>
      <c r="AS145" s="172">
        <v>-12219.0</v>
      </c>
      <c r="AT145" s="172">
        <v>-11065.0</v>
      </c>
      <c r="AU145" s="172">
        <v>-5131.0</v>
      </c>
      <c r="AV145" s="172">
        <v>-13387.0</v>
      </c>
      <c r="AW145" s="232"/>
      <c r="AX145" s="244" t="s">
        <v>216</v>
      </c>
      <c r="AY145" s="172">
        <v>0.76</v>
      </c>
      <c r="AZ145" s="172">
        <v>0.63</v>
      </c>
      <c r="BA145" s="172">
        <v>0.87</v>
      </c>
      <c r="BB145" s="172">
        <v>0.78</v>
      </c>
      <c r="BC145" s="188">
        <v>0.81</v>
      </c>
      <c r="BD145" s="188">
        <v>0.85</v>
      </c>
      <c r="BE145" s="188">
        <v>0.81</v>
      </c>
      <c r="BF145" s="188">
        <v>0.83</v>
      </c>
      <c r="BG145" s="188">
        <v>0.95</v>
      </c>
      <c r="BH145" s="188">
        <v>0.89</v>
      </c>
      <c r="BI145" s="188">
        <v>0.92</v>
      </c>
      <c r="BJ145" s="188">
        <v>0.86</v>
      </c>
      <c r="BK145" s="188">
        <v>0.79</v>
      </c>
      <c r="BL145" s="188">
        <v>0.77</v>
      </c>
      <c r="BM145" s="188">
        <v>0.71</v>
      </c>
      <c r="BN145" s="241"/>
      <c r="BO145" s="241"/>
      <c r="BP145" s="241"/>
      <c r="BQ145" s="241"/>
      <c r="BR145" s="241"/>
      <c r="BS145" s="242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</row>
    <row r="146" outlineLevel="1">
      <c r="A146" s="15"/>
      <c r="B146" s="237" t="s">
        <v>220</v>
      </c>
      <c r="C146" s="172">
        <v>150096.0</v>
      </c>
      <c r="D146" s="172">
        <v>77964.0</v>
      </c>
      <c r="E146" s="172">
        <v>97231.0</v>
      </c>
      <c r="F146" s="172">
        <v>145375.0</v>
      </c>
      <c r="G146" s="172">
        <v>108843.0</v>
      </c>
      <c r="H146" s="172">
        <v>107783.0</v>
      </c>
      <c r="I146" s="172">
        <v>139045.0</v>
      </c>
      <c r="J146" s="172">
        <v>153053.0</v>
      </c>
      <c r="K146" s="172">
        <v>136064.0</v>
      </c>
      <c r="L146" s="172">
        <v>156214.0</v>
      </c>
      <c r="M146" s="172">
        <v>91825.0</v>
      </c>
      <c r="N146" s="172">
        <v>136778.0</v>
      </c>
      <c r="O146" s="172">
        <v>132915.0</v>
      </c>
      <c r="P146" s="172">
        <v>129548.0</v>
      </c>
      <c r="Q146" s="232"/>
      <c r="R146" s="233" t="s">
        <v>214</v>
      </c>
      <c r="S146" s="172">
        <v>1605408.0</v>
      </c>
      <c r="T146" s="172">
        <v>1352094.0</v>
      </c>
      <c r="U146" s="172">
        <v>901180.0</v>
      </c>
      <c r="V146" s="172">
        <v>1155472.0</v>
      </c>
      <c r="W146" s="172">
        <v>1302196.0</v>
      </c>
      <c r="X146" s="172">
        <v>1226761.0</v>
      </c>
      <c r="Y146" s="172">
        <v>880544.0</v>
      </c>
      <c r="Z146" s="172">
        <v>1053358.0</v>
      </c>
      <c r="AA146" s="172">
        <v>1345580.0</v>
      </c>
      <c r="AB146" s="172">
        <v>1030387.0</v>
      </c>
      <c r="AC146" s="172">
        <v>1263391.0</v>
      </c>
      <c r="AD146" s="172">
        <v>1019630.0</v>
      </c>
      <c r="AE146" s="172">
        <v>946042.0</v>
      </c>
      <c r="AF146" s="172">
        <v>1170760.0</v>
      </c>
      <c r="AG146" s="232"/>
      <c r="AH146" s="233" t="s">
        <v>222</v>
      </c>
      <c r="AI146" s="172" t="s">
        <v>209</v>
      </c>
      <c r="AJ146" s="172">
        <v>31.53</v>
      </c>
      <c r="AK146" s="172" t="s">
        <v>209</v>
      </c>
      <c r="AL146" s="172">
        <v>1000.0</v>
      </c>
      <c r="AM146" s="188" t="s">
        <v>209</v>
      </c>
      <c r="AN146" s="188" t="s">
        <v>209</v>
      </c>
      <c r="AO146" s="188">
        <v>31.53</v>
      </c>
      <c r="AP146" s="188" t="s">
        <v>209</v>
      </c>
      <c r="AQ146" s="188">
        <v>27.03</v>
      </c>
      <c r="AR146" s="188">
        <v>139.64</v>
      </c>
      <c r="AS146" s="188">
        <v>6.5</v>
      </c>
      <c r="AT146" s="188">
        <v>143.95</v>
      </c>
      <c r="AU146" s="188" t="s">
        <v>209</v>
      </c>
      <c r="AV146" s="188">
        <v>386.49</v>
      </c>
      <c r="AW146" s="241"/>
      <c r="AX146" s="174" t="s">
        <v>223</v>
      </c>
      <c r="AY146" s="188">
        <v>1.74</v>
      </c>
      <c r="AZ146" s="188">
        <v>1.45</v>
      </c>
      <c r="BA146" s="188">
        <v>1.78</v>
      </c>
      <c r="BB146" s="188">
        <v>1.67</v>
      </c>
      <c r="BC146" s="188">
        <v>2.11</v>
      </c>
      <c r="BD146" s="188">
        <v>2.37</v>
      </c>
      <c r="BE146" s="188">
        <v>2.13</v>
      </c>
      <c r="BF146" s="188">
        <v>2.54</v>
      </c>
      <c r="BG146" s="188">
        <v>2.77</v>
      </c>
      <c r="BH146" s="188">
        <v>2.64</v>
      </c>
      <c r="BI146" s="188">
        <v>2.6</v>
      </c>
      <c r="BJ146" s="188">
        <v>2.77</v>
      </c>
      <c r="BK146" s="188">
        <v>3.04</v>
      </c>
      <c r="BL146" s="188">
        <v>3.19</v>
      </c>
      <c r="BM146" s="188">
        <v>2.47</v>
      </c>
      <c r="BN146" s="241"/>
      <c r="BO146" s="241"/>
      <c r="BP146" s="241"/>
      <c r="BQ146" s="241"/>
      <c r="BR146" s="241"/>
      <c r="BS146" s="242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</row>
    <row r="147" outlineLevel="1">
      <c r="A147" s="15"/>
      <c r="B147" s="237" t="s">
        <v>227</v>
      </c>
      <c r="C147" s="172">
        <v>136969.0</v>
      </c>
      <c r="D147" s="172">
        <v>60824.0</v>
      </c>
      <c r="E147" s="172">
        <v>112887.0</v>
      </c>
      <c r="F147" s="172">
        <v>136197.0</v>
      </c>
      <c r="G147" s="172">
        <v>90331.0</v>
      </c>
      <c r="H147" s="172">
        <v>67256.0</v>
      </c>
      <c r="I147" s="172">
        <v>126665.0</v>
      </c>
      <c r="J147" s="172">
        <v>150388.0</v>
      </c>
      <c r="K147" s="172">
        <v>138298.0</v>
      </c>
      <c r="L147" s="172">
        <v>180577.0</v>
      </c>
      <c r="M147" s="172">
        <v>94917.0</v>
      </c>
      <c r="N147" s="172">
        <v>157124.0</v>
      </c>
      <c r="O147" s="172">
        <v>144327.0</v>
      </c>
      <c r="P147" s="172">
        <v>207017.0</v>
      </c>
      <c r="Q147" s="232"/>
      <c r="R147" s="233" t="s">
        <v>221</v>
      </c>
      <c r="S147" s="172" t="s">
        <v>209</v>
      </c>
      <c r="T147" s="172" t="s">
        <v>209</v>
      </c>
      <c r="U147" s="172" t="s">
        <v>209</v>
      </c>
      <c r="V147" s="172" t="s">
        <v>209</v>
      </c>
      <c r="W147" s="172" t="s">
        <v>209</v>
      </c>
      <c r="X147" s="172" t="s">
        <v>209</v>
      </c>
      <c r="Y147" s="172" t="s">
        <v>209</v>
      </c>
      <c r="Z147" s="172" t="s">
        <v>209</v>
      </c>
      <c r="AA147" s="172" t="s">
        <v>209</v>
      </c>
      <c r="AB147" s="172" t="s">
        <v>209</v>
      </c>
      <c r="AC147" s="172" t="s">
        <v>209</v>
      </c>
      <c r="AD147" s="172" t="s">
        <v>209</v>
      </c>
      <c r="AE147" s="172" t="s">
        <v>209</v>
      </c>
      <c r="AF147" s="172" t="s">
        <v>209</v>
      </c>
      <c r="AG147" s="232"/>
      <c r="AH147" s="233" t="s">
        <v>229</v>
      </c>
      <c r="AI147" s="172" t="s">
        <v>209</v>
      </c>
      <c r="AJ147" s="172" t="s">
        <v>209</v>
      </c>
      <c r="AK147" s="172" t="s">
        <v>209</v>
      </c>
      <c r="AL147" s="172" t="s">
        <v>209</v>
      </c>
      <c r="AM147" s="188" t="s">
        <v>209</v>
      </c>
      <c r="AN147" s="188" t="s">
        <v>209</v>
      </c>
      <c r="AO147" s="172">
        <v>13800.0</v>
      </c>
      <c r="AP147" s="188" t="s">
        <v>209</v>
      </c>
      <c r="AQ147" s="188" t="s">
        <v>209</v>
      </c>
      <c r="AR147" s="188" t="s">
        <v>209</v>
      </c>
      <c r="AS147" s="172">
        <v>3450.0</v>
      </c>
      <c r="AT147" s="172">
        <v>17250.0</v>
      </c>
      <c r="AU147" s="188" t="s">
        <v>209</v>
      </c>
      <c r="AV147" s="188" t="s">
        <v>209</v>
      </c>
      <c r="AW147" s="241"/>
      <c r="AX147" s="174" t="s">
        <v>230</v>
      </c>
      <c r="AY147" s="188">
        <v>1.8</v>
      </c>
      <c r="AZ147" s="188">
        <v>1.5</v>
      </c>
      <c r="BA147" s="188">
        <v>1.83</v>
      </c>
      <c r="BB147" s="188">
        <v>1.72</v>
      </c>
      <c r="BC147" s="188">
        <v>2.19</v>
      </c>
      <c r="BD147" s="188">
        <v>2.45</v>
      </c>
      <c r="BE147" s="188">
        <v>2.21</v>
      </c>
      <c r="BF147" s="188">
        <v>2.64</v>
      </c>
      <c r="BG147" s="188">
        <v>2.87</v>
      </c>
      <c r="BH147" s="188">
        <v>2.73</v>
      </c>
      <c r="BI147" s="188">
        <v>2.69</v>
      </c>
      <c r="BJ147" s="188">
        <v>2.86</v>
      </c>
      <c r="BK147" s="188">
        <v>3.14</v>
      </c>
      <c r="BL147" s="188">
        <v>3.3</v>
      </c>
      <c r="BM147" s="188">
        <v>2.55</v>
      </c>
      <c r="BN147" s="241"/>
      <c r="BO147" s="241"/>
      <c r="BP147" s="241"/>
      <c r="BQ147" s="241"/>
      <c r="BR147" s="241"/>
      <c r="BS147" s="242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</row>
    <row r="148" outlineLevel="1">
      <c r="A148" s="15"/>
      <c r="B148" s="237" t="s">
        <v>234</v>
      </c>
      <c r="C148" s="172">
        <v>-25279.0</v>
      </c>
      <c r="D148" s="172">
        <v>-17485.0</v>
      </c>
      <c r="E148" s="172">
        <v>-5365.0</v>
      </c>
      <c r="F148" s="172">
        <v>-26306.0</v>
      </c>
      <c r="G148" s="172">
        <v>-17667.0</v>
      </c>
      <c r="H148" s="172">
        <v>-18118.0</v>
      </c>
      <c r="I148" s="172">
        <v>-10676.0</v>
      </c>
      <c r="J148" s="172">
        <v>-27012.0</v>
      </c>
      <c r="K148" s="172">
        <v>-25126.0</v>
      </c>
      <c r="L148" s="172">
        <v>-18687.0</v>
      </c>
      <c r="M148" s="172">
        <v>-3186.0</v>
      </c>
      <c r="N148" s="172">
        <v>-17344.0</v>
      </c>
      <c r="O148" s="172">
        <v>-22063.0</v>
      </c>
      <c r="P148" s="172">
        <v>-23184.0</v>
      </c>
      <c r="Q148" s="232"/>
      <c r="R148" s="233" t="s">
        <v>228</v>
      </c>
      <c r="S148" s="172">
        <v>221431.0</v>
      </c>
      <c r="T148" s="172">
        <v>155396.0</v>
      </c>
      <c r="U148" s="172">
        <v>13186.0</v>
      </c>
      <c r="V148" s="172">
        <v>71203.0</v>
      </c>
      <c r="W148" s="172">
        <v>80727.0</v>
      </c>
      <c r="X148" s="172">
        <v>56415.0</v>
      </c>
      <c r="Y148" s="172">
        <v>45072.0</v>
      </c>
      <c r="Z148" s="172">
        <v>144239.0</v>
      </c>
      <c r="AA148" s="172">
        <v>140848.0</v>
      </c>
      <c r="AB148" s="172">
        <v>79334.0</v>
      </c>
      <c r="AC148" s="172">
        <v>143699.0</v>
      </c>
      <c r="AD148" s="172">
        <v>222020.0</v>
      </c>
      <c r="AE148" s="172">
        <v>156379.0</v>
      </c>
      <c r="AF148" s="172">
        <v>125573.0</v>
      </c>
      <c r="AG148" s="232"/>
      <c r="AH148" s="233" t="s">
        <v>236</v>
      </c>
      <c r="AI148" s="172">
        <v>-10841.0</v>
      </c>
      <c r="AJ148" s="172">
        <v>-9839.0</v>
      </c>
      <c r="AK148" s="172">
        <v>-9439.0</v>
      </c>
      <c r="AL148" s="172">
        <v>-7039.0</v>
      </c>
      <c r="AM148" s="172">
        <v>-18020.0</v>
      </c>
      <c r="AN148" s="172">
        <v>-26335.0</v>
      </c>
      <c r="AO148" s="172">
        <v>-22610.0</v>
      </c>
      <c r="AP148" s="172">
        <v>-74135.0</v>
      </c>
      <c r="AQ148" s="172">
        <v>-41541.0</v>
      </c>
      <c r="AR148" s="172">
        <v>-37494.0</v>
      </c>
      <c r="AS148" s="172">
        <v>-8763.0</v>
      </c>
      <c r="AT148" s="172">
        <v>6329.0</v>
      </c>
      <c r="AU148" s="172">
        <v>-5131.0</v>
      </c>
      <c r="AV148" s="172">
        <v>-13001.0</v>
      </c>
      <c r="AW148" s="232"/>
      <c r="AX148" s="244" t="s">
        <v>237</v>
      </c>
      <c r="AY148" s="172" t="s">
        <v>209</v>
      </c>
      <c r="AZ148" s="172" t="s">
        <v>209</v>
      </c>
      <c r="BA148" s="172" t="s">
        <v>209</v>
      </c>
      <c r="BB148" s="172">
        <v>12.57</v>
      </c>
      <c r="BC148" s="188">
        <v>5.98</v>
      </c>
      <c r="BD148" s="188" t="s">
        <v>209</v>
      </c>
      <c r="BE148" s="188" t="s">
        <v>209</v>
      </c>
      <c r="BF148" s="188">
        <v>31.86</v>
      </c>
      <c r="BG148" s="188">
        <v>-57.92</v>
      </c>
      <c r="BH148" s="188" t="s">
        <v>209</v>
      </c>
      <c r="BI148" s="188" t="s">
        <v>209</v>
      </c>
      <c r="BJ148" s="188">
        <v>107.32</v>
      </c>
      <c r="BK148" s="188" t="s">
        <v>209</v>
      </c>
      <c r="BL148" s="188">
        <v>14.6</v>
      </c>
      <c r="BM148" s="188" t="s">
        <v>209</v>
      </c>
      <c r="BN148" s="241"/>
      <c r="BO148" s="241"/>
      <c r="BP148" s="241"/>
      <c r="BQ148" s="241"/>
      <c r="BR148" s="241"/>
      <c r="BS148" s="242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</row>
    <row r="149" outlineLevel="1">
      <c r="A149" s="15"/>
      <c r="B149" s="237" t="s">
        <v>241</v>
      </c>
      <c r="C149" s="188">
        <v>100.79</v>
      </c>
      <c r="D149" s="188">
        <v>117.19</v>
      </c>
      <c r="E149" s="188">
        <v>149.97</v>
      </c>
      <c r="F149" s="188">
        <v>173.96</v>
      </c>
      <c r="G149" s="188">
        <v>213.97</v>
      </c>
      <c r="H149" s="188">
        <v>250.53</v>
      </c>
      <c r="I149" s="188">
        <v>590.56</v>
      </c>
      <c r="J149" s="188">
        <v>616.6</v>
      </c>
      <c r="K149" s="188">
        <v>570.39</v>
      </c>
      <c r="L149" s="188">
        <v>591.04</v>
      </c>
      <c r="M149" s="188">
        <v>507.04</v>
      </c>
      <c r="N149" s="172">
        <v>1368.0</v>
      </c>
      <c r="O149" s="172">
        <v>1057.0</v>
      </c>
      <c r="P149" s="172">
        <v>1096.0</v>
      </c>
      <c r="Q149" s="232"/>
      <c r="R149" s="233" t="s">
        <v>235</v>
      </c>
      <c r="S149" s="172">
        <v>3603106.0</v>
      </c>
      <c r="T149" s="172">
        <v>2639265.0</v>
      </c>
      <c r="U149" s="172">
        <v>2314966.0</v>
      </c>
      <c r="V149" s="172">
        <v>2626866.0</v>
      </c>
      <c r="W149" s="172">
        <v>2565602.0</v>
      </c>
      <c r="X149" s="172">
        <v>2346447.0</v>
      </c>
      <c r="Y149" s="172">
        <v>2220463.0</v>
      </c>
      <c r="Z149" s="172">
        <v>2699131.0</v>
      </c>
      <c r="AA149" s="172">
        <v>3063024.0</v>
      </c>
      <c r="AB149" s="172">
        <v>2551664.0</v>
      </c>
      <c r="AC149" s="172">
        <v>2379890.0</v>
      </c>
      <c r="AD149" s="172">
        <v>2471784.0</v>
      </c>
      <c r="AE149" s="172">
        <v>2308493.0</v>
      </c>
      <c r="AF149" s="172">
        <v>2542645.0</v>
      </c>
      <c r="AG149" s="232"/>
      <c r="AH149" s="244" t="s">
        <v>243</v>
      </c>
      <c r="AI149" s="172" t="s">
        <v>209</v>
      </c>
      <c r="AJ149" s="172">
        <v>974207.0</v>
      </c>
      <c r="AK149" s="172" t="s">
        <v>209</v>
      </c>
      <c r="AL149" s="172" t="s">
        <v>209</v>
      </c>
      <c r="AM149" s="188" t="s">
        <v>209</v>
      </c>
      <c r="AN149" s="172">
        <v>934714.0</v>
      </c>
      <c r="AO149" s="188" t="s">
        <v>209</v>
      </c>
      <c r="AP149" s="188" t="s">
        <v>209</v>
      </c>
      <c r="AQ149" s="188" t="s">
        <v>209</v>
      </c>
      <c r="AR149" s="172">
        <v>978494.0</v>
      </c>
      <c r="AS149" s="188" t="s">
        <v>209</v>
      </c>
      <c r="AT149" s="188" t="s">
        <v>209</v>
      </c>
      <c r="AU149" s="188" t="s">
        <v>209</v>
      </c>
      <c r="AV149" s="172">
        <v>1226016.0</v>
      </c>
      <c r="AW149" s="241"/>
      <c r="AX149" s="174" t="s">
        <v>244</v>
      </c>
      <c r="AY149" s="188" t="s">
        <v>209</v>
      </c>
      <c r="AZ149" s="172" t="s">
        <v>209</v>
      </c>
      <c r="BA149" s="188" t="s">
        <v>209</v>
      </c>
      <c r="BB149" s="188">
        <v>10.09</v>
      </c>
      <c r="BC149" s="188">
        <v>5.15</v>
      </c>
      <c r="BD149" s="188" t="s">
        <v>209</v>
      </c>
      <c r="BE149" s="188" t="s">
        <v>209</v>
      </c>
      <c r="BF149" s="188">
        <v>12.63</v>
      </c>
      <c r="BG149" s="188">
        <v>43.27</v>
      </c>
      <c r="BH149" s="188" t="s">
        <v>209</v>
      </c>
      <c r="BI149" s="188" t="s">
        <v>209</v>
      </c>
      <c r="BJ149" s="188">
        <v>49.34</v>
      </c>
      <c r="BK149" s="188">
        <v>13.48</v>
      </c>
      <c r="BL149" s="188">
        <v>12.13</v>
      </c>
      <c r="BM149" s="188" t="s">
        <v>209</v>
      </c>
      <c r="BN149" s="241"/>
      <c r="BO149" s="241"/>
      <c r="BP149" s="241"/>
      <c r="BQ149" s="241"/>
      <c r="BR149" s="241"/>
      <c r="BS149" s="242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</row>
    <row r="150" outlineLevel="1">
      <c r="A150" s="15"/>
      <c r="B150" s="237" t="s">
        <v>247</v>
      </c>
      <c r="C150" s="172" t="s">
        <v>209</v>
      </c>
      <c r="D150" s="172" t="s">
        <v>209</v>
      </c>
      <c r="E150" s="172">
        <v>-178.24</v>
      </c>
      <c r="F150" s="172" t="s">
        <v>209</v>
      </c>
      <c r="G150" s="172" t="s">
        <v>209</v>
      </c>
      <c r="H150" s="172">
        <v>148.3</v>
      </c>
      <c r="I150" s="172">
        <v>-215.39</v>
      </c>
      <c r="J150" s="172">
        <v>161.35</v>
      </c>
      <c r="K150" s="188">
        <v>28.28</v>
      </c>
      <c r="L150" s="188">
        <v>25.76</v>
      </c>
      <c r="M150" s="172" t="s">
        <v>209</v>
      </c>
      <c r="N150" s="188" t="s">
        <v>209</v>
      </c>
      <c r="O150" s="172" t="s">
        <v>209</v>
      </c>
      <c r="P150" s="188" t="s">
        <v>209</v>
      </c>
      <c r="Q150" s="232"/>
      <c r="R150" s="237" t="s">
        <v>242</v>
      </c>
      <c r="S150" s="172">
        <v>844200.0</v>
      </c>
      <c r="T150" s="172">
        <v>845501.0</v>
      </c>
      <c r="U150" s="172">
        <v>847651.0</v>
      </c>
      <c r="V150" s="172">
        <v>578523.0</v>
      </c>
      <c r="W150" s="172">
        <v>581892.0</v>
      </c>
      <c r="X150" s="172">
        <v>573971.0</v>
      </c>
      <c r="Y150" s="172">
        <v>557170.0</v>
      </c>
      <c r="Z150" s="172">
        <v>518764.0</v>
      </c>
      <c r="AA150" s="172">
        <v>453505.0</v>
      </c>
      <c r="AB150" s="172">
        <v>420633.0</v>
      </c>
      <c r="AC150" s="172">
        <v>391554.0</v>
      </c>
      <c r="AD150" s="172">
        <v>387766.0</v>
      </c>
      <c r="AE150" s="172">
        <v>384067.0</v>
      </c>
      <c r="AF150" s="172">
        <v>385677.0</v>
      </c>
      <c r="AG150" s="232"/>
      <c r="AH150" s="233" t="s">
        <v>249</v>
      </c>
      <c r="AI150" s="172" t="s">
        <v>209</v>
      </c>
      <c r="AJ150" s="172" t="s">
        <v>209</v>
      </c>
      <c r="AK150" s="172" t="s">
        <v>209</v>
      </c>
      <c r="AL150" s="172" t="s">
        <v>209</v>
      </c>
      <c r="AM150" s="188" t="s">
        <v>209</v>
      </c>
      <c r="AN150" s="188" t="s">
        <v>209</v>
      </c>
      <c r="AO150" s="188" t="s">
        <v>209</v>
      </c>
      <c r="AP150" s="188" t="s">
        <v>209</v>
      </c>
      <c r="AQ150" s="188" t="s">
        <v>209</v>
      </c>
      <c r="AR150" s="188" t="s">
        <v>209</v>
      </c>
      <c r="AS150" s="188" t="s">
        <v>209</v>
      </c>
      <c r="AT150" s="188" t="s">
        <v>209</v>
      </c>
      <c r="AU150" s="188" t="s">
        <v>209</v>
      </c>
      <c r="AV150" s="172">
        <v>16966.0</v>
      </c>
      <c r="AW150" s="241"/>
      <c r="AX150" s="157" t="s">
        <v>250</v>
      </c>
      <c r="AY150" s="186">
        <v>1.08</v>
      </c>
      <c r="AZ150" s="243">
        <v>0.84</v>
      </c>
      <c r="BA150" s="186">
        <v>1.06</v>
      </c>
      <c r="BB150" s="186">
        <v>0.96</v>
      </c>
      <c r="BC150" s="186">
        <v>1.07</v>
      </c>
      <c r="BD150" s="186">
        <v>1.04</v>
      </c>
      <c r="BE150" s="186">
        <v>0.99</v>
      </c>
      <c r="BF150" s="186">
        <v>1.05</v>
      </c>
      <c r="BG150" s="186">
        <v>1.24</v>
      </c>
      <c r="BH150" s="186">
        <v>1.09</v>
      </c>
      <c r="BI150" s="186">
        <v>1.07</v>
      </c>
      <c r="BJ150" s="186">
        <v>1.04</v>
      </c>
      <c r="BK150" s="186">
        <v>0.94</v>
      </c>
      <c r="BL150" s="186">
        <v>0.97</v>
      </c>
      <c r="BM150" s="186">
        <v>0.84</v>
      </c>
      <c r="BN150" s="241"/>
      <c r="BO150" s="241"/>
      <c r="BP150" s="241"/>
      <c r="BQ150" s="241"/>
      <c r="BR150" s="241"/>
      <c r="BS150" s="242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</row>
    <row r="151" outlineLevel="1">
      <c r="A151" s="15"/>
      <c r="B151" s="237" t="s">
        <v>254</v>
      </c>
      <c r="C151" s="172">
        <v>1501.0</v>
      </c>
      <c r="D151" s="172">
        <v>6394.0</v>
      </c>
      <c r="E151" s="172">
        <v>-17641.0</v>
      </c>
      <c r="F151" s="172">
        <v>4227.0</v>
      </c>
      <c r="G151" s="172">
        <v>4671.0</v>
      </c>
      <c r="H151" s="172">
        <v>10138.0</v>
      </c>
      <c r="I151" s="172">
        <v>-12134.0</v>
      </c>
      <c r="J151" s="172">
        <v>2895.0</v>
      </c>
      <c r="K151" s="172">
        <v>408.93</v>
      </c>
      <c r="L151" s="172">
        <v>297.79</v>
      </c>
      <c r="M151" s="172">
        <v>-10283.0</v>
      </c>
      <c r="N151" s="172">
        <v>281.74</v>
      </c>
      <c r="O151" s="172">
        <v>3795.0</v>
      </c>
      <c r="P151" s="172">
        <v>841.05</v>
      </c>
      <c r="Q151" s="232"/>
      <c r="R151" s="233" t="s">
        <v>248</v>
      </c>
      <c r="S151" s="172" t="s">
        <v>209</v>
      </c>
      <c r="T151" s="172" t="s">
        <v>209</v>
      </c>
      <c r="U151" s="172" t="s">
        <v>209</v>
      </c>
      <c r="V151" s="172" t="s">
        <v>209</v>
      </c>
      <c r="W151" s="172" t="s">
        <v>209</v>
      </c>
      <c r="X151" s="172" t="s">
        <v>209</v>
      </c>
      <c r="Y151" s="172" t="s">
        <v>209</v>
      </c>
      <c r="Z151" s="172" t="s">
        <v>209</v>
      </c>
      <c r="AA151" s="172" t="s">
        <v>209</v>
      </c>
      <c r="AB151" s="172">
        <v>13800.0</v>
      </c>
      <c r="AC151" s="172">
        <v>13800.0</v>
      </c>
      <c r="AD151" s="172">
        <v>17250.0</v>
      </c>
      <c r="AE151" s="172">
        <v>34500.0</v>
      </c>
      <c r="AF151" s="172">
        <v>34500.0</v>
      </c>
      <c r="AG151" s="232"/>
      <c r="AH151" s="233" t="s">
        <v>256</v>
      </c>
      <c r="AI151" s="172">
        <v>1185055.0</v>
      </c>
      <c r="AJ151" s="172">
        <v>974207.0</v>
      </c>
      <c r="AK151" s="172">
        <v>1186789.0</v>
      </c>
      <c r="AL151" s="172">
        <v>950406.0</v>
      </c>
      <c r="AM151" s="172">
        <v>1082568.0</v>
      </c>
      <c r="AN151" s="172">
        <v>934714.0</v>
      </c>
      <c r="AO151" s="172">
        <v>1201687.0</v>
      </c>
      <c r="AP151" s="172">
        <v>1250446.0</v>
      </c>
      <c r="AQ151" s="172">
        <v>1508911.0</v>
      </c>
      <c r="AR151" s="172">
        <v>978494.0</v>
      </c>
      <c r="AS151" s="172">
        <v>943040.0</v>
      </c>
      <c r="AT151" s="172">
        <v>1142651.0</v>
      </c>
      <c r="AU151" s="172">
        <v>826406.0</v>
      </c>
      <c r="AV151" s="172">
        <v>1242982.0</v>
      </c>
      <c r="AW151" s="232"/>
      <c r="AX151" s="238" t="s">
        <v>257</v>
      </c>
      <c r="AY151" s="243">
        <v>9.58</v>
      </c>
      <c r="AZ151" s="243">
        <v>7.42</v>
      </c>
      <c r="BA151" s="243">
        <v>9.31</v>
      </c>
      <c r="BB151" s="243">
        <v>8.73</v>
      </c>
      <c r="BC151" s="186">
        <v>9.38</v>
      </c>
      <c r="BD151" s="186">
        <v>9.02</v>
      </c>
      <c r="BE151" s="186">
        <v>8.07</v>
      </c>
      <c r="BF151" s="186">
        <v>8.0</v>
      </c>
      <c r="BG151" s="186">
        <v>8.93</v>
      </c>
      <c r="BH151" s="186">
        <v>7.43</v>
      </c>
      <c r="BI151" s="186">
        <v>7.54</v>
      </c>
      <c r="BJ151" s="186">
        <v>7.36</v>
      </c>
      <c r="BK151" s="186">
        <v>6.79</v>
      </c>
      <c r="BL151" s="186">
        <v>7.1</v>
      </c>
      <c r="BM151" s="186">
        <v>5.81</v>
      </c>
      <c r="BN151" s="241"/>
      <c r="BO151" s="241"/>
      <c r="BP151" s="241"/>
      <c r="BQ151" s="241"/>
      <c r="BR151" s="241"/>
      <c r="BS151" s="242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</row>
    <row r="152" outlineLevel="1">
      <c r="A152" s="15"/>
      <c r="B152" s="237" t="s">
        <v>261</v>
      </c>
      <c r="C152" s="172">
        <v>113292.0</v>
      </c>
      <c r="D152" s="172">
        <v>49851.0</v>
      </c>
      <c r="E152" s="172">
        <v>89853.0</v>
      </c>
      <c r="F152" s="172">
        <v>114292.0</v>
      </c>
      <c r="G152" s="172">
        <v>77549.0</v>
      </c>
      <c r="H152" s="172">
        <v>59675.0</v>
      </c>
      <c r="I152" s="172">
        <v>104230.0</v>
      </c>
      <c r="J152" s="172">
        <v>127048.0</v>
      </c>
      <c r="K152" s="172">
        <v>114180.0</v>
      </c>
      <c r="L152" s="172">
        <v>162804.0</v>
      </c>
      <c r="M152" s="172">
        <v>81955.0</v>
      </c>
      <c r="N152" s="172">
        <v>141429.0</v>
      </c>
      <c r="O152" s="172">
        <v>127117.0</v>
      </c>
      <c r="P152" s="172">
        <v>185769.0</v>
      </c>
      <c r="Q152" s="232"/>
      <c r="R152" s="233" t="s">
        <v>255</v>
      </c>
      <c r="S152" s="172">
        <v>14080.0</v>
      </c>
      <c r="T152" s="172">
        <v>12267.0</v>
      </c>
      <c r="U152" s="172">
        <v>12574.0</v>
      </c>
      <c r="V152" s="172">
        <v>10658.0</v>
      </c>
      <c r="W152" s="172">
        <v>9804.0</v>
      </c>
      <c r="X152" s="172">
        <v>10248.0</v>
      </c>
      <c r="Y152" s="172">
        <v>10728.0</v>
      </c>
      <c r="Z152" s="172">
        <v>11317.0</v>
      </c>
      <c r="AA152" s="172">
        <v>11651.0</v>
      </c>
      <c r="AB152" s="172">
        <v>11471.0</v>
      </c>
      <c r="AC152" s="172">
        <v>8421.0</v>
      </c>
      <c r="AD152" s="172">
        <v>9186.0</v>
      </c>
      <c r="AE152" s="172">
        <v>8520.0</v>
      </c>
      <c r="AF152" s="172">
        <v>7367.0</v>
      </c>
      <c r="AG152" s="232"/>
      <c r="AH152" s="233" t="s">
        <v>263</v>
      </c>
      <c r="AI152" s="172" t="s">
        <v>209</v>
      </c>
      <c r="AJ152" s="172">
        <v>-825165.0</v>
      </c>
      <c r="AK152" s="172" t="s">
        <v>209</v>
      </c>
      <c r="AL152" s="172" t="s">
        <v>209</v>
      </c>
      <c r="AM152" s="188" t="s">
        <v>209</v>
      </c>
      <c r="AN152" s="172">
        <v>-881736.0</v>
      </c>
      <c r="AO152" s="188" t="s">
        <v>209</v>
      </c>
      <c r="AP152" s="188" t="s">
        <v>209</v>
      </c>
      <c r="AQ152" s="188" t="s">
        <v>209</v>
      </c>
      <c r="AR152" s="172">
        <v>-864818.0</v>
      </c>
      <c r="AS152" s="188" t="s">
        <v>209</v>
      </c>
      <c r="AT152" s="188" t="s">
        <v>209</v>
      </c>
      <c r="AU152" s="188" t="s">
        <v>209</v>
      </c>
      <c r="AV152" s="172">
        <v>-1011321.0</v>
      </c>
      <c r="AW152" s="241"/>
      <c r="AX152" s="157" t="s">
        <v>264</v>
      </c>
      <c r="AY152" s="186">
        <v>10.6</v>
      </c>
      <c r="AZ152" s="243">
        <v>8.21</v>
      </c>
      <c r="BA152" s="186">
        <v>10.37</v>
      </c>
      <c r="BB152" s="186">
        <v>9.64</v>
      </c>
      <c r="BC152" s="186">
        <v>10.28</v>
      </c>
      <c r="BD152" s="186">
        <v>9.8</v>
      </c>
      <c r="BE152" s="186">
        <v>8.67</v>
      </c>
      <c r="BF152" s="186">
        <v>8.47</v>
      </c>
      <c r="BG152" s="186">
        <v>9.47</v>
      </c>
      <c r="BH152" s="186">
        <v>7.86</v>
      </c>
      <c r="BI152" s="186">
        <v>7.95</v>
      </c>
      <c r="BJ152" s="186">
        <v>7.72</v>
      </c>
      <c r="BK152" s="186">
        <v>7.06</v>
      </c>
      <c r="BL152" s="186">
        <v>7.38</v>
      </c>
      <c r="BM152" s="186">
        <v>6.04</v>
      </c>
      <c r="BN152" s="241"/>
      <c r="BO152" s="241"/>
      <c r="BP152" s="241"/>
      <c r="BQ152" s="241"/>
      <c r="BR152" s="241"/>
      <c r="BS152" s="242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</row>
    <row r="153" outlineLevel="1">
      <c r="A153" s="15"/>
      <c r="B153" s="237" t="s">
        <v>268</v>
      </c>
      <c r="C153" s="188" t="s">
        <v>209</v>
      </c>
      <c r="D153" s="188" t="s">
        <v>209</v>
      </c>
      <c r="E153" s="188">
        <v>956.9</v>
      </c>
      <c r="F153" s="188" t="s">
        <v>209</v>
      </c>
      <c r="G153" s="188" t="s">
        <v>209</v>
      </c>
      <c r="H153" s="188" t="s">
        <v>209</v>
      </c>
      <c r="I153" s="188">
        <v>198.2</v>
      </c>
      <c r="J153" s="188" t="s">
        <v>209</v>
      </c>
      <c r="K153" s="188" t="s">
        <v>209</v>
      </c>
      <c r="L153" s="188" t="s">
        <v>209</v>
      </c>
      <c r="M153" s="188">
        <v>536.94</v>
      </c>
      <c r="N153" s="188" t="s">
        <v>209</v>
      </c>
      <c r="O153" s="188" t="s">
        <v>209</v>
      </c>
      <c r="P153" s="188" t="s">
        <v>209</v>
      </c>
      <c r="Q153" s="241"/>
      <c r="R153" s="245" t="s">
        <v>262</v>
      </c>
      <c r="S153" s="204">
        <v>4461386.0</v>
      </c>
      <c r="T153" s="204">
        <v>3497033.0</v>
      </c>
      <c r="U153" s="204">
        <v>3175191.0</v>
      </c>
      <c r="V153" s="204">
        <v>3216047.0</v>
      </c>
      <c r="W153" s="204">
        <v>3157298.0</v>
      </c>
      <c r="X153" s="204">
        <v>2930666.0</v>
      </c>
      <c r="Y153" s="204">
        <v>2788362.0</v>
      </c>
      <c r="Z153" s="204">
        <v>3229212.0</v>
      </c>
      <c r="AA153" s="204">
        <v>3528180.0</v>
      </c>
      <c r="AB153" s="204">
        <v>2997568.0</v>
      </c>
      <c r="AC153" s="204">
        <v>2793665.0</v>
      </c>
      <c r="AD153" s="204">
        <v>2885986.0</v>
      </c>
      <c r="AE153" s="204">
        <v>2735579.0</v>
      </c>
      <c r="AF153" s="204">
        <v>2970189.0</v>
      </c>
      <c r="AG153" s="232"/>
      <c r="AH153" s="233" t="s">
        <v>270</v>
      </c>
      <c r="AI153" s="172" t="s">
        <v>209</v>
      </c>
      <c r="AJ153" s="172">
        <v>-9513.0</v>
      </c>
      <c r="AK153" s="172" t="s">
        <v>209</v>
      </c>
      <c r="AL153" s="172" t="s">
        <v>209</v>
      </c>
      <c r="AM153" s="188" t="s">
        <v>209</v>
      </c>
      <c r="AN153" s="172">
        <v>-9702.0</v>
      </c>
      <c r="AO153" s="172" t="s">
        <v>209</v>
      </c>
      <c r="AP153" s="188" t="s">
        <v>209</v>
      </c>
      <c r="AQ153" s="188" t="s">
        <v>209</v>
      </c>
      <c r="AR153" s="172">
        <v>-5723.0</v>
      </c>
      <c r="AS153" s="172" t="s">
        <v>209</v>
      </c>
      <c r="AT153" s="172" t="s">
        <v>209</v>
      </c>
      <c r="AU153" s="188" t="s">
        <v>209</v>
      </c>
      <c r="AV153" s="172">
        <v>-3548.0</v>
      </c>
      <c r="AW153" s="241"/>
      <c r="AX153" s="157" t="s">
        <v>271</v>
      </c>
      <c r="AY153" s="186" t="s">
        <v>209</v>
      </c>
      <c r="AZ153" s="243" t="s">
        <v>209</v>
      </c>
      <c r="BA153" s="186" t="s">
        <v>209</v>
      </c>
      <c r="BB153" s="186">
        <v>15.62</v>
      </c>
      <c r="BC153" s="186">
        <v>7.88</v>
      </c>
      <c r="BD153" s="186" t="s">
        <v>209</v>
      </c>
      <c r="BE153" s="186" t="s">
        <v>209</v>
      </c>
      <c r="BF153" s="186">
        <v>40.49</v>
      </c>
      <c r="BG153" s="186">
        <v>-75.48</v>
      </c>
      <c r="BH153" s="186" t="s">
        <v>209</v>
      </c>
      <c r="BI153" s="186" t="s">
        <v>209</v>
      </c>
      <c r="BJ153" s="186">
        <v>130.87</v>
      </c>
      <c r="BK153" s="186" t="s">
        <v>209</v>
      </c>
      <c r="BL153" s="186">
        <v>18.44</v>
      </c>
      <c r="BM153" s="186" t="s">
        <v>209</v>
      </c>
      <c r="BN153" s="241"/>
      <c r="BO153" s="241"/>
      <c r="BP153" s="241"/>
      <c r="BQ153" s="241"/>
      <c r="BR153" s="241"/>
      <c r="BS153" s="242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</row>
    <row r="154" outlineLevel="1">
      <c r="A154" s="15"/>
      <c r="B154" s="237" t="s">
        <v>274</v>
      </c>
      <c r="C154" s="172" t="s">
        <v>209</v>
      </c>
      <c r="D154" s="172" t="s">
        <v>209</v>
      </c>
      <c r="E154" s="172" t="s">
        <v>209</v>
      </c>
      <c r="F154" s="172" t="s">
        <v>209</v>
      </c>
      <c r="G154" s="172" t="s">
        <v>209</v>
      </c>
      <c r="H154" s="172" t="s">
        <v>209</v>
      </c>
      <c r="I154" s="172" t="s">
        <v>209</v>
      </c>
      <c r="J154" s="172" t="s">
        <v>209</v>
      </c>
      <c r="K154" s="172" t="s">
        <v>209</v>
      </c>
      <c r="L154" s="172" t="s">
        <v>209</v>
      </c>
      <c r="M154" s="172">
        <v>-80.54</v>
      </c>
      <c r="N154" s="172" t="s">
        <v>209</v>
      </c>
      <c r="O154" s="172" t="s">
        <v>209</v>
      </c>
      <c r="P154" s="172" t="s">
        <v>209</v>
      </c>
      <c r="Q154" s="232"/>
      <c r="R154" s="244" t="s">
        <v>269</v>
      </c>
      <c r="S154" s="172">
        <v>777642.0</v>
      </c>
      <c r="T154" s="172">
        <v>512392.0</v>
      </c>
      <c r="U154" s="172">
        <v>339600.0</v>
      </c>
      <c r="V154" s="172">
        <v>618203.0</v>
      </c>
      <c r="W154" s="172">
        <v>341270.0</v>
      </c>
      <c r="X154" s="172">
        <v>389702.0</v>
      </c>
      <c r="Y154" s="172">
        <v>369394.0</v>
      </c>
      <c r="Z154" s="172">
        <v>373420.0</v>
      </c>
      <c r="AA154" s="172">
        <v>480241.0</v>
      </c>
      <c r="AB154" s="172">
        <v>430037.0</v>
      </c>
      <c r="AC154" s="172">
        <v>340374.0</v>
      </c>
      <c r="AD154" s="172">
        <v>369087.0</v>
      </c>
      <c r="AE154" s="172">
        <v>288446.0</v>
      </c>
      <c r="AF154" s="172">
        <v>328584.0</v>
      </c>
      <c r="AG154" s="232"/>
      <c r="AH154" s="233" t="s">
        <v>276</v>
      </c>
      <c r="AI154" s="172">
        <v>-588256.0</v>
      </c>
      <c r="AJ154" s="172">
        <v>-834678.0</v>
      </c>
      <c r="AK154" s="172">
        <v>-1225067.0</v>
      </c>
      <c r="AL154" s="172">
        <v>-1260018.0</v>
      </c>
      <c r="AM154" s="172">
        <v>-783726.0</v>
      </c>
      <c r="AN154" s="172">
        <v>-891438.0</v>
      </c>
      <c r="AO154" s="172">
        <v>-1549799.0</v>
      </c>
      <c r="AP154" s="172">
        <v>-1456046.0</v>
      </c>
      <c r="AQ154" s="172">
        <v>-1087082.0</v>
      </c>
      <c r="AR154" s="172">
        <v>-870540.0</v>
      </c>
      <c r="AS154" s="172">
        <v>-1030912.0</v>
      </c>
      <c r="AT154" s="172">
        <v>-1127292.0</v>
      </c>
      <c r="AU154" s="172">
        <v>-1024949.0</v>
      </c>
      <c r="AV154" s="172">
        <v>-1014869.0</v>
      </c>
      <c r="AW154" s="232"/>
      <c r="AX154" s="244" t="s">
        <v>277</v>
      </c>
      <c r="AY154" s="172">
        <v>0.79</v>
      </c>
      <c r="AZ154" s="172">
        <v>0.79</v>
      </c>
      <c r="BA154" s="172">
        <v>0.47</v>
      </c>
      <c r="BB154" s="172">
        <v>0.41</v>
      </c>
      <c r="BC154" s="188">
        <v>0.52</v>
      </c>
      <c r="BD154" s="188">
        <v>0.76</v>
      </c>
      <c r="BE154" s="188">
        <v>0.51</v>
      </c>
      <c r="BF154" s="188">
        <v>0.5</v>
      </c>
      <c r="BG154" s="188">
        <v>0.75</v>
      </c>
      <c r="BH154" s="188">
        <v>0.95</v>
      </c>
      <c r="BI154" s="188">
        <v>0.59</v>
      </c>
      <c r="BJ154" s="188">
        <v>0.57</v>
      </c>
      <c r="BK154" s="188">
        <v>0.66</v>
      </c>
      <c r="BL154" s="188">
        <v>0.71</v>
      </c>
      <c r="BM154" s="188">
        <v>0.84</v>
      </c>
      <c r="BN154" s="241"/>
      <c r="BO154" s="241"/>
      <c r="BP154" s="241"/>
      <c r="BQ154" s="241"/>
      <c r="BR154" s="241"/>
      <c r="BS154" s="242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</row>
    <row r="155" outlineLevel="1">
      <c r="A155" s="15"/>
      <c r="B155" s="237" t="s">
        <v>281</v>
      </c>
      <c r="C155" s="172">
        <v>113292.0</v>
      </c>
      <c r="D155" s="172">
        <v>49851.0</v>
      </c>
      <c r="E155" s="172">
        <v>90810.0</v>
      </c>
      <c r="F155" s="172">
        <v>114292.0</v>
      </c>
      <c r="G155" s="172">
        <v>77549.0</v>
      </c>
      <c r="H155" s="172">
        <v>59675.0</v>
      </c>
      <c r="I155" s="172">
        <v>104428.0</v>
      </c>
      <c r="J155" s="172">
        <v>127048.0</v>
      </c>
      <c r="K155" s="172">
        <v>114180.0</v>
      </c>
      <c r="L155" s="172">
        <v>162804.0</v>
      </c>
      <c r="M155" s="172">
        <v>82036.0</v>
      </c>
      <c r="N155" s="172">
        <v>141532.0</v>
      </c>
      <c r="O155" s="172">
        <v>127152.0</v>
      </c>
      <c r="P155" s="172">
        <v>186245.0</v>
      </c>
      <c r="Q155" s="232"/>
      <c r="R155" s="233" t="s">
        <v>275</v>
      </c>
      <c r="S155" s="172">
        <v>7218.0</v>
      </c>
      <c r="T155" s="172">
        <v>5500.0</v>
      </c>
      <c r="U155" s="172">
        <v>44563.0</v>
      </c>
      <c r="V155" s="172">
        <v>21943.0</v>
      </c>
      <c r="W155" s="172">
        <v>5436.0</v>
      </c>
      <c r="X155" s="172">
        <v>5524.0</v>
      </c>
      <c r="Y155" s="172">
        <v>18984.0</v>
      </c>
      <c r="Z155" s="172">
        <v>16120.0</v>
      </c>
      <c r="AA155" s="172">
        <v>18467.0</v>
      </c>
      <c r="AB155" s="172">
        <v>17385.0</v>
      </c>
      <c r="AC155" s="172">
        <v>5379.0</v>
      </c>
      <c r="AD155" s="172">
        <v>24249.0</v>
      </c>
      <c r="AE155" s="172">
        <v>23655.0</v>
      </c>
      <c r="AF155" s="172">
        <v>19185.0</v>
      </c>
      <c r="AG155" s="232"/>
      <c r="AH155" s="233" t="s">
        <v>283</v>
      </c>
      <c r="AI155" s="172">
        <v>596799.0</v>
      </c>
      <c r="AJ155" s="172">
        <v>139529.0</v>
      </c>
      <c r="AK155" s="172">
        <v>-38278.0</v>
      </c>
      <c r="AL155" s="172">
        <v>-309612.0</v>
      </c>
      <c r="AM155" s="172">
        <v>298843.0</v>
      </c>
      <c r="AN155" s="172">
        <v>43276.0</v>
      </c>
      <c r="AO155" s="172">
        <v>-348112.0</v>
      </c>
      <c r="AP155" s="172">
        <v>-205601.0</v>
      </c>
      <c r="AQ155" s="172">
        <v>421829.0</v>
      </c>
      <c r="AR155" s="172">
        <v>107954.0</v>
      </c>
      <c r="AS155" s="172">
        <v>-87872.0</v>
      </c>
      <c r="AT155" s="172">
        <v>15360.0</v>
      </c>
      <c r="AU155" s="172">
        <v>-198543.0</v>
      </c>
      <c r="AV155" s="172">
        <v>228113.0</v>
      </c>
      <c r="AW155" s="232"/>
      <c r="AX155" s="244" t="s">
        <v>284</v>
      </c>
      <c r="AY155" s="172">
        <v>3.05</v>
      </c>
      <c r="AZ155" s="172">
        <v>2.53</v>
      </c>
      <c r="BA155" s="172">
        <v>3.13</v>
      </c>
      <c r="BB155" s="172">
        <v>1.55</v>
      </c>
      <c r="BC155" s="188">
        <v>1.36</v>
      </c>
      <c r="BD155" s="188">
        <v>2.78</v>
      </c>
      <c r="BE155" s="188">
        <v>2.67</v>
      </c>
      <c r="BF155" s="188">
        <v>1.42</v>
      </c>
      <c r="BG155" s="188">
        <v>1.74</v>
      </c>
      <c r="BH155" s="188">
        <v>2.24</v>
      </c>
      <c r="BI155" s="188">
        <v>1.18</v>
      </c>
      <c r="BJ155" s="188">
        <v>1.9</v>
      </c>
      <c r="BK155" s="188">
        <v>1.33</v>
      </c>
      <c r="BL155" s="188">
        <v>1.42</v>
      </c>
      <c r="BM155" s="188">
        <v>1.24</v>
      </c>
      <c r="BN155" s="241"/>
      <c r="BO155" s="241"/>
      <c r="BP155" s="241"/>
      <c r="BQ155" s="241"/>
      <c r="BR155" s="241"/>
      <c r="BS155" s="242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</row>
    <row r="156" outlineLevel="1">
      <c r="A156" s="15"/>
      <c r="B156" s="237" t="s">
        <v>286</v>
      </c>
      <c r="C156" s="172">
        <v>24450.0</v>
      </c>
      <c r="D156" s="172">
        <v>11040.0</v>
      </c>
      <c r="E156" s="172">
        <v>20151.0</v>
      </c>
      <c r="F156" s="172">
        <v>24932.0</v>
      </c>
      <c r="G156" s="172">
        <v>16614.0</v>
      </c>
      <c r="H156" s="172">
        <v>13129.0</v>
      </c>
      <c r="I156" s="172">
        <v>23568.0</v>
      </c>
      <c r="J156" s="172">
        <v>27679.0</v>
      </c>
      <c r="K156" s="172">
        <v>24849.0</v>
      </c>
      <c r="L156" s="172">
        <v>35549.0</v>
      </c>
      <c r="M156" s="172">
        <v>17939.0</v>
      </c>
      <c r="N156" s="172">
        <v>30787.0</v>
      </c>
      <c r="O156" s="172">
        <v>27555.0</v>
      </c>
      <c r="P156" s="172">
        <v>40607.0</v>
      </c>
      <c r="Q156" s="232"/>
      <c r="R156" s="233" t="s">
        <v>282</v>
      </c>
      <c r="S156" s="172">
        <v>1403994.0</v>
      </c>
      <c r="T156" s="172">
        <v>798263.0</v>
      </c>
      <c r="U156" s="172">
        <v>649221.0</v>
      </c>
      <c r="V156" s="172">
        <v>674821.0</v>
      </c>
      <c r="W156" s="172">
        <v>974801.0</v>
      </c>
      <c r="X156" s="172">
        <v>666515.0</v>
      </c>
      <c r="Y156" s="172">
        <v>615529.0</v>
      </c>
      <c r="Z156" s="172">
        <v>990151.0</v>
      </c>
      <c r="AA156" s="172">
        <v>1224046.0</v>
      </c>
      <c r="AB156" s="172">
        <v>838451.0</v>
      </c>
      <c r="AC156" s="172">
        <v>730455.0</v>
      </c>
      <c r="AD156" s="172">
        <v>815005.0</v>
      </c>
      <c r="AE156" s="172">
        <v>804042.0</v>
      </c>
      <c r="AF156" s="172">
        <v>999581.0</v>
      </c>
      <c r="AG156" s="232"/>
      <c r="AH156" s="233" t="s">
        <v>288</v>
      </c>
      <c r="AI156" s="172">
        <v>-1208.0</v>
      </c>
      <c r="AJ156" s="172" t="s">
        <v>209</v>
      </c>
      <c r="AK156" s="172">
        <v>-86998.0</v>
      </c>
      <c r="AL156" s="172">
        <v>-86998.0</v>
      </c>
      <c r="AM156" s="172">
        <v>-30899.0</v>
      </c>
      <c r="AN156" s="188" t="s">
        <v>209</v>
      </c>
      <c r="AO156" s="172">
        <v>-109820.0</v>
      </c>
      <c r="AP156" s="172">
        <v>-105925.0</v>
      </c>
      <c r="AQ156" s="188">
        <v>-936.5</v>
      </c>
      <c r="AR156" s="188" t="s">
        <v>209</v>
      </c>
      <c r="AS156" s="172">
        <v>-67471.0</v>
      </c>
      <c r="AT156" s="172">
        <v>-67471.0</v>
      </c>
      <c r="AU156" s="172">
        <v>-24730.0</v>
      </c>
      <c r="AV156" s="188" t="s">
        <v>209</v>
      </c>
      <c r="AW156" s="232"/>
      <c r="AX156" s="244" t="s">
        <v>289</v>
      </c>
      <c r="AY156" s="188" t="s">
        <v>209</v>
      </c>
      <c r="AZ156" s="188" t="s">
        <v>209</v>
      </c>
      <c r="BA156" s="172" t="s">
        <v>209</v>
      </c>
      <c r="BB156" s="172">
        <v>3.08</v>
      </c>
      <c r="BC156" s="188">
        <v>1.47</v>
      </c>
      <c r="BD156" s="188" t="s">
        <v>209</v>
      </c>
      <c r="BE156" s="188" t="s">
        <v>209</v>
      </c>
      <c r="BF156" s="188">
        <v>6.2</v>
      </c>
      <c r="BG156" s="188">
        <v>-15.68</v>
      </c>
      <c r="BH156" s="188" t="s">
        <v>209</v>
      </c>
      <c r="BI156" s="188" t="s">
        <v>209</v>
      </c>
      <c r="BJ156" s="188">
        <v>22.09</v>
      </c>
      <c r="BK156" s="188" t="s">
        <v>209</v>
      </c>
      <c r="BL156" s="188">
        <v>3.26</v>
      </c>
      <c r="BM156" s="188" t="s">
        <v>209</v>
      </c>
      <c r="BN156" s="241"/>
      <c r="BO156" s="241"/>
      <c r="BP156" s="241"/>
      <c r="BQ156" s="241"/>
      <c r="BR156" s="241"/>
      <c r="BS156" s="242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</row>
    <row r="157" outlineLevel="1">
      <c r="A157" s="15"/>
      <c r="B157" s="237" t="s">
        <v>291</v>
      </c>
      <c r="C157" s="172">
        <v>88842.0</v>
      </c>
      <c r="D157" s="172">
        <v>38811.0</v>
      </c>
      <c r="E157" s="172">
        <v>70659.0</v>
      </c>
      <c r="F157" s="172">
        <v>89360.0</v>
      </c>
      <c r="G157" s="172">
        <v>60935.0</v>
      </c>
      <c r="H157" s="172">
        <v>46545.0</v>
      </c>
      <c r="I157" s="172">
        <v>80860.0</v>
      </c>
      <c r="J157" s="172">
        <v>99370.0</v>
      </c>
      <c r="K157" s="172">
        <v>89331.0</v>
      </c>
      <c r="L157" s="172">
        <v>127255.0</v>
      </c>
      <c r="M157" s="172">
        <v>64097.0</v>
      </c>
      <c r="N157" s="172">
        <v>110746.0</v>
      </c>
      <c r="O157" s="172">
        <v>99597.0</v>
      </c>
      <c r="P157" s="172">
        <v>145638.0</v>
      </c>
      <c r="Q157" s="232"/>
      <c r="R157" s="233" t="s">
        <v>287</v>
      </c>
      <c r="S157" s="172">
        <v>29869.0</v>
      </c>
      <c r="T157" s="172">
        <v>29869.0</v>
      </c>
      <c r="U157" s="172">
        <v>29869.0</v>
      </c>
      <c r="V157" s="172">
        <v>29869.0</v>
      </c>
      <c r="W157" s="172">
        <v>29869.0</v>
      </c>
      <c r="X157" s="172">
        <v>29869.0</v>
      </c>
      <c r="Y157" s="172">
        <v>29869.0</v>
      </c>
      <c r="Z157" s="172">
        <v>13915.0</v>
      </c>
      <c r="AA157" s="172">
        <v>13915.0</v>
      </c>
      <c r="AB157" s="172">
        <v>10315.0</v>
      </c>
      <c r="AC157" s="172">
        <v>10315.0</v>
      </c>
      <c r="AD157" s="172">
        <v>10315.0</v>
      </c>
      <c r="AE157" s="172">
        <v>10315.0</v>
      </c>
      <c r="AF157" s="172">
        <v>10315.0</v>
      </c>
      <c r="AG157" s="232"/>
      <c r="AH157" s="233" t="s">
        <v>417</v>
      </c>
      <c r="AI157" s="172" t="s">
        <v>209</v>
      </c>
      <c r="AJ157" s="172" t="s">
        <v>209</v>
      </c>
      <c r="AK157" s="172" t="s">
        <v>209</v>
      </c>
      <c r="AL157" s="172" t="s">
        <v>209</v>
      </c>
      <c r="AM157" s="188" t="s">
        <v>209</v>
      </c>
      <c r="AN157" s="188" t="s">
        <v>209</v>
      </c>
      <c r="AO157" s="188" t="s">
        <v>209</v>
      </c>
      <c r="AP157" s="188" t="s">
        <v>209</v>
      </c>
      <c r="AQ157" s="188" t="s">
        <v>209</v>
      </c>
      <c r="AR157" s="188" t="s">
        <v>209</v>
      </c>
      <c r="AS157" s="188" t="s">
        <v>209</v>
      </c>
      <c r="AT157" s="188" t="s">
        <v>209</v>
      </c>
      <c r="AU157" s="188" t="s">
        <v>209</v>
      </c>
      <c r="AV157" s="188" t="s">
        <v>209</v>
      </c>
      <c r="AW157" s="232"/>
      <c r="AX157" s="174" t="s">
        <v>294</v>
      </c>
      <c r="AY157" s="172">
        <v>0.71</v>
      </c>
      <c r="AZ157" s="188">
        <v>0.71</v>
      </c>
      <c r="BA157" s="188">
        <v>0.44</v>
      </c>
      <c r="BB157" s="188">
        <v>0.35</v>
      </c>
      <c r="BC157" s="188">
        <v>0.46</v>
      </c>
      <c r="BD157" s="188">
        <v>0.68</v>
      </c>
      <c r="BE157" s="188">
        <v>0.46</v>
      </c>
      <c r="BF157" s="188">
        <v>0.45</v>
      </c>
      <c r="BG157" s="188">
        <v>0.69</v>
      </c>
      <c r="BH157" s="188">
        <v>0.87</v>
      </c>
      <c r="BI157" s="188">
        <v>0.53</v>
      </c>
      <c r="BJ157" s="188">
        <v>0.45</v>
      </c>
      <c r="BK157" s="188">
        <v>0.61</v>
      </c>
      <c r="BL157" s="188">
        <v>0.62</v>
      </c>
      <c r="BM157" s="188">
        <v>0.77</v>
      </c>
      <c r="BN157" s="241"/>
      <c r="BO157" s="241"/>
      <c r="BP157" s="241"/>
      <c r="BQ157" s="241"/>
      <c r="BR157" s="241"/>
      <c r="BS157" s="242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</row>
    <row r="158" outlineLevel="1">
      <c r="A158" s="15"/>
      <c r="B158" s="237" t="s">
        <v>297</v>
      </c>
      <c r="C158" s="172">
        <v>-4812.0</v>
      </c>
      <c r="D158" s="172">
        <v>-1189.0</v>
      </c>
      <c r="E158" s="172">
        <v>-3063.0</v>
      </c>
      <c r="F158" s="172">
        <v>-4410.0</v>
      </c>
      <c r="G158" s="172">
        <v>-2224.0</v>
      </c>
      <c r="H158" s="172">
        <v>-2380.0</v>
      </c>
      <c r="I158" s="172">
        <v>-2693.0</v>
      </c>
      <c r="J158" s="172">
        <v>-6278.0</v>
      </c>
      <c r="K158" s="172">
        <v>-4384.0</v>
      </c>
      <c r="L158" s="172">
        <v>-4596.0</v>
      </c>
      <c r="M158" s="172">
        <v>-2099.0</v>
      </c>
      <c r="N158" s="172">
        <v>-2399.0</v>
      </c>
      <c r="O158" s="172">
        <v>-3727.0</v>
      </c>
      <c r="P158" s="172">
        <v>-5501.0</v>
      </c>
      <c r="Q158" s="232"/>
      <c r="R158" s="233" t="s">
        <v>292</v>
      </c>
      <c r="S158" s="172">
        <v>4198.0</v>
      </c>
      <c r="T158" s="172">
        <v>5207.0</v>
      </c>
      <c r="U158" s="172">
        <v>6079.0</v>
      </c>
      <c r="V158" s="172">
        <v>6520.0</v>
      </c>
      <c r="W158" s="172">
        <v>7576.0</v>
      </c>
      <c r="X158" s="172">
        <v>8327.0</v>
      </c>
      <c r="Y158" s="172">
        <v>7915.0</v>
      </c>
      <c r="Z158" s="172">
        <v>7439.0</v>
      </c>
      <c r="AA158" s="172">
        <v>7410.0</v>
      </c>
      <c r="AB158" s="172">
        <v>6830.0</v>
      </c>
      <c r="AC158" s="172">
        <v>5542.0</v>
      </c>
      <c r="AD158" s="172">
        <v>5497.0</v>
      </c>
      <c r="AE158" s="172">
        <v>2831.0</v>
      </c>
      <c r="AF158" s="172">
        <v>2815.0</v>
      </c>
      <c r="AG158" s="232"/>
      <c r="AH158" s="233" t="s">
        <v>293</v>
      </c>
      <c r="AI158" s="172">
        <v>595591.0</v>
      </c>
      <c r="AJ158" s="172">
        <v>139529.0</v>
      </c>
      <c r="AK158" s="172">
        <v>-125276.0</v>
      </c>
      <c r="AL158" s="172">
        <v>-396609.0</v>
      </c>
      <c r="AM158" s="172">
        <v>267943.0</v>
      </c>
      <c r="AN158" s="172">
        <v>43276.0</v>
      </c>
      <c r="AO158" s="172">
        <v>-457931.0</v>
      </c>
      <c r="AP158" s="172">
        <v>-311525.0</v>
      </c>
      <c r="AQ158" s="172">
        <v>420893.0</v>
      </c>
      <c r="AR158" s="172">
        <v>107954.0</v>
      </c>
      <c r="AS158" s="172">
        <v>-155343.0</v>
      </c>
      <c r="AT158" s="172">
        <v>-52111.0</v>
      </c>
      <c r="AU158" s="172">
        <v>-223274.0</v>
      </c>
      <c r="AV158" s="172">
        <v>228113.0</v>
      </c>
      <c r="AW158" s="232"/>
      <c r="AX158" s="244" t="s">
        <v>300</v>
      </c>
      <c r="AY158" s="172">
        <v>2.75</v>
      </c>
      <c r="AZ158" s="172">
        <v>2.75</v>
      </c>
      <c r="BA158" s="172">
        <v>1.89</v>
      </c>
      <c r="BB158" s="172">
        <v>1.49</v>
      </c>
      <c r="BC158" s="188">
        <v>1.54</v>
      </c>
      <c r="BD158" s="188">
        <v>2.11</v>
      </c>
      <c r="BE158" s="188">
        <v>1.42</v>
      </c>
      <c r="BF158" s="188">
        <v>1.12</v>
      </c>
      <c r="BG158" s="188">
        <v>1.71</v>
      </c>
      <c r="BH158" s="188">
        <v>1.98</v>
      </c>
      <c r="BI158" s="188">
        <v>1.32</v>
      </c>
      <c r="BJ158" s="188">
        <v>0.98</v>
      </c>
      <c r="BK158" s="188">
        <v>1.13</v>
      </c>
      <c r="BL158" s="188">
        <v>1.09</v>
      </c>
      <c r="BM158" s="188">
        <v>1.53</v>
      </c>
      <c r="BN158" s="241"/>
      <c r="BO158" s="241"/>
      <c r="BP158" s="241"/>
      <c r="BQ158" s="241"/>
      <c r="BR158" s="241"/>
      <c r="BS158" s="242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</row>
    <row r="159" outlineLevel="1">
      <c r="A159" s="15"/>
      <c r="B159" s="237" t="s">
        <v>185</v>
      </c>
      <c r="C159" s="172">
        <v>84029.0</v>
      </c>
      <c r="D159" s="172">
        <v>37622.0</v>
      </c>
      <c r="E159" s="172">
        <v>67596.0</v>
      </c>
      <c r="F159" s="172">
        <v>84949.0</v>
      </c>
      <c r="G159" s="172">
        <v>58710.0</v>
      </c>
      <c r="H159" s="172">
        <v>44165.0</v>
      </c>
      <c r="I159" s="172">
        <v>78167.0</v>
      </c>
      <c r="J159" s="172">
        <v>93092.0</v>
      </c>
      <c r="K159" s="172">
        <v>84947.0</v>
      </c>
      <c r="L159" s="172">
        <v>122659.0</v>
      </c>
      <c r="M159" s="172">
        <v>61998.0</v>
      </c>
      <c r="N159" s="172">
        <v>108346.0</v>
      </c>
      <c r="O159" s="172">
        <v>95870.0</v>
      </c>
      <c r="P159" s="172">
        <v>140137.0</v>
      </c>
      <c r="Q159" s="232"/>
      <c r="R159" s="233" t="s">
        <v>298</v>
      </c>
      <c r="S159" s="172">
        <v>45335.0</v>
      </c>
      <c r="T159" s="172">
        <v>26078.0</v>
      </c>
      <c r="U159" s="172">
        <v>13201.0</v>
      </c>
      <c r="V159" s="172">
        <v>58451.0</v>
      </c>
      <c r="W159" s="172">
        <v>33388.0</v>
      </c>
      <c r="X159" s="172">
        <v>43552.0</v>
      </c>
      <c r="Y159" s="172">
        <v>34184.0</v>
      </c>
      <c r="Z159" s="172">
        <v>96363.0</v>
      </c>
      <c r="AA159" s="172">
        <v>70861.0</v>
      </c>
      <c r="AB159" s="172">
        <v>75902.0</v>
      </c>
      <c r="AC159" s="172">
        <v>35937.0</v>
      </c>
      <c r="AD159" s="172">
        <v>106345.0</v>
      </c>
      <c r="AE159" s="172">
        <v>74800.0</v>
      </c>
      <c r="AF159" s="172">
        <v>59510.0</v>
      </c>
      <c r="AG159" s="232"/>
      <c r="AH159" s="244" t="s">
        <v>418</v>
      </c>
      <c r="AI159" s="172" t="s">
        <v>209</v>
      </c>
      <c r="AJ159" s="172" t="s">
        <v>209</v>
      </c>
      <c r="AK159" s="172" t="s">
        <v>209</v>
      </c>
      <c r="AL159" s="172" t="s">
        <v>209</v>
      </c>
      <c r="AM159" s="188" t="s">
        <v>209</v>
      </c>
      <c r="AN159" s="188" t="s">
        <v>209</v>
      </c>
      <c r="AO159" s="188" t="s">
        <v>209</v>
      </c>
      <c r="AP159" s="188">
        <v>0.0</v>
      </c>
      <c r="AQ159" s="188">
        <v>0.0</v>
      </c>
      <c r="AR159" s="188" t="s">
        <v>209</v>
      </c>
      <c r="AS159" s="188" t="s">
        <v>209</v>
      </c>
      <c r="AT159" s="188" t="s">
        <v>209</v>
      </c>
      <c r="AU159" s="188" t="s">
        <v>209</v>
      </c>
      <c r="AV159" s="188" t="s">
        <v>209</v>
      </c>
      <c r="AW159" s="241"/>
      <c r="AX159" s="174" t="s">
        <v>304</v>
      </c>
      <c r="AY159" s="188">
        <v>-7.47</v>
      </c>
      <c r="AZ159" s="188">
        <v>-7.47</v>
      </c>
      <c r="BA159" s="188">
        <v>7.59</v>
      </c>
      <c r="BB159" s="188">
        <v>2.66</v>
      </c>
      <c r="BC159" s="188">
        <v>1.3</v>
      </c>
      <c r="BD159" s="188">
        <v>2.17</v>
      </c>
      <c r="BE159" s="188">
        <v>2.69</v>
      </c>
      <c r="BF159" s="188">
        <v>5.69</v>
      </c>
      <c r="BG159" s="188">
        <v>-14.47</v>
      </c>
      <c r="BH159" s="188">
        <v>-3.41</v>
      </c>
      <c r="BI159" s="188">
        <v>2.62</v>
      </c>
      <c r="BJ159" s="188">
        <v>17.44</v>
      </c>
      <c r="BK159" s="188">
        <v>3.3</v>
      </c>
      <c r="BL159" s="188">
        <v>2.83</v>
      </c>
      <c r="BM159" s="188">
        <v>-2.39</v>
      </c>
      <c r="BN159" s="241"/>
      <c r="BO159" s="241"/>
      <c r="BP159" s="241"/>
      <c r="BQ159" s="241"/>
      <c r="BR159" s="241"/>
      <c r="BS159" s="242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</row>
    <row r="160" outlineLevel="1">
      <c r="A160" s="15"/>
      <c r="B160" s="237" t="s">
        <v>306</v>
      </c>
      <c r="C160" s="172">
        <v>84029.0</v>
      </c>
      <c r="D160" s="172">
        <v>37622.0</v>
      </c>
      <c r="E160" s="172">
        <v>67596.0</v>
      </c>
      <c r="F160" s="172">
        <v>84949.0</v>
      </c>
      <c r="G160" s="172">
        <v>58710.0</v>
      </c>
      <c r="H160" s="172">
        <v>44165.0</v>
      </c>
      <c r="I160" s="172">
        <v>78167.0</v>
      </c>
      <c r="J160" s="172">
        <v>93092.0</v>
      </c>
      <c r="K160" s="172">
        <v>84947.0</v>
      </c>
      <c r="L160" s="172">
        <v>122659.0</v>
      </c>
      <c r="M160" s="172">
        <v>61998.0</v>
      </c>
      <c r="N160" s="172">
        <v>108346.0</v>
      </c>
      <c r="O160" s="172">
        <v>95870.0</v>
      </c>
      <c r="P160" s="172">
        <v>140137.0</v>
      </c>
      <c r="Q160" s="232"/>
      <c r="R160" s="233" t="s">
        <v>302</v>
      </c>
      <c r="S160" s="172">
        <v>79574.0</v>
      </c>
      <c r="T160" s="172">
        <v>85878.0</v>
      </c>
      <c r="U160" s="172">
        <v>88983.0</v>
      </c>
      <c r="V160" s="172">
        <v>50074.0</v>
      </c>
      <c r="W160" s="172">
        <v>2578.0</v>
      </c>
      <c r="X160" s="172">
        <v>46141.0</v>
      </c>
      <c r="Y160" s="172">
        <v>9874.0</v>
      </c>
      <c r="Z160" s="172">
        <v>24623.0</v>
      </c>
      <c r="AA160" s="172">
        <v>27769.0</v>
      </c>
      <c r="AB160" s="172">
        <v>53625.0</v>
      </c>
      <c r="AC160" s="172">
        <v>226565.0</v>
      </c>
      <c r="AD160" s="172">
        <v>113014.0</v>
      </c>
      <c r="AE160" s="172">
        <v>134020.0</v>
      </c>
      <c r="AF160" s="172">
        <v>224576.0</v>
      </c>
      <c r="AG160" s="232"/>
      <c r="AH160" s="233" t="s">
        <v>299</v>
      </c>
      <c r="AI160" s="172">
        <v>78378.0</v>
      </c>
      <c r="AJ160" s="172">
        <v>-32713.0</v>
      </c>
      <c r="AK160" s="172">
        <v>12879.0</v>
      </c>
      <c r="AL160" s="172">
        <v>-26139.0</v>
      </c>
      <c r="AM160" s="172">
        <v>43356.0</v>
      </c>
      <c r="AN160" s="172">
        <v>11374.0</v>
      </c>
      <c r="AO160" s="172">
        <v>-8395.0</v>
      </c>
      <c r="AP160" s="172">
        <v>-32341.0</v>
      </c>
      <c r="AQ160" s="172">
        <v>13013.0</v>
      </c>
      <c r="AR160" s="172">
        <v>-74212.0</v>
      </c>
      <c r="AS160" s="172">
        <v>88350.0</v>
      </c>
      <c r="AT160" s="172">
        <v>-35710.0</v>
      </c>
      <c r="AU160" s="172">
        <v>26125.0</v>
      </c>
      <c r="AV160" s="172">
        <v>-224563.0</v>
      </c>
      <c r="AW160" s="232"/>
      <c r="AX160" s="244" t="s">
        <v>309</v>
      </c>
      <c r="AY160" s="172">
        <v>1.43</v>
      </c>
      <c r="AZ160" s="172">
        <v>0.72</v>
      </c>
      <c r="BA160" s="172">
        <v>1.44</v>
      </c>
      <c r="BB160" s="172">
        <v>1.53</v>
      </c>
      <c r="BC160" s="188">
        <v>1.26</v>
      </c>
      <c r="BD160" s="188">
        <v>1.04</v>
      </c>
      <c r="BE160" s="188">
        <v>1.51</v>
      </c>
      <c r="BF160" s="188">
        <v>1.47</v>
      </c>
      <c r="BG160" s="188">
        <v>1.33</v>
      </c>
      <c r="BH160" s="188">
        <v>1.84</v>
      </c>
      <c r="BI160" s="188">
        <v>0.9</v>
      </c>
      <c r="BJ160" s="188">
        <v>1.5</v>
      </c>
      <c r="BK160" s="188">
        <v>1.74</v>
      </c>
      <c r="BL160" s="188">
        <v>2.01</v>
      </c>
      <c r="BM160" s="188">
        <v>1.68</v>
      </c>
      <c r="BN160" s="241"/>
      <c r="BO160" s="241"/>
      <c r="BP160" s="241"/>
      <c r="BQ160" s="241"/>
      <c r="BR160" s="242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</row>
    <row r="161" outlineLevel="1">
      <c r="A161" s="15"/>
      <c r="B161" s="157" t="s">
        <v>419</v>
      </c>
      <c r="C161" s="185">
        <v>0.4313</v>
      </c>
      <c r="D161" s="184">
        <v>-0.1482</v>
      </c>
      <c r="E161" s="184">
        <v>-0.1352</v>
      </c>
      <c r="F161" s="184">
        <v>-0.0875</v>
      </c>
      <c r="G161" s="184">
        <v>-0.3089</v>
      </c>
      <c r="H161" s="184">
        <v>-0.6399</v>
      </c>
      <c r="I161" s="185">
        <v>0.2608</v>
      </c>
      <c r="J161" s="184">
        <v>-0.1408</v>
      </c>
      <c r="K161" s="184">
        <v>-0.1139</v>
      </c>
      <c r="L161" s="184">
        <v>-0.1247</v>
      </c>
      <c r="M161" s="184">
        <v>-0.4545</v>
      </c>
      <c r="N161" s="185">
        <v>0.3568</v>
      </c>
      <c r="O161" s="185">
        <v>0.5097</v>
      </c>
      <c r="P161" s="185">
        <v>0.8168</v>
      </c>
      <c r="Q161" s="236"/>
      <c r="R161" s="237" t="s">
        <v>307</v>
      </c>
      <c r="S161" s="172">
        <v>111248.0</v>
      </c>
      <c r="T161" s="188" t="s">
        <v>209</v>
      </c>
      <c r="U161" s="188" t="s">
        <v>209</v>
      </c>
      <c r="V161" s="172">
        <v>86998.0</v>
      </c>
      <c r="W161" s="172">
        <v>173996.0</v>
      </c>
      <c r="X161" s="172" t="s">
        <v>209</v>
      </c>
      <c r="Y161" s="172" t="s">
        <v>209</v>
      </c>
      <c r="Z161" s="172">
        <v>109820.0</v>
      </c>
      <c r="AA161" s="172">
        <v>215744.0</v>
      </c>
      <c r="AB161" s="172" t="s">
        <v>209</v>
      </c>
      <c r="AC161" s="172" t="s">
        <v>209</v>
      </c>
      <c r="AD161" s="172">
        <v>67471.0</v>
      </c>
      <c r="AE161" s="172">
        <v>134941.0</v>
      </c>
      <c r="AF161" s="172" t="s">
        <v>209</v>
      </c>
      <c r="AG161" s="232"/>
      <c r="AH161" s="244" t="s">
        <v>303</v>
      </c>
      <c r="AI161" s="172">
        <v>-517213.0</v>
      </c>
      <c r="AJ161" s="172">
        <v>-172274.0</v>
      </c>
      <c r="AK161" s="172">
        <v>138155.0</v>
      </c>
      <c r="AL161" s="172">
        <v>369470.0</v>
      </c>
      <c r="AM161" s="172">
        <v>-224587.0</v>
      </c>
      <c r="AN161" s="172">
        <v>-31902.0</v>
      </c>
      <c r="AO161" s="172">
        <v>435705.0</v>
      </c>
      <c r="AP161" s="172">
        <v>279185.0</v>
      </c>
      <c r="AQ161" s="172">
        <v>-407907.0</v>
      </c>
      <c r="AR161" s="172">
        <v>-182305.0</v>
      </c>
      <c r="AS161" s="172">
        <v>240236.0</v>
      </c>
      <c r="AT161" s="188">
        <v>-993.0</v>
      </c>
      <c r="AU161" s="172">
        <v>249398.0</v>
      </c>
      <c r="AV161" s="172">
        <v>-453063.0</v>
      </c>
      <c r="AW161" s="232"/>
      <c r="AX161" s="244" t="s">
        <v>20</v>
      </c>
      <c r="AY161" s="172">
        <v>2.39</v>
      </c>
      <c r="AZ161" s="172">
        <v>3.06</v>
      </c>
      <c r="BA161" s="172">
        <v>1.64</v>
      </c>
      <c r="BB161" s="172">
        <v>3.66</v>
      </c>
      <c r="BC161" s="188">
        <v>3.05</v>
      </c>
      <c r="BD161" s="188">
        <v>2.41</v>
      </c>
      <c r="BE161" s="188">
        <v>2.16</v>
      </c>
      <c r="BF161" s="188">
        <v>3.6</v>
      </c>
      <c r="BG161" s="188">
        <v>3.14</v>
      </c>
      <c r="BH161" s="188">
        <v>2.74</v>
      </c>
      <c r="BI161" s="188">
        <v>3.47</v>
      </c>
      <c r="BJ161" s="188">
        <v>1.59</v>
      </c>
      <c r="BK161" s="188">
        <v>3.09</v>
      </c>
      <c r="BL161" s="188">
        <v>3.65</v>
      </c>
      <c r="BM161" s="188">
        <v>3.35</v>
      </c>
      <c r="BN161" s="241"/>
      <c r="BO161" s="241"/>
      <c r="BP161" s="241"/>
      <c r="BQ161" s="241"/>
      <c r="BR161" s="241"/>
      <c r="BS161" s="242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</row>
    <row r="162" outlineLevel="1">
      <c r="A162" s="15"/>
      <c r="B162" s="237" t="s">
        <v>317</v>
      </c>
      <c r="C162" s="172">
        <v>10250.0</v>
      </c>
      <c r="D162" s="172">
        <v>10250.0</v>
      </c>
      <c r="E162" s="172">
        <v>10250.0</v>
      </c>
      <c r="F162" s="172">
        <v>10250.0</v>
      </c>
      <c r="G162" s="172">
        <v>10250.0</v>
      </c>
      <c r="H162" s="172">
        <v>10250.0</v>
      </c>
      <c r="I162" s="172">
        <v>10250.0</v>
      </c>
      <c r="J162" s="172">
        <v>10250.0</v>
      </c>
      <c r="K162" s="172">
        <v>10250.0</v>
      </c>
      <c r="L162" s="172">
        <v>10250.0</v>
      </c>
      <c r="M162" s="172">
        <v>10250.0</v>
      </c>
      <c r="N162" s="172">
        <v>10250.0</v>
      </c>
      <c r="O162" s="172">
        <v>10250.0</v>
      </c>
      <c r="P162" s="172">
        <v>10250.0</v>
      </c>
      <c r="Q162" s="232"/>
      <c r="R162" s="233" t="s">
        <v>313</v>
      </c>
      <c r="S162" s="172">
        <v>2459078.0</v>
      </c>
      <c r="T162" s="172">
        <v>1463188.0</v>
      </c>
      <c r="U162" s="172">
        <v>1171515.0</v>
      </c>
      <c r="V162" s="172">
        <v>1546878.0</v>
      </c>
      <c r="W162" s="172">
        <v>1568913.0</v>
      </c>
      <c r="X162" s="172">
        <v>1189629.0</v>
      </c>
      <c r="Y162" s="172">
        <v>1085748.0</v>
      </c>
      <c r="Z162" s="172">
        <v>1631850.0</v>
      </c>
      <c r="AA162" s="172">
        <v>2058452.0</v>
      </c>
      <c r="AB162" s="172">
        <v>1432545.0</v>
      </c>
      <c r="AC162" s="172">
        <v>1354566.0</v>
      </c>
      <c r="AD162" s="172">
        <v>1510982.0</v>
      </c>
      <c r="AE162" s="172">
        <v>1473051.0</v>
      </c>
      <c r="AF162" s="172">
        <v>1644566.0</v>
      </c>
      <c r="AG162" s="232"/>
      <c r="AH162" s="238" t="s">
        <v>420</v>
      </c>
      <c r="AI162" s="243" t="s">
        <v>209</v>
      </c>
      <c r="AJ162" s="243" t="s">
        <v>209</v>
      </c>
      <c r="AK162" s="184">
        <v>-0.6829</v>
      </c>
      <c r="AL162" s="185">
        <v>0.3234</v>
      </c>
      <c r="AM162" s="186" t="s">
        <v>209</v>
      </c>
      <c r="AN162" s="243" t="s">
        <v>209</v>
      </c>
      <c r="AO162" s="185">
        <v>0.8136</v>
      </c>
      <c r="AP162" s="186" t="s">
        <v>209</v>
      </c>
      <c r="AQ162" s="186" t="s">
        <v>209</v>
      </c>
      <c r="AR162" s="243" t="s">
        <v>209</v>
      </c>
      <c r="AS162" s="184">
        <v>-0.4615</v>
      </c>
      <c r="AT162" s="186" t="s">
        <v>209</v>
      </c>
      <c r="AU162" s="186" t="s">
        <v>209</v>
      </c>
      <c r="AV162" s="243" t="s">
        <v>209</v>
      </c>
      <c r="AW162" s="236"/>
      <c r="AX162" s="174" t="s">
        <v>17</v>
      </c>
      <c r="AY162" s="188">
        <v>0.72</v>
      </c>
      <c r="AZ162" s="172">
        <v>0.72</v>
      </c>
      <c r="BA162" s="188">
        <v>0.77</v>
      </c>
      <c r="BB162" s="188">
        <v>1.2</v>
      </c>
      <c r="BC162" s="188">
        <v>0.91</v>
      </c>
      <c r="BD162" s="188">
        <v>0.75</v>
      </c>
      <c r="BE162" s="188">
        <v>0.89</v>
      </c>
      <c r="BF162" s="188">
        <v>1.19</v>
      </c>
      <c r="BG162" s="188">
        <v>0.92</v>
      </c>
      <c r="BH162" s="188">
        <v>0.77</v>
      </c>
      <c r="BI162" s="188">
        <v>1.01</v>
      </c>
      <c r="BJ162" s="188">
        <v>0.72</v>
      </c>
      <c r="BK162" s="188">
        <v>0.81</v>
      </c>
      <c r="BL162" s="188">
        <v>0.82</v>
      </c>
      <c r="BM162" s="188">
        <v>0.76</v>
      </c>
      <c r="BN162" s="241"/>
      <c r="BO162" s="241"/>
      <c r="BP162" s="241"/>
      <c r="BQ162" s="241"/>
      <c r="BR162" s="241"/>
      <c r="BS162" s="242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</row>
    <row r="163" outlineLevel="1">
      <c r="A163" s="15"/>
      <c r="B163" s="237" t="s">
        <v>322</v>
      </c>
      <c r="C163" s="172">
        <v>10250.0</v>
      </c>
      <c r="D163" s="172">
        <v>10250.0</v>
      </c>
      <c r="E163" s="172">
        <v>10250.0</v>
      </c>
      <c r="F163" s="172">
        <v>10250.0</v>
      </c>
      <c r="G163" s="172">
        <v>10250.0</v>
      </c>
      <c r="H163" s="172">
        <v>10250.0</v>
      </c>
      <c r="I163" s="172">
        <v>10250.0</v>
      </c>
      <c r="J163" s="172">
        <v>10250.0</v>
      </c>
      <c r="K163" s="172">
        <v>10250.0</v>
      </c>
      <c r="L163" s="172">
        <v>10250.0</v>
      </c>
      <c r="M163" s="172">
        <v>10250.0</v>
      </c>
      <c r="N163" s="172">
        <v>10250.0</v>
      </c>
      <c r="O163" s="172">
        <v>10250.0</v>
      </c>
      <c r="P163" s="172">
        <v>10250.0</v>
      </c>
      <c r="Q163" s="232"/>
      <c r="R163" s="233" t="s">
        <v>318</v>
      </c>
      <c r="S163" s="172">
        <v>69491.0</v>
      </c>
      <c r="T163" s="172">
        <v>76959.0</v>
      </c>
      <c r="U163" s="172">
        <v>84426.0</v>
      </c>
      <c r="V163" s="172">
        <v>91893.0</v>
      </c>
      <c r="W163" s="172">
        <v>99360.0</v>
      </c>
      <c r="X163" s="172">
        <v>106827.0</v>
      </c>
      <c r="Y163" s="172">
        <v>114294.0</v>
      </c>
      <c r="Z163" s="172">
        <v>92178.0</v>
      </c>
      <c r="AA163" s="172">
        <v>62040.0</v>
      </c>
      <c r="AB163" s="172">
        <v>29661.0</v>
      </c>
      <c r="AC163" s="172">
        <v>32239.0</v>
      </c>
      <c r="AD163" s="172">
        <v>34818.0</v>
      </c>
      <c r="AE163" s="172">
        <v>37396.0</v>
      </c>
      <c r="AF163" s="172">
        <v>39975.0</v>
      </c>
      <c r="AG163" s="232"/>
      <c r="AH163" s="244" t="s">
        <v>314</v>
      </c>
      <c r="AI163" s="199">
        <v>-0.3649</v>
      </c>
      <c r="AJ163" s="199">
        <v>-0.2863</v>
      </c>
      <c r="AK163" s="199">
        <v>0.12</v>
      </c>
      <c r="AL163" s="199">
        <v>0.303</v>
      </c>
      <c r="AM163" s="199">
        <v>-0.2337</v>
      </c>
      <c r="AN163" s="199">
        <v>-0.0429</v>
      </c>
      <c r="AO163" s="199">
        <v>0.3839</v>
      </c>
      <c r="AP163" s="199">
        <v>0.2245</v>
      </c>
      <c r="AQ163" s="199">
        <v>-0.3752</v>
      </c>
      <c r="AR163" s="199">
        <v>-0.1369</v>
      </c>
      <c r="AS163" s="199">
        <v>0.3756</v>
      </c>
      <c r="AT163" s="199">
        <v>-9.0E-4</v>
      </c>
      <c r="AU163" s="199">
        <v>0.2005</v>
      </c>
      <c r="AV163" s="199">
        <v>-0.2969</v>
      </c>
      <c r="AW163" s="236"/>
      <c r="AX163" s="174" t="s">
        <v>14</v>
      </c>
      <c r="AY163" s="188">
        <v>1.47</v>
      </c>
      <c r="AZ163" s="188">
        <v>1.47</v>
      </c>
      <c r="BA163" s="188">
        <v>1.8</v>
      </c>
      <c r="BB163" s="188">
        <v>1.98</v>
      </c>
      <c r="BC163" s="188">
        <v>1.7</v>
      </c>
      <c r="BD163" s="188">
        <v>1.64</v>
      </c>
      <c r="BE163" s="188">
        <v>1.97</v>
      </c>
      <c r="BF163" s="188">
        <v>2.05</v>
      </c>
      <c r="BG163" s="188">
        <v>1.65</v>
      </c>
      <c r="BH163" s="188">
        <v>1.49</v>
      </c>
      <c r="BI163" s="188">
        <v>1.78</v>
      </c>
      <c r="BJ163" s="188">
        <v>1.76</v>
      </c>
      <c r="BK163" s="188">
        <v>1.64</v>
      </c>
      <c r="BL163" s="188">
        <v>1.57</v>
      </c>
      <c r="BM163" s="188">
        <v>1.55</v>
      </c>
      <c r="BN163" s="241"/>
      <c r="BO163" s="241"/>
      <c r="BP163" s="241"/>
      <c r="BQ163" s="241"/>
      <c r="BR163" s="241"/>
      <c r="BS163" s="242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</row>
    <row r="164" outlineLevel="1">
      <c r="A164" s="15"/>
      <c r="B164" s="157" t="s">
        <v>421</v>
      </c>
      <c r="C164" s="186" t="s">
        <v>209</v>
      </c>
      <c r="D164" s="186" t="s">
        <v>209</v>
      </c>
      <c r="E164" s="186" t="s">
        <v>209</v>
      </c>
      <c r="F164" s="186" t="s">
        <v>209</v>
      </c>
      <c r="G164" s="186" t="s">
        <v>209</v>
      </c>
      <c r="H164" s="186" t="s">
        <v>209</v>
      </c>
      <c r="I164" s="186" t="s">
        <v>209</v>
      </c>
      <c r="J164" s="186" t="s">
        <v>209</v>
      </c>
      <c r="K164" s="186" t="s">
        <v>209</v>
      </c>
      <c r="L164" s="186" t="s">
        <v>209</v>
      </c>
      <c r="M164" s="186" t="s">
        <v>209</v>
      </c>
      <c r="N164" s="186" t="s">
        <v>209</v>
      </c>
      <c r="O164" s="186" t="s">
        <v>209</v>
      </c>
      <c r="P164" s="186" t="s">
        <v>209</v>
      </c>
      <c r="Q164" s="241"/>
      <c r="R164" s="237" t="s">
        <v>323</v>
      </c>
      <c r="S164" s="172">
        <v>2433.0</v>
      </c>
      <c r="T164" s="172">
        <v>2889.0</v>
      </c>
      <c r="U164" s="172">
        <v>4063.0</v>
      </c>
      <c r="V164" s="172">
        <v>2554.0</v>
      </c>
      <c r="W164" s="172">
        <v>3662.0</v>
      </c>
      <c r="X164" s="172">
        <v>4888.0</v>
      </c>
      <c r="Y164" s="172">
        <v>5543.0</v>
      </c>
      <c r="Z164" s="172">
        <v>6251.0</v>
      </c>
      <c r="AA164" s="172">
        <v>8124.0</v>
      </c>
      <c r="AB164" s="172">
        <v>8449.0</v>
      </c>
      <c r="AC164" s="172">
        <v>7201.0</v>
      </c>
      <c r="AD164" s="172">
        <v>7989.0</v>
      </c>
      <c r="AE164" s="172">
        <v>3679.0</v>
      </c>
      <c r="AF164" s="172">
        <v>4121.0</v>
      </c>
      <c r="AG164" s="232"/>
      <c r="AH164" s="233" t="s">
        <v>319</v>
      </c>
      <c r="AI164" s="172">
        <v>-50.46</v>
      </c>
      <c r="AJ164" s="172">
        <v>-16.81</v>
      </c>
      <c r="AK164" s="172">
        <v>13.48</v>
      </c>
      <c r="AL164" s="172">
        <v>36.05</v>
      </c>
      <c r="AM164" s="172">
        <v>-21.91</v>
      </c>
      <c r="AN164" s="172">
        <v>-3.11</v>
      </c>
      <c r="AO164" s="172">
        <v>42.51</v>
      </c>
      <c r="AP164" s="172">
        <v>27.24</v>
      </c>
      <c r="AQ164" s="172">
        <v>-39.8</v>
      </c>
      <c r="AR164" s="172">
        <v>-17.79</v>
      </c>
      <c r="AS164" s="172">
        <v>23.44</v>
      </c>
      <c r="AT164" s="172">
        <v>-0.1</v>
      </c>
      <c r="AU164" s="172">
        <v>24.33</v>
      </c>
      <c r="AV164" s="172">
        <v>-44.2</v>
      </c>
      <c r="AW164" s="232"/>
      <c r="AX164" s="244" t="s">
        <v>330</v>
      </c>
      <c r="AY164" s="199">
        <v>0.1855</v>
      </c>
      <c r="AZ164" s="199">
        <v>0.0814</v>
      </c>
      <c r="BA164" s="199">
        <v>0.1642</v>
      </c>
      <c r="BB164" s="199">
        <v>0.2368</v>
      </c>
      <c r="BC164" s="199">
        <v>0.1586</v>
      </c>
      <c r="BD164" s="199">
        <v>0.1174</v>
      </c>
      <c r="BE164" s="199">
        <v>0.2127</v>
      </c>
      <c r="BF164" s="199">
        <v>0.278</v>
      </c>
      <c r="BG164" s="199">
        <v>0.2475</v>
      </c>
      <c r="BH164" s="199">
        <v>0.3526</v>
      </c>
      <c r="BI164" s="199">
        <v>0.1902</v>
      </c>
      <c r="BJ164" s="199">
        <v>0.3512</v>
      </c>
      <c r="BK164" s="199">
        <v>0.3223</v>
      </c>
      <c r="BL164" s="199">
        <v>0.4883</v>
      </c>
      <c r="BM164" s="199">
        <v>0.443</v>
      </c>
      <c r="BN164" s="236"/>
      <c r="BO164" s="236"/>
      <c r="BP164" s="236"/>
      <c r="BQ164" s="236"/>
      <c r="BR164" s="240"/>
      <c r="BS164" s="170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</row>
    <row r="165" outlineLevel="1">
      <c r="A165" s="15"/>
      <c r="B165" s="237" t="s">
        <v>327</v>
      </c>
      <c r="C165" s="188">
        <v>8.2</v>
      </c>
      <c r="D165" s="188">
        <v>3.67</v>
      </c>
      <c r="E165" s="188">
        <v>6.59</v>
      </c>
      <c r="F165" s="188">
        <v>8.29</v>
      </c>
      <c r="G165" s="188">
        <v>5.73</v>
      </c>
      <c r="H165" s="188">
        <v>4.31</v>
      </c>
      <c r="I165" s="188">
        <v>7.63</v>
      </c>
      <c r="J165" s="188">
        <v>9.08</v>
      </c>
      <c r="K165" s="188">
        <v>8.29</v>
      </c>
      <c r="L165" s="188">
        <v>11.97</v>
      </c>
      <c r="M165" s="188">
        <v>6.05</v>
      </c>
      <c r="N165" s="188">
        <v>10.57</v>
      </c>
      <c r="O165" s="188">
        <v>9.35</v>
      </c>
      <c r="P165" s="188">
        <v>13.67</v>
      </c>
      <c r="Q165" s="241"/>
      <c r="R165" s="237" t="s">
        <v>328</v>
      </c>
      <c r="S165" s="172">
        <v>26834.0</v>
      </c>
      <c r="T165" s="172">
        <v>26834.0</v>
      </c>
      <c r="U165" s="172">
        <v>26834.0</v>
      </c>
      <c r="V165" s="172">
        <v>20829.0</v>
      </c>
      <c r="W165" s="172">
        <v>20829.0</v>
      </c>
      <c r="X165" s="172">
        <v>20829.0</v>
      </c>
      <c r="Y165" s="172">
        <v>20829.0</v>
      </c>
      <c r="Z165" s="172">
        <v>19582.0</v>
      </c>
      <c r="AA165" s="172">
        <v>19582.0</v>
      </c>
      <c r="AB165" s="172">
        <v>19582.0</v>
      </c>
      <c r="AC165" s="172">
        <v>19582.0</v>
      </c>
      <c r="AD165" s="172">
        <v>15569.0</v>
      </c>
      <c r="AE165" s="172">
        <v>15569.0</v>
      </c>
      <c r="AF165" s="172">
        <v>15569.0</v>
      </c>
      <c r="AG165" s="232"/>
      <c r="AH165" s="233" t="s">
        <v>335</v>
      </c>
      <c r="AI165" s="172">
        <v>-422139.0</v>
      </c>
      <c r="AJ165" s="172">
        <v>-184273.0</v>
      </c>
      <c r="AK165" s="172">
        <v>41767.0</v>
      </c>
      <c r="AL165" s="172">
        <v>263835.0</v>
      </c>
      <c r="AM165" s="172">
        <v>-66575.0</v>
      </c>
      <c r="AN165" s="172">
        <v>-45272.0</v>
      </c>
      <c r="AO165" s="172">
        <v>313977.0</v>
      </c>
      <c r="AP165" s="172">
        <v>150667.0</v>
      </c>
      <c r="AQ165" s="172">
        <v>-210554.0</v>
      </c>
      <c r="AR165" s="172">
        <v>-205189.0</v>
      </c>
      <c r="AS165" s="172">
        <v>161878.0</v>
      </c>
      <c r="AT165" s="172">
        <v>-91037.0</v>
      </c>
      <c r="AU165" s="172">
        <v>362230.0</v>
      </c>
      <c r="AV165" s="172">
        <v>-482312.0</v>
      </c>
      <c r="AW165" s="232"/>
      <c r="AX165" s="244" t="s">
        <v>336</v>
      </c>
      <c r="AY165" s="199">
        <v>0.0861</v>
      </c>
      <c r="AZ165" s="199">
        <v>0.0456</v>
      </c>
      <c r="BA165" s="199">
        <v>0.0883</v>
      </c>
      <c r="BB165" s="199">
        <v>0.1069</v>
      </c>
      <c r="BC165" s="199">
        <v>0.0742</v>
      </c>
      <c r="BD165" s="199">
        <v>0.0588</v>
      </c>
      <c r="BE165" s="199">
        <v>0.1052</v>
      </c>
      <c r="BF165" s="199">
        <v>0.1113</v>
      </c>
      <c r="BG165" s="199">
        <v>0.106</v>
      </c>
      <c r="BH165" s="199">
        <v>0.1559</v>
      </c>
      <c r="BI165" s="199">
        <v>0.0836</v>
      </c>
      <c r="BJ165" s="199">
        <v>0.1398</v>
      </c>
      <c r="BK165" s="199">
        <v>0.1265</v>
      </c>
      <c r="BL165" s="199">
        <v>0.1706</v>
      </c>
      <c r="BM165" s="199">
        <v>0.143</v>
      </c>
      <c r="BN165" s="236"/>
      <c r="BO165" s="236"/>
      <c r="BP165" s="236"/>
      <c r="BQ165" s="236"/>
      <c r="BR165" s="240"/>
      <c r="BS165" s="246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</row>
    <row r="166" outlineLevel="1">
      <c r="A166" s="15"/>
      <c r="B166" s="237" t="s">
        <v>333</v>
      </c>
      <c r="C166" s="188">
        <v>8.2</v>
      </c>
      <c r="D166" s="188">
        <v>3.67</v>
      </c>
      <c r="E166" s="188">
        <v>6.59</v>
      </c>
      <c r="F166" s="188">
        <v>8.29</v>
      </c>
      <c r="G166" s="188">
        <v>5.73</v>
      </c>
      <c r="H166" s="188">
        <v>4.31</v>
      </c>
      <c r="I166" s="188">
        <v>7.62</v>
      </c>
      <c r="J166" s="188">
        <v>9.08</v>
      </c>
      <c r="K166" s="188">
        <v>8.29</v>
      </c>
      <c r="L166" s="188">
        <v>11.97</v>
      </c>
      <c r="M166" s="188">
        <v>6.04</v>
      </c>
      <c r="N166" s="188">
        <v>10.57</v>
      </c>
      <c r="O166" s="188">
        <v>9.35</v>
      </c>
      <c r="P166" s="188">
        <v>13.67</v>
      </c>
      <c r="Q166" s="241"/>
      <c r="R166" s="233" t="s">
        <v>422</v>
      </c>
      <c r="S166" s="172" t="s">
        <v>209</v>
      </c>
      <c r="T166" s="172" t="s">
        <v>209</v>
      </c>
      <c r="U166" s="172" t="s">
        <v>209</v>
      </c>
      <c r="V166" s="172" t="s">
        <v>209</v>
      </c>
      <c r="W166" s="172" t="s">
        <v>209</v>
      </c>
      <c r="X166" s="172" t="s">
        <v>209</v>
      </c>
      <c r="Y166" s="172" t="s">
        <v>209</v>
      </c>
      <c r="Z166" s="172" t="s">
        <v>209</v>
      </c>
      <c r="AA166" s="172" t="s">
        <v>209</v>
      </c>
      <c r="AB166" s="172" t="s">
        <v>209</v>
      </c>
      <c r="AC166" s="172" t="s">
        <v>209</v>
      </c>
      <c r="AD166" s="172">
        <v>0.0</v>
      </c>
      <c r="AE166" s="172">
        <v>0.0</v>
      </c>
      <c r="AF166" s="172" t="s">
        <v>209</v>
      </c>
      <c r="AG166" s="232"/>
      <c r="AH166" s="233" t="s">
        <v>341</v>
      </c>
      <c r="AI166" s="172">
        <v>-406340.0</v>
      </c>
      <c r="AJ166" s="172">
        <v>-173345.0</v>
      </c>
      <c r="AK166" s="172">
        <v>45120.0</v>
      </c>
      <c r="AL166" s="172">
        <v>280277.0</v>
      </c>
      <c r="AM166" s="172">
        <v>-55533.0</v>
      </c>
      <c r="AN166" s="172">
        <v>-33948.0</v>
      </c>
      <c r="AO166" s="172">
        <v>320650.0</v>
      </c>
      <c r="AP166" s="172">
        <v>167549.0</v>
      </c>
      <c r="AQ166" s="172">
        <v>-194851.0</v>
      </c>
      <c r="AR166" s="172">
        <v>-193510.0</v>
      </c>
      <c r="AS166" s="172">
        <v>163870.0</v>
      </c>
      <c r="AT166" s="172">
        <v>-80196.0</v>
      </c>
      <c r="AU166" s="172">
        <v>376019.0</v>
      </c>
      <c r="AV166" s="172">
        <v>-467822.0</v>
      </c>
      <c r="AW166" s="232"/>
      <c r="AX166" s="244" t="s">
        <v>342</v>
      </c>
      <c r="AY166" s="199">
        <v>0.0356</v>
      </c>
      <c r="AZ166" s="199">
        <v>0.0178</v>
      </c>
      <c r="BA166" s="199">
        <v>0.0364</v>
      </c>
      <c r="BB166" s="199">
        <v>0.0451</v>
      </c>
      <c r="BC166" s="199">
        <v>0.0295</v>
      </c>
      <c r="BD166" s="199">
        <v>0.0227</v>
      </c>
      <c r="BE166" s="199">
        <v>0.0411</v>
      </c>
      <c r="BF166" s="199">
        <v>0.0463</v>
      </c>
      <c r="BG166" s="199">
        <v>0.0443</v>
      </c>
      <c r="BH166" s="199">
        <v>0.0655</v>
      </c>
      <c r="BI166" s="199">
        <v>0.0361</v>
      </c>
      <c r="BJ166" s="199">
        <v>0.0605</v>
      </c>
      <c r="BK166" s="199">
        <v>0.054</v>
      </c>
      <c r="BL166" s="199">
        <v>0.0836</v>
      </c>
      <c r="BM166" s="199">
        <v>0.0752</v>
      </c>
      <c r="BN166" s="236"/>
      <c r="BO166" s="236"/>
      <c r="BP166" s="236"/>
      <c r="BQ166" s="236"/>
      <c r="BR166" s="240"/>
      <c r="BS166" s="246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</row>
    <row r="167" outlineLevel="1">
      <c r="A167" s="15"/>
      <c r="B167" s="157" t="s">
        <v>423</v>
      </c>
      <c r="C167" s="185">
        <v>0.4313</v>
      </c>
      <c r="D167" s="184">
        <v>-0.1482</v>
      </c>
      <c r="E167" s="184">
        <v>-0.135</v>
      </c>
      <c r="F167" s="184">
        <v>-0.0875</v>
      </c>
      <c r="G167" s="184">
        <v>-0.3089</v>
      </c>
      <c r="H167" s="184">
        <v>-0.6399</v>
      </c>
      <c r="I167" s="185">
        <v>0.2612</v>
      </c>
      <c r="J167" s="184">
        <v>-0.1408</v>
      </c>
      <c r="K167" s="184">
        <v>-0.1139</v>
      </c>
      <c r="L167" s="184">
        <v>-0.1247</v>
      </c>
      <c r="M167" s="184">
        <v>-0.4549</v>
      </c>
      <c r="N167" s="185">
        <v>0.3568</v>
      </c>
      <c r="O167" s="185">
        <v>0.5097</v>
      </c>
      <c r="P167" s="185">
        <v>0.8168</v>
      </c>
      <c r="Q167" s="236"/>
      <c r="R167" s="247" t="s">
        <v>334</v>
      </c>
      <c r="S167" s="204">
        <v>2557836.0</v>
      </c>
      <c r="T167" s="204">
        <v>1569869.0</v>
      </c>
      <c r="U167" s="204">
        <v>1286837.0</v>
      </c>
      <c r="V167" s="204">
        <v>1662154.0</v>
      </c>
      <c r="W167" s="204">
        <v>1692764.0</v>
      </c>
      <c r="X167" s="204">
        <v>1322173.0</v>
      </c>
      <c r="Y167" s="204">
        <v>1226414.0</v>
      </c>
      <c r="Z167" s="204">
        <v>1749861.0</v>
      </c>
      <c r="AA167" s="204">
        <v>2148198.0</v>
      </c>
      <c r="AB167" s="204">
        <v>1490236.0</v>
      </c>
      <c r="AC167" s="204">
        <v>1413588.0</v>
      </c>
      <c r="AD167" s="204">
        <v>1569357.0</v>
      </c>
      <c r="AE167" s="204">
        <v>1529696.0</v>
      </c>
      <c r="AF167" s="204">
        <v>1704231.0</v>
      </c>
      <c r="AG167" s="232"/>
      <c r="AH167" s="244" t="s">
        <v>324</v>
      </c>
      <c r="AI167" s="172">
        <v>25279.0</v>
      </c>
      <c r="AJ167" s="172">
        <v>17485.0</v>
      </c>
      <c r="AK167" s="172">
        <v>19462.0</v>
      </c>
      <c r="AL167" s="172">
        <v>26306.0</v>
      </c>
      <c r="AM167" s="172">
        <v>17667.0</v>
      </c>
      <c r="AN167" s="172">
        <v>18118.0</v>
      </c>
      <c r="AO167" s="172">
        <v>22056.0</v>
      </c>
      <c r="AP167" s="172">
        <v>27012.0</v>
      </c>
      <c r="AQ167" s="172">
        <v>25126.0</v>
      </c>
      <c r="AR167" s="172">
        <v>18687.0</v>
      </c>
      <c r="AS167" s="172">
        <v>14146.0</v>
      </c>
      <c r="AT167" s="172">
        <v>17344.0</v>
      </c>
      <c r="AU167" s="172">
        <v>22063.0</v>
      </c>
      <c r="AV167" s="172">
        <v>23184.0</v>
      </c>
      <c r="AW167" s="232"/>
      <c r="AX167" s="244" t="s">
        <v>346</v>
      </c>
      <c r="AY167" s="199">
        <v>0.223</v>
      </c>
      <c r="AZ167" s="199">
        <v>0.223</v>
      </c>
      <c r="BA167" s="199">
        <v>0.197</v>
      </c>
      <c r="BB167" s="199">
        <v>0.203</v>
      </c>
      <c r="BC167" s="199">
        <v>0.252</v>
      </c>
      <c r="BD167" s="199">
        <v>0.274</v>
      </c>
      <c r="BE167" s="199">
        <v>0.277</v>
      </c>
      <c r="BF167" s="199">
        <v>0.35</v>
      </c>
      <c r="BG167" s="199">
        <v>0.353</v>
      </c>
      <c r="BH167" s="199">
        <v>0.388</v>
      </c>
      <c r="BI167" s="199">
        <v>0.369</v>
      </c>
      <c r="BJ167" s="199">
        <v>0.419</v>
      </c>
      <c r="BK167" s="199">
        <v>0.492</v>
      </c>
      <c r="BL167" s="199">
        <v>0.521</v>
      </c>
      <c r="BM167" s="199">
        <v>0.459</v>
      </c>
      <c r="BN167" s="236"/>
      <c r="BO167" s="236"/>
      <c r="BP167" s="236"/>
      <c r="BQ167" s="236"/>
      <c r="BR167" s="236"/>
      <c r="BS167" s="240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</row>
    <row r="168" outlineLevel="1">
      <c r="A168" s="15"/>
      <c r="B168" s="174" t="s">
        <v>303</v>
      </c>
      <c r="C168" s="172">
        <v>-517213.0</v>
      </c>
      <c r="D168" s="172">
        <v>-172274.0</v>
      </c>
      <c r="E168" s="172">
        <v>138155.0</v>
      </c>
      <c r="F168" s="172">
        <v>369470.0</v>
      </c>
      <c r="G168" s="172">
        <v>-224587.0</v>
      </c>
      <c r="H168" s="172">
        <v>-31902.0</v>
      </c>
      <c r="I168" s="172">
        <v>435705.0</v>
      </c>
      <c r="J168" s="172">
        <v>279185.0</v>
      </c>
      <c r="K168" s="172">
        <v>-407907.0</v>
      </c>
      <c r="L168" s="172">
        <v>-182305.0</v>
      </c>
      <c r="M168" s="172">
        <v>240236.0</v>
      </c>
      <c r="N168" s="188">
        <v>-993.0</v>
      </c>
      <c r="O168" s="172">
        <v>249398.0</v>
      </c>
      <c r="P168" s="172">
        <v>-453063.0</v>
      </c>
      <c r="Q168" s="232"/>
      <c r="R168" s="244" t="s">
        <v>340</v>
      </c>
      <c r="S168" s="172">
        <v>512500.0</v>
      </c>
      <c r="T168" s="172">
        <v>512500.0</v>
      </c>
      <c r="U168" s="172">
        <v>512500.0</v>
      </c>
      <c r="V168" s="172">
        <v>512500.0</v>
      </c>
      <c r="W168" s="172">
        <v>512500.0</v>
      </c>
      <c r="X168" s="172">
        <v>512500.0</v>
      </c>
      <c r="Y168" s="172">
        <v>512500.0</v>
      </c>
      <c r="Z168" s="172">
        <v>512500.0</v>
      </c>
      <c r="AA168" s="172">
        <v>512500.0</v>
      </c>
      <c r="AB168" s="172">
        <v>512500.0</v>
      </c>
      <c r="AC168" s="172">
        <v>512500.0</v>
      </c>
      <c r="AD168" s="172">
        <v>512500.0</v>
      </c>
      <c r="AE168" s="172">
        <v>512500.0</v>
      </c>
      <c r="AF168" s="172">
        <v>512500.0</v>
      </c>
      <c r="AG168" s="232"/>
      <c r="AH168" s="233" t="s">
        <v>329</v>
      </c>
      <c r="AI168" s="172">
        <v>32385.0</v>
      </c>
      <c r="AJ168" s="172">
        <v>69026.0</v>
      </c>
      <c r="AK168" s="172" t="s">
        <v>209</v>
      </c>
      <c r="AL168" s="172" t="s">
        <v>209</v>
      </c>
      <c r="AM168" s="172">
        <v>47009.0</v>
      </c>
      <c r="AN168" s="172">
        <v>44193.0</v>
      </c>
      <c r="AO168" s="172" t="s">
        <v>209</v>
      </c>
      <c r="AP168" s="172">
        <v>5807.0</v>
      </c>
      <c r="AQ168" s="172">
        <v>71587.0</v>
      </c>
      <c r="AR168" s="172">
        <v>-76134.0</v>
      </c>
      <c r="AS168" s="172">
        <v>60131.0</v>
      </c>
      <c r="AT168" s="172">
        <v>27479.0</v>
      </c>
      <c r="AU168" s="172">
        <v>35797.0</v>
      </c>
      <c r="AV168" s="172">
        <v>16213.0</v>
      </c>
      <c r="AW168" s="232"/>
      <c r="AX168" s="244" t="s">
        <v>350</v>
      </c>
      <c r="AY168" s="199">
        <v>0.0826</v>
      </c>
      <c r="AZ168" s="199">
        <v>0.0991</v>
      </c>
      <c r="BA168" s="199">
        <v>0.0727</v>
      </c>
      <c r="BB168" s="199">
        <v>0.0809</v>
      </c>
      <c r="BC168" s="199">
        <v>0.0811</v>
      </c>
      <c r="BD168" s="199">
        <v>0.0791</v>
      </c>
      <c r="BE168" s="199">
        <v>0.0877</v>
      </c>
      <c r="BF168" s="199">
        <v>0.0954</v>
      </c>
      <c r="BG168" s="199">
        <v>0.0885</v>
      </c>
      <c r="BH168" s="199">
        <v>0.1039</v>
      </c>
      <c r="BI168" s="199">
        <v>0.0992</v>
      </c>
      <c r="BJ168" s="199">
        <v>0.1064</v>
      </c>
      <c r="BK168" s="199">
        <v>0.1146</v>
      </c>
      <c r="BL168" s="199">
        <v>0.1117</v>
      </c>
      <c r="BM168" s="199">
        <v>0.127</v>
      </c>
      <c r="BN168" s="236"/>
      <c r="BO168" s="236"/>
      <c r="BP168" s="236"/>
      <c r="BQ168" s="236"/>
      <c r="BR168" s="236"/>
      <c r="BS168" s="240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</row>
    <row r="169" outlineLevel="1">
      <c r="A169" s="15"/>
      <c r="B169" s="237" t="s">
        <v>319</v>
      </c>
      <c r="C169" s="188">
        <v>-50.46</v>
      </c>
      <c r="D169" s="188">
        <v>-16.81</v>
      </c>
      <c r="E169" s="188">
        <v>13.48</v>
      </c>
      <c r="F169" s="188">
        <v>36.05</v>
      </c>
      <c r="G169" s="188">
        <v>-21.91</v>
      </c>
      <c r="H169" s="188">
        <v>-3.11</v>
      </c>
      <c r="I169" s="188">
        <v>42.51</v>
      </c>
      <c r="J169" s="188">
        <v>27.24</v>
      </c>
      <c r="K169" s="188">
        <v>-39.8</v>
      </c>
      <c r="L169" s="188">
        <v>-17.79</v>
      </c>
      <c r="M169" s="188">
        <v>23.44</v>
      </c>
      <c r="N169" s="188">
        <v>-0.1</v>
      </c>
      <c r="O169" s="188">
        <v>24.33</v>
      </c>
      <c r="P169" s="188">
        <v>-44.2</v>
      </c>
      <c r="Q169" s="241"/>
      <c r="R169" s="233" t="s">
        <v>345</v>
      </c>
      <c r="S169" s="172">
        <v>12031.0</v>
      </c>
      <c r="T169" s="172">
        <v>12031.0</v>
      </c>
      <c r="U169" s="172">
        <v>12031.0</v>
      </c>
      <c r="V169" s="172">
        <v>12031.0</v>
      </c>
      <c r="W169" s="172">
        <v>12031.0</v>
      </c>
      <c r="X169" s="172">
        <v>12031.0</v>
      </c>
      <c r="Y169" s="172">
        <v>12031.0</v>
      </c>
      <c r="Z169" s="172">
        <v>12031.0</v>
      </c>
      <c r="AA169" s="172">
        <v>12031.0</v>
      </c>
      <c r="AB169" s="172">
        <v>12031.0</v>
      </c>
      <c r="AC169" s="172">
        <v>12031.0</v>
      </c>
      <c r="AD169" s="172">
        <v>12031.0</v>
      </c>
      <c r="AE169" s="172">
        <v>12031.0</v>
      </c>
      <c r="AF169" s="172">
        <v>12031.0</v>
      </c>
      <c r="AG169" s="232"/>
      <c r="AH169" s="232"/>
      <c r="AI169" s="232"/>
      <c r="AJ169" s="232"/>
      <c r="AK169" s="232"/>
      <c r="AL169" s="235"/>
      <c r="AM169" s="248"/>
      <c r="AN169" s="249"/>
      <c r="AO169" s="248"/>
      <c r="AP169" s="248"/>
      <c r="AQ169" s="249"/>
      <c r="AR169" s="249"/>
      <c r="AS169" s="248"/>
      <c r="AT169" s="248"/>
      <c r="AU169" s="248"/>
      <c r="AV169" s="249"/>
      <c r="AW169" s="248"/>
      <c r="AX169" s="244" t="s">
        <v>355</v>
      </c>
      <c r="AY169" s="199">
        <v>-0.0548</v>
      </c>
      <c r="AZ169" s="199">
        <v>-0.0657</v>
      </c>
      <c r="BA169" s="199">
        <v>0.0323</v>
      </c>
      <c r="BB169" s="199">
        <v>0.0795</v>
      </c>
      <c r="BC169" s="199">
        <v>0.1673</v>
      </c>
      <c r="BD169" s="199">
        <v>0.1323</v>
      </c>
      <c r="BE169" s="199">
        <v>0.0804</v>
      </c>
      <c r="BF169" s="199">
        <v>0.0314</v>
      </c>
      <c r="BG169" s="199">
        <v>-0.0173</v>
      </c>
      <c r="BH169" s="199">
        <v>-0.0964</v>
      </c>
      <c r="BI169" s="199">
        <v>0.0781</v>
      </c>
      <c r="BJ169" s="199">
        <v>0.0093</v>
      </c>
      <c r="BK169" s="199">
        <v>0.0604</v>
      </c>
      <c r="BL169" s="199">
        <v>0.0685</v>
      </c>
      <c r="BM169" s="199">
        <v>-0.13</v>
      </c>
      <c r="BN169" s="236"/>
      <c r="BO169" s="236"/>
      <c r="BP169" s="236"/>
      <c r="BQ169" s="236"/>
      <c r="BR169" s="236"/>
      <c r="BS169" s="240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</row>
    <row r="170" outlineLevel="1">
      <c r="A170" s="15"/>
      <c r="B170" s="237" t="s">
        <v>353</v>
      </c>
      <c r="C170" s="188" t="s">
        <v>209</v>
      </c>
      <c r="D170" s="188" t="s">
        <v>209</v>
      </c>
      <c r="E170" s="188" t="s">
        <v>209</v>
      </c>
      <c r="F170" s="188" t="s">
        <v>209</v>
      </c>
      <c r="G170" s="188" t="s">
        <v>209</v>
      </c>
      <c r="H170" s="188" t="s">
        <v>209</v>
      </c>
      <c r="I170" s="188">
        <v>19.0</v>
      </c>
      <c r="J170" s="188" t="s">
        <v>209</v>
      </c>
      <c r="K170" s="188" t="s">
        <v>209</v>
      </c>
      <c r="L170" s="188" t="s">
        <v>209</v>
      </c>
      <c r="M170" s="188">
        <v>20.5</v>
      </c>
      <c r="N170" s="188" t="s">
        <v>209</v>
      </c>
      <c r="O170" s="188" t="s">
        <v>209</v>
      </c>
      <c r="P170" s="188" t="s">
        <v>209</v>
      </c>
      <c r="Q170" s="241"/>
      <c r="R170" s="233" t="s">
        <v>349</v>
      </c>
      <c r="S170" s="172">
        <v>1057210.0</v>
      </c>
      <c r="T170" s="172">
        <v>1080806.0</v>
      </c>
      <c r="U170" s="172">
        <v>1043184.0</v>
      </c>
      <c r="V170" s="172">
        <v>975588.0</v>
      </c>
      <c r="W170" s="172">
        <v>890639.0</v>
      </c>
      <c r="X170" s="172">
        <v>1026678.0</v>
      </c>
      <c r="Y170" s="172">
        <v>982513.0</v>
      </c>
      <c r="Z170" s="172">
        <v>904347.0</v>
      </c>
      <c r="AA170" s="172">
        <v>811255.0</v>
      </c>
      <c r="AB170" s="172">
        <v>936433.0</v>
      </c>
      <c r="AC170" s="172">
        <v>813774.0</v>
      </c>
      <c r="AD170" s="172">
        <v>751775.0</v>
      </c>
      <c r="AE170" s="172">
        <v>643429.0</v>
      </c>
      <c r="AF170" s="172">
        <v>701309.0</v>
      </c>
      <c r="AG170" s="232"/>
      <c r="AH170" s="232"/>
      <c r="AI170" s="232"/>
      <c r="AJ170" s="232"/>
      <c r="AK170" s="232"/>
      <c r="AL170" s="235"/>
      <c r="AM170" s="249"/>
      <c r="AN170" s="249"/>
      <c r="AO170" s="249"/>
      <c r="AP170" s="249"/>
      <c r="AQ170" s="249"/>
      <c r="AR170" s="249"/>
      <c r="AS170" s="249"/>
      <c r="AT170" s="249"/>
      <c r="AU170" s="249"/>
      <c r="AV170" s="249"/>
      <c r="AW170" s="248"/>
      <c r="AX170" s="174" t="s">
        <v>359</v>
      </c>
      <c r="AY170" s="199">
        <v>0.0569</v>
      </c>
      <c r="AZ170" s="188" t="s">
        <v>209</v>
      </c>
      <c r="BA170" s="188" t="s">
        <v>209</v>
      </c>
      <c r="BB170" s="188" t="s">
        <v>209</v>
      </c>
      <c r="BC170" s="188" t="s">
        <v>209</v>
      </c>
      <c r="BD170" s="188" t="s">
        <v>209</v>
      </c>
      <c r="BE170" s="188" t="s">
        <v>209</v>
      </c>
      <c r="BF170" s="199">
        <v>0.0538</v>
      </c>
      <c r="BG170" s="188" t="s">
        <v>209</v>
      </c>
      <c r="BH170" s="188" t="s">
        <v>209</v>
      </c>
      <c r="BI170" s="188" t="s">
        <v>209</v>
      </c>
      <c r="BJ170" s="199">
        <v>0.0639</v>
      </c>
      <c r="BK170" s="188" t="s">
        <v>209</v>
      </c>
      <c r="BL170" s="188" t="s">
        <v>209</v>
      </c>
      <c r="BM170" s="188" t="s">
        <v>209</v>
      </c>
      <c r="BN170" s="236"/>
      <c r="BO170" s="241"/>
      <c r="BP170" s="241"/>
      <c r="BQ170" s="241"/>
      <c r="BR170" s="236"/>
      <c r="BS170" s="242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</row>
    <row r="171" outlineLevel="1">
      <c r="A171" s="15"/>
      <c r="B171" s="157" t="s">
        <v>424</v>
      </c>
      <c r="C171" s="186" t="s">
        <v>209</v>
      </c>
      <c r="D171" s="186" t="s">
        <v>209</v>
      </c>
      <c r="E171" s="186" t="s">
        <v>209</v>
      </c>
      <c r="F171" s="186" t="s">
        <v>209</v>
      </c>
      <c r="G171" s="186" t="s">
        <v>209</v>
      </c>
      <c r="H171" s="186" t="s">
        <v>209</v>
      </c>
      <c r="I171" s="184">
        <v>-0.0732</v>
      </c>
      <c r="J171" s="186" t="s">
        <v>209</v>
      </c>
      <c r="K171" s="186" t="s">
        <v>209</v>
      </c>
      <c r="L171" s="186" t="s">
        <v>209</v>
      </c>
      <c r="M171" s="185">
        <v>0.3667</v>
      </c>
      <c r="N171" s="186" t="s">
        <v>209</v>
      </c>
      <c r="O171" s="186" t="s">
        <v>209</v>
      </c>
      <c r="P171" s="186" t="s">
        <v>209</v>
      </c>
      <c r="Q171" s="236"/>
      <c r="R171" s="233" t="s">
        <v>354</v>
      </c>
      <c r="S171" s="172">
        <v>263624.0</v>
      </c>
      <c r="T171" s="172">
        <v>263624.0</v>
      </c>
      <c r="U171" s="172">
        <v>263624.0</v>
      </c>
      <c r="V171" s="172">
        <v>-206.51</v>
      </c>
      <c r="W171" s="172">
        <v>-206.51</v>
      </c>
      <c r="X171" s="172">
        <v>-206.51</v>
      </c>
      <c r="Y171" s="172">
        <v>-206.51</v>
      </c>
      <c r="Z171" s="172">
        <v>-1882.0</v>
      </c>
      <c r="AA171" s="172">
        <v>-1882.0</v>
      </c>
      <c r="AB171" s="172">
        <v>-1882.0</v>
      </c>
      <c r="AC171" s="172">
        <v>-1882.0</v>
      </c>
      <c r="AD171" s="172">
        <v>-1254.0</v>
      </c>
      <c r="AE171" s="172">
        <v>-1254.0</v>
      </c>
      <c r="AF171" s="172">
        <v>-1254.0</v>
      </c>
      <c r="AG171" s="232"/>
      <c r="AH171" s="232"/>
      <c r="AI171" s="232"/>
      <c r="AJ171" s="232"/>
      <c r="AK171" s="232"/>
      <c r="AL171" s="235"/>
      <c r="AM171" s="248"/>
      <c r="AN171" s="248"/>
      <c r="AO171" s="248"/>
      <c r="AP171" s="248"/>
      <c r="AQ171" s="248"/>
      <c r="AR171" s="248"/>
      <c r="AS171" s="248"/>
      <c r="AT171" s="248"/>
      <c r="AU171" s="248"/>
      <c r="AV171" s="248"/>
      <c r="AW171" s="248"/>
      <c r="AX171" s="244" t="s">
        <v>363</v>
      </c>
      <c r="AY171" s="199">
        <v>0.639</v>
      </c>
      <c r="AZ171" s="199">
        <v>0.0144</v>
      </c>
      <c r="BA171" s="172" t="s">
        <v>209</v>
      </c>
      <c r="BB171" s="199">
        <v>1.287</v>
      </c>
      <c r="BC171" s="199">
        <v>1.0241</v>
      </c>
      <c r="BD171" s="199">
        <v>0.5263</v>
      </c>
      <c r="BE171" s="188" t="s">
        <v>209</v>
      </c>
      <c r="BF171" s="199">
        <v>1.4049</v>
      </c>
      <c r="BG171" s="199">
        <v>1.1378</v>
      </c>
      <c r="BH171" s="199">
        <v>0.011</v>
      </c>
      <c r="BI171" s="188" t="s">
        <v>209</v>
      </c>
      <c r="BJ171" s="199">
        <v>1.0883</v>
      </c>
      <c r="BK171" s="199">
        <v>0.6227</v>
      </c>
      <c r="BL171" s="199">
        <v>0.258</v>
      </c>
      <c r="BM171" s="188" t="s">
        <v>209</v>
      </c>
      <c r="BN171" s="236"/>
      <c r="BO171" s="236"/>
      <c r="BP171" s="241"/>
      <c r="BQ171" s="241"/>
      <c r="BR171" s="236"/>
      <c r="BS171" s="240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</row>
    <row r="172" outlineLevel="1">
      <c r="A172" s="15"/>
      <c r="B172" s="174" t="s">
        <v>361</v>
      </c>
      <c r="C172" s="199">
        <v>0.2025</v>
      </c>
      <c r="D172" s="199">
        <v>0.2307</v>
      </c>
      <c r="E172" s="199">
        <v>0.1825</v>
      </c>
      <c r="F172" s="199">
        <v>0.2309</v>
      </c>
      <c r="G172" s="199">
        <v>0.2072</v>
      </c>
      <c r="H172" s="199">
        <v>0.2355</v>
      </c>
      <c r="I172" s="199">
        <v>0.2341</v>
      </c>
      <c r="J172" s="199">
        <v>0.244</v>
      </c>
      <c r="K172" s="199">
        <v>0.2524</v>
      </c>
      <c r="L172" s="199">
        <v>0.2529</v>
      </c>
      <c r="M172" s="199">
        <v>0.292</v>
      </c>
      <c r="N172" s="199">
        <v>0.2789</v>
      </c>
      <c r="O172" s="199">
        <v>0.2229</v>
      </c>
      <c r="P172" s="199">
        <v>0.2205</v>
      </c>
      <c r="Q172" s="236"/>
      <c r="R172" s="237" t="s">
        <v>358</v>
      </c>
      <c r="S172" s="172">
        <v>1845365.0</v>
      </c>
      <c r="T172" s="172">
        <v>1868961.0</v>
      </c>
      <c r="U172" s="172">
        <v>1831339.0</v>
      </c>
      <c r="V172" s="172">
        <v>1499912.0</v>
      </c>
      <c r="W172" s="172">
        <v>1414963.0</v>
      </c>
      <c r="X172" s="172">
        <v>1551002.0</v>
      </c>
      <c r="Y172" s="172">
        <v>1506838.0</v>
      </c>
      <c r="Z172" s="172">
        <v>1426996.0</v>
      </c>
      <c r="AA172" s="172">
        <v>1333904.0</v>
      </c>
      <c r="AB172" s="172">
        <v>1459082.0</v>
      </c>
      <c r="AC172" s="172">
        <v>1336423.0</v>
      </c>
      <c r="AD172" s="172">
        <v>1275052.0</v>
      </c>
      <c r="AE172" s="172">
        <v>1166706.0</v>
      </c>
      <c r="AF172" s="172">
        <v>1224586.0</v>
      </c>
      <c r="AG172" s="232"/>
      <c r="AH172" s="232"/>
      <c r="AI172" s="232"/>
      <c r="AJ172" s="232"/>
      <c r="AK172" s="232"/>
      <c r="AL172" s="235"/>
      <c r="AM172" s="15"/>
      <c r="AN172" s="15"/>
      <c r="AO172" s="15"/>
      <c r="AP172" s="15"/>
      <c r="AQ172" s="170"/>
      <c r="AR172" s="170"/>
      <c r="AS172" s="170"/>
      <c r="AT172" s="170"/>
      <c r="AU172" s="170"/>
      <c r="AV172" s="170"/>
      <c r="AW172" s="170"/>
      <c r="AX172" s="174" t="s">
        <v>368</v>
      </c>
      <c r="AY172" s="199">
        <v>0.0586</v>
      </c>
      <c r="AZ172" s="188" t="s">
        <v>209</v>
      </c>
      <c r="BA172" s="188" t="s">
        <v>209</v>
      </c>
      <c r="BB172" s="188" t="s">
        <v>209</v>
      </c>
      <c r="BC172" s="188" t="s">
        <v>209</v>
      </c>
      <c r="BD172" s="188" t="s">
        <v>209</v>
      </c>
      <c r="BE172" s="188" t="s">
        <v>209</v>
      </c>
      <c r="BF172" s="199">
        <v>0.0538</v>
      </c>
      <c r="BG172" s="188" t="s">
        <v>209</v>
      </c>
      <c r="BH172" s="188" t="s">
        <v>209</v>
      </c>
      <c r="BI172" s="188" t="s">
        <v>209</v>
      </c>
      <c r="BJ172" s="199">
        <v>0.0639</v>
      </c>
      <c r="BK172" s="188" t="s">
        <v>209</v>
      </c>
      <c r="BL172" s="188" t="s">
        <v>209</v>
      </c>
      <c r="BM172" s="188" t="s">
        <v>209</v>
      </c>
      <c r="BN172" s="236"/>
      <c r="BO172" s="241"/>
      <c r="BP172" s="241"/>
      <c r="BQ172" s="241"/>
      <c r="BR172" s="236"/>
      <c r="BS172" s="242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</row>
    <row r="173" outlineLevel="1">
      <c r="A173" s="15"/>
      <c r="B173" s="174" t="s">
        <v>366</v>
      </c>
      <c r="C173" s="199">
        <v>0.0966</v>
      </c>
      <c r="D173" s="199">
        <v>0.1011</v>
      </c>
      <c r="E173" s="199">
        <v>0.0981</v>
      </c>
      <c r="F173" s="199">
        <v>0.1117</v>
      </c>
      <c r="G173" s="199">
        <v>0.094</v>
      </c>
      <c r="H173" s="199">
        <v>0.0905</v>
      </c>
      <c r="I173" s="199">
        <v>0.1116</v>
      </c>
      <c r="J173" s="199">
        <v>0.1209</v>
      </c>
      <c r="K173" s="199">
        <v>0.1272</v>
      </c>
      <c r="L173" s="199">
        <v>0.1356</v>
      </c>
      <c r="M173" s="199">
        <v>0.1484</v>
      </c>
      <c r="N173" s="199">
        <v>0.1491</v>
      </c>
      <c r="O173" s="199">
        <v>0.116</v>
      </c>
      <c r="P173" s="199">
        <v>0.1356</v>
      </c>
      <c r="Q173" s="236"/>
      <c r="R173" s="237" t="s">
        <v>362</v>
      </c>
      <c r="S173" s="172">
        <v>58185.0</v>
      </c>
      <c r="T173" s="172">
        <v>58203.0</v>
      </c>
      <c r="U173" s="172">
        <v>57015.0</v>
      </c>
      <c r="V173" s="172">
        <v>53981.0</v>
      </c>
      <c r="W173" s="172">
        <v>49571.0</v>
      </c>
      <c r="X173" s="172">
        <v>57491.0</v>
      </c>
      <c r="Y173" s="172">
        <v>55111.0</v>
      </c>
      <c r="Z173" s="172">
        <v>52356.0</v>
      </c>
      <c r="AA173" s="172">
        <v>46078.0</v>
      </c>
      <c r="AB173" s="172">
        <v>48250.0</v>
      </c>
      <c r="AC173" s="172">
        <v>43654.0</v>
      </c>
      <c r="AD173" s="172">
        <v>41577.0</v>
      </c>
      <c r="AE173" s="172">
        <v>39178.0</v>
      </c>
      <c r="AF173" s="172">
        <v>41372.0</v>
      </c>
      <c r="AG173" s="232"/>
      <c r="AH173" s="232"/>
      <c r="AI173" s="232"/>
      <c r="AJ173" s="232"/>
      <c r="AK173" s="232"/>
      <c r="AL173" s="235"/>
      <c r="AM173" s="15"/>
      <c r="AN173" s="15"/>
      <c r="AO173" s="15"/>
      <c r="AP173" s="15"/>
      <c r="AQ173" s="170"/>
      <c r="AR173" s="170"/>
      <c r="AS173" s="170"/>
      <c r="AT173" s="170"/>
      <c r="AU173" s="170"/>
      <c r="AV173" s="170"/>
      <c r="AW173" s="170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</row>
    <row r="174" outlineLevel="1">
      <c r="A174" s="15"/>
      <c r="B174" s="174" t="s">
        <v>370</v>
      </c>
      <c r="C174" s="199">
        <v>0.0593</v>
      </c>
      <c r="D174" s="203">
        <v>0.0625</v>
      </c>
      <c r="E174" s="199">
        <v>0.0587</v>
      </c>
      <c r="F174" s="199">
        <v>0.0697</v>
      </c>
      <c r="G174" s="199">
        <v>0.0611</v>
      </c>
      <c r="H174" s="199">
        <v>0.0594</v>
      </c>
      <c r="I174" s="199">
        <v>0.0689</v>
      </c>
      <c r="J174" s="199">
        <v>0.0749</v>
      </c>
      <c r="K174" s="199">
        <v>0.0781</v>
      </c>
      <c r="L174" s="199">
        <v>0.0921</v>
      </c>
      <c r="M174" s="199">
        <v>0.0969</v>
      </c>
      <c r="N174" s="199">
        <v>0.1028</v>
      </c>
      <c r="O174" s="199">
        <v>0.0771</v>
      </c>
      <c r="P174" s="199">
        <v>0.0918</v>
      </c>
      <c r="Q174" s="236"/>
      <c r="R174" s="247" t="s">
        <v>367</v>
      </c>
      <c r="S174" s="204">
        <v>1903550.0</v>
      </c>
      <c r="T174" s="204">
        <v>1927165.0</v>
      </c>
      <c r="U174" s="204">
        <v>1888354.0</v>
      </c>
      <c r="V174" s="204">
        <v>1553893.0</v>
      </c>
      <c r="W174" s="204">
        <v>1464534.0</v>
      </c>
      <c r="X174" s="204">
        <v>1608493.0</v>
      </c>
      <c r="Y174" s="204">
        <v>1561948.0</v>
      </c>
      <c r="Z174" s="204">
        <v>1479352.0</v>
      </c>
      <c r="AA174" s="204">
        <v>1379982.0</v>
      </c>
      <c r="AB174" s="204">
        <v>1507332.0</v>
      </c>
      <c r="AC174" s="204">
        <v>1380077.0</v>
      </c>
      <c r="AD174" s="204">
        <v>1316629.0</v>
      </c>
      <c r="AE174" s="204">
        <v>1205884.0</v>
      </c>
      <c r="AF174" s="204">
        <v>1265958.0</v>
      </c>
      <c r="AG174" s="232"/>
      <c r="AH174" s="232"/>
      <c r="AI174" s="232"/>
      <c r="AJ174" s="232"/>
      <c r="AK174" s="232"/>
      <c r="AL174" s="235"/>
      <c r="AM174" s="15"/>
      <c r="AN174" s="15"/>
      <c r="AO174" s="15"/>
      <c r="AP174" s="15"/>
      <c r="AQ174" s="170"/>
      <c r="AR174" s="170"/>
      <c r="AS174" s="170"/>
      <c r="AT174" s="170"/>
      <c r="AU174" s="170"/>
      <c r="AV174" s="170"/>
      <c r="AW174" s="170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</row>
    <row r="175" outlineLevel="1">
      <c r="A175" s="15"/>
      <c r="B175" s="174" t="s">
        <v>314</v>
      </c>
      <c r="C175" s="199">
        <v>-0.3649</v>
      </c>
      <c r="D175" s="199">
        <v>-0.2863</v>
      </c>
      <c r="E175" s="199">
        <v>0.12</v>
      </c>
      <c r="F175" s="199">
        <v>0.303</v>
      </c>
      <c r="G175" s="199">
        <v>-0.2337</v>
      </c>
      <c r="H175" s="199">
        <v>-0.0429</v>
      </c>
      <c r="I175" s="199">
        <v>0.3839</v>
      </c>
      <c r="J175" s="199">
        <v>0.2245</v>
      </c>
      <c r="K175" s="199">
        <v>-0.3752</v>
      </c>
      <c r="L175" s="199">
        <v>-0.1369</v>
      </c>
      <c r="M175" s="199">
        <v>0.3756</v>
      </c>
      <c r="N175" s="199">
        <v>-9.0E-4</v>
      </c>
      <c r="O175" s="199">
        <v>0.2005</v>
      </c>
      <c r="P175" s="199">
        <v>-0.2969</v>
      </c>
      <c r="Q175" s="236"/>
      <c r="R175" s="237" t="s">
        <v>371</v>
      </c>
      <c r="S175" s="172">
        <v>4461386.0</v>
      </c>
      <c r="T175" s="172">
        <v>3497033.0</v>
      </c>
      <c r="U175" s="172">
        <v>3175191.0</v>
      </c>
      <c r="V175" s="172">
        <v>3216047.0</v>
      </c>
      <c r="W175" s="172">
        <v>3157298.0</v>
      </c>
      <c r="X175" s="172">
        <v>2930666.0</v>
      </c>
      <c r="Y175" s="172">
        <v>2788362.0</v>
      </c>
      <c r="Z175" s="172">
        <v>3229212.0</v>
      </c>
      <c r="AA175" s="172">
        <v>3528180.0</v>
      </c>
      <c r="AB175" s="172">
        <v>2997568.0</v>
      </c>
      <c r="AC175" s="172">
        <v>2793665.0</v>
      </c>
      <c r="AD175" s="172">
        <v>2885986.0</v>
      </c>
      <c r="AE175" s="172">
        <v>2735579.0</v>
      </c>
      <c r="AF175" s="172">
        <v>2970189.0</v>
      </c>
      <c r="AG175" s="232"/>
      <c r="AH175" s="232"/>
      <c r="AI175" s="232"/>
      <c r="AJ175" s="232"/>
      <c r="AK175" s="232"/>
      <c r="AL175" s="235"/>
      <c r="AM175" s="15"/>
      <c r="AN175" s="15"/>
      <c r="AO175" s="15"/>
      <c r="AP175" s="15"/>
      <c r="AQ175" s="170"/>
      <c r="AR175" s="170"/>
      <c r="AS175" s="170"/>
      <c r="AT175" s="170"/>
      <c r="AU175" s="170"/>
      <c r="AV175" s="170"/>
      <c r="AW175" s="170"/>
      <c r="AX175" s="15"/>
      <c r="AY175" s="250"/>
      <c r="AZ175" s="250"/>
      <c r="BA175" s="250"/>
      <c r="BB175" s="250"/>
      <c r="BC175" s="250"/>
      <c r="BD175" s="250"/>
      <c r="BE175" s="250"/>
      <c r="BF175" s="250"/>
      <c r="BG175" s="250"/>
      <c r="BH175" s="250"/>
      <c r="BI175" s="250"/>
      <c r="BJ175" s="250"/>
      <c r="BK175" s="250"/>
      <c r="BL175" s="250"/>
      <c r="BM175" s="250"/>
      <c r="BN175" s="250"/>
      <c r="BO175" s="250"/>
      <c r="BP175" s="250"/>
      <c r="BQ175" s="250"/>
      <c r="BR175" s="250"/>
      <c r="BS175" s="251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</row>
    <row r="176" outlineLevel="1">
      <c r="A176" s="15"/>
      <c r="B176" s="237" t="s">
        <v>376</v>
      </c>
      <c r="C176" s="172">
        <v>149112.0</v>
      </c>
      <c r="D176" s="172">
        <v>72845.0</v>
      </c>
      <c r="E176" s="172">
        <v>124589.0</v>
      </c>
      <c r="F176" s="172">
        <v>147791.0</v>
      </c>
      <c r="G176" s="172">
        <v>100411.0</v>
      </c>
      <c r="H176" s="172">
        <v>76580.0</v>
      </c>
      <c r="I176" s="172">
        <v>136028.0</v>
      </c>
      <c r="J176" s="172">
        <v>159264.0</v>
      </c>
      <c r="K176" s="172">
        <v>146993.0</v>
      </c>
      <c r="L176" s="172">
        <v>189132.0</v>
      </c>
      <c r="M176" s="172">
        <v>103348.0</v>
      </c>
      <c r="N176" s="172">
        <v>164490.0</v>
      </c>
      <c r="O176" s="172">
        <v>150988.0</v>
      </c>
      <c r="P176" s="172">
        <v>213464.0</v>
      </c>
      <c r="Q176" s="232"/>
      <c r="R176" s="244" t="s">
        <v>373</v>
      </c>
      <c r="S176" s="172">
        <v>1509985.0</v>
      </c>
      <c r="T176" s="172">
        <v>913186.0</v>
      </c>
      <c r="U176" s="172">
        <v>773657.0</v>
      </c>
      <c r="V176" s="172">
        <v>805656.0</v>
      </c>
      <c r="W176" s="172">
        <v>1115268.0</v>
      </c>
      <c r="X176" s="172">
        <v>816425.0</v>
      </c>
      <c r="Y176" s="172">
        <v>773149.0</v>
      </c>
      <c r="Z176" s="172">
        <v>1109934.0</v>
      </c>
      <c r="AA176" s="172">
        <v>1315534.0</v>
      </c>
      <c r="AB176" s="172">
        <v>893705.0</v>
      </c>
      <c r="AC176" s="172">
        <v>785751.0</v>
      </c>
      <c r="AD176" s="172">
        <v>873623.0</v>
      </c>
      <c r="AE176" s="172">
        <v>858264.0</v>
      </c>
      <c r="AF176" s="172">
        <v>1056807.0</v>
      </c>
      <c r="AG176" s="232"/>
      <c r="AH176" s="232"/>
      <c r="AI176" s="232"/>
      <c r="AJ176" s="232"/>
      <c r="AK176" s="232"/>
      <c r="AL176" s="235"/>
      <c r="AM176" s="15"/>
      <c r="AN176" s="15"/>
      <c r="AO176" s="15"/>
      <c r="AP176" s="15"/>
      <c r="AQ176" s="170"/>
      <c r="AR176" s="170"/>
      <c r="AS176" s="170"/>
      <c r="AT176" s="170"/>
      <c r="AU176" s="170"/>
      <c r="AV176" s="170"/>
      <c r="AW176" s="170"/>
      <c r="AX176" s="15"/>
      <c r="AY176" s="170"/>
      <c r="AZ176" s="170"/>
      <c r="BA176" s="170"/>
      <c r="BB176" s="170"/>
      <c r="BC176" s="170"/>
      <c r="BD176" s="170"/>
      <c r="BE176" s="170"/>
      <c r="BF176" s="170"/>
      <c r="BG176" s="170"/>
      <c r="BH176" s="170"/>
      <c r="BI176" s="170"/>
      <c r="BJ176" s="170"/>
      <c r="BK176" s="170"/>
      <c r="BL176" s="170"/>
      <c r="BM176" s="170"/>
      <c r="BN176" s="170"/>
      <c r="BO176" s="170"/>
      <c r="BP176" s="170"/>
      <c r="BQ176" s="170"/>
      <c r="BR176" s="170"/>
      <c r="BS176" s="170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</row>
    <row r="177" outlineLevel="1">
      <c r="A177" s="15"/>
      <c r="B177" s="157" t="s">
        <v>22</v>
      </c>
      <c r="C177" s="213">
        <v>0.1052</v>
      </c>
      <c r="D177" s="213">
        <v>0.1211</v>
      </c>
      <c r="E177" s="213">
        <v>0.1082</v>
      </c>
      <c r="F177" s="213">
        <v>0.1212</v>
      </c>
      <c r="G177" s="213">
        <v>0.1045</v>
      </c>
      <c r="H177" s="213">
        <v>0.103</v>
      </c>
      <c r="I177" s="213">
        <v>0.1198</v>
      </c>
      <c r="J177" s="213">
        <v>0.1281</v>
      </c>
      <c r="K177" s="213">
        <v>0.1352</v>
      </c>
      <c r="L177" s="213">
        <v>0.142</v>
      </c>
      <c r="M177" s="213">
        <v>0.1616</v>
      </c>
      <c r="N177" s="213">
        <v>0.1561</v>
      </c>
      <c r="O177" s="213">
        <v>0.1214</v>
      </c>
      <c r="P177" s="213">
        <v>0.1399</v>
      </c>
      <c r="Q177" s="236"/>
      <c r="R177" s="237" t="s">
        <v>377</v>
      </c>
      <c r="S177" s="172">
        <v>-1358381.0</v>
      </c>
      <c r="T177" s="172">
        <v>-841008.0</v>
      </c>
      <c r="U177" s="172">
        <v>-668765.0</v>
      </c>
      <c r="V177" s="172">
        <v>-710489.0</v>
      </c>
      <c r="W177" s="172">
        <v>-993961.0</v>
      </c>
      <c r="X177" s="172">
        <v>-738475.0</v>
      </c>
      <c r="Y177" s="172">
        <v>-709728.0</v>
      </c>
      <c r="Z177" s="172">
        <v>-1024317.0</v>
      </c>
      <c r="AA177" s="172">
        <v>-1197577.0</v>
      </c>
      <c r="AB177" s="172">
        <v>-802561.0</v>
      </c>
      <c r="AC177" s="172">
        <v>-620395.0</v>
      </c>
      <c r="AD177" s="172">
        <v>-796617.0</v>
      </c>
      <c r="AE177" s="172">
        <v>-745547.0</v>
      </c>
      <c r="AF177" s="172">
        <v>-970215.0</v>
      </c>
      <c r="AG177" s="232"/>
      <c r="AH177" s="232"/>
      <c r="AI177" s="232"/>
      <c r="AJ177" s="232"/>
      <c r="AK177" s="232"/>
      <c r="AL177" s="235"/>
      <c r="AM177" s="250"/>
      <c r="AN177" s="250"/>
      <c r="AO177" s="250"/>
      <c r="AP177" s="250"/>
      <c r="AQ177" s="250"/>
      <c r="AR177" s="250"/>
      <c r="AS177" s="250"/>
      <c r="AT177" s="250"/>
      <c r="AU177" s="250"/>
      <c r="AV177" s="250"/>
      <c r="AW177" s="250"/>
      <c r="AX177" s="15"/>
      <c r="AY177" s="249"/>
      <c r="AZ177" s="249"/>
      <c r="BA177" s="249"/>
      <c r="BB177" s="249"/>
      <c r="BC177" s="249"/>
      <c r="BD177" s="249"/>
      <c r="BE177" s="249"/>
      <c r="BF177" s="249"/>
      <c r="BG177" s="249"/>
      <c r="BH177" s="249"/>
      <c r="BI177" s="249"/>
      <c r="BJ177" s="249"/>
      <c r="BK177" s="249"/>
      <c r="BL177" s="249"/>
      <c r="BM177" s="249"/>
      <c r="BN177" s="249"/>
      <c r="BO177" s="249"/>
      <c r="BP177" s="249"/>
      <c r="BQ177" s="249"/>
      <c r="BR177" s="249"/>
      <c r="BS177" s="246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</row>
    <row r="178" outlineLevel="1">
      <c r="A178" s="15"/>
      <c r="B178" s="237" t="s">
        <v>383</v>
      </c>
      <c r="C178" s="172">
        <v>12143.0</v>
      </c>
      <c r="D178" s="172">
        <v>12021.0</v>
      </c>
      <c r="E178" s="172">
        <v>11702.0</v>
      </c>
      <c r="F178" s="172">
        <v>11594.0</v>
      </c>
      <c r="G178" s="172">
        <v>10080.0</v>
      </c>
      <c r="H178" s="172">
        <v>9324.0</v>
      </c>
      <c r="I178" s="172">
        <v>9363.0</v>
      </c>
      <c r="J178" s="172">
        <v>8877.0</v>
      </c>
      <c r="K178" s="172">
        <v>8695.0</v>
      </c>
      <c r="L178" s="172">
        <v>8555.0</v>
      </c>
      <c r="M178" s="172">
        <v>8431.0</v>
      </c>
      <c r="N178" s="172">
        <v>7366.0</v>
      </c>
      <c r="O178" s="172">
        <v>6661.0</v>
      </c>
      <c r="P178" s="172">
        <v>6447.0</v>
      </c>
      <c r="Q178" s="232"/>
      <c r="R178" s="238" t="s">
        <v>425</v>
      </c>
      <c r="S178" s="243" t="s">
        <v>209</v>
      </c>
      <c r="T178" s="243" t="s">
        <v>209</v>
      </c>
      <c r="U178" s="243" t="s">
        <v>209</v>
      </c>
      <c r="V178" s="243" t="s">
        <v>209</v>
      </c>
      <c r="W178" s="186" t="s">
        <v>209</v>
      </c>
      <c r="X178" s="186" t="s">
        <v>209</v>
      </c>
      <c r="Y178" s="186" t="s">
        <v>209</v>
      </c>
      <c r="Z178" s="186" t="s">
        <v>209</v>
      </c>
      <c r="AA178" s="186" t="s">
        <v>209</v>
      </c>
      <c r="AB178" s="186" t="s">
        <v>209</v>
      </c>
      <c r="AC178" s="186" t="s">
        <v>209</v>
      </c>
      <c r="AD178" s="186" t="s">
        <v>209</v>
      </c>
      <c r="AE178" s="186" t="s">
        <v>209</v>
      </c>
      <c r="AF178" s="186" t="s">
        <v>209</v>
      </c>
      <c r="AG178" s="241"/>
      <c r="AH178" s="241"/>
      <c r="AI178" s="241"/>
      <c r="AJ178" s="241"/>
      <c r="AK178" s="241"/>
      <c r="AL178" s="242"/>
      <c r="AM178" s="170"/>
      <c r="AN178" s="170"/>
      <c r="AO178" s="170"/>
      <c r="AP178" s="170"/>
      <c r="AQ178" s="170"/>
      <c r="AR178" s="170"/>
      <c r="AS178" s="170"/>
      <c r="AT178" s="170"/>
      <c r="AU178" s="170"/>
      <c r="AV178" s="170"/>
      <c r="AW178" s="170"/>
      <c r="AX178" s="15"/>
      <c r="AY178" s="249"/>
      <c r="AZ178" s="249"/>
      <c r="BA178" s="249"/>
      <c r="BB178" s="249"/>
      <c r="BC178" s="249"/>
      <c r="BD178" s="249"/>
      <c r="BE178" s="249"/>
      <c r="BF178" s="249"/>
      <c r="BG178" s="249"/>
      <c r="BH178" s="249"/>
      <c r="BI178" s="249"/>
      <c r="BJ178" s="249"/>
      <c r="BK178" s="249"/>
      <c r="BL178" s="249"/>
      <c r="BM178" s="249"/>
      <c r="BN178" s="249"/>
      <c r="BO178" s="249"/>
      <c r="BP178" s="249"/>
      <c r="BQ178" s="249"/>
      <c r="BR178" s="249"/>
      <c r="BS178" s="246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</row>
    <row r="179" outlineLevel="1">
      <c r="A179" s="15"/>
      <c r="B179" s="237" t="s">
        <v>386</v>
      </c>
      <c r="C179" s="172">
        <v>136969.0</v>
      </c>
      <c r="D179" s="172">
        <v>60824.0</v>
      </c>
      <c r="E179" s="172">
        <v>112887.0</v>
      </c>
      <c r="F179" s="172">
        <v>136197.0</v>
      </c>
      <c r="G179" s="172">
        <v>90331.0</v>
      </c>
      <c r="H179" s="172">
        <v>67256.0</v>
      </c>
      <c r="I179" s="172">
        <v>126665.0</v>
      </c>
      <c r="J179" s="172">
        <v>150388.0</v>
      </c>
      <c r="K179" s="172">
        <v>138298.0</v>
      </c>
      <c r="L179" s="172">
        <v>180577.0</v>
      </c>
      <c r="M179" s="172">
        <v>94917.0</v>
      </c>
      <c r="N179" s="172">
        <v>157124.0</v>
      </c>
      <c r="O179" s="172">
        <v>144327.0</v>
      </c>
      <c r="P179" s="172">
        <v>207017.0</v>
      </c>
      <c r="Q179" s="232"/>
      <c r="R179" s="233" t="s">
        <v>380</v>
      </c>
      <c r="S179" s="172">
        <v>-132.53</v>
      </c>
      <c r="T179" s="172">
        <v>-82.05</v>
      </c>
      <c r="U179" s="172">
        <v>-65.25</v>
      </c>
      <c r="V179" s="172">
        <v>-69.32</v>
      </c>
      <c r="W179" s="188">
        <v>-96.97</v>
      </c>
      <c r="X179" s="188">
        <v>-72.05</v>
      </c>
      <c r="Y179" s="188">
        <v>-69.24</v>
      </c>
      <c r="Z179" s="188">
        <v>-99.93</v>
      </c>
      <c r="AA179" s="188">
        <v>-116.84</v>
      </c>
      <c r="AB179" s="188">
        <v>-78.3</v>
      </c>
      <c r="AC179" s="188">
        <v>-60.53</v>
      </c>
      <c r="AD179" s="188">
        <v>-77.72</v>
      </c>
      <c r="AE179" s="188">
        <v>-72.74</v>
      </c>
      <c r="AF179" s="188">
        <v>-94.66</v>
      </c>
      <c r="AG179" s="241"/>
      <c r="AH179" s="241"/>
      <c r="AI179" s="241"/>
      <c r="AJ179" s="241"/>
      <c r="AK179" s="241"/>
      <c r="AL179" s="242"/>
      <c r="AM179" s="249"/>
      <c r="AN179" s="249"/>
      <c r="AO179" s="249"/>
      <c r="AP179" s="249"/>
      <c r="AQ179" s="249"/>
      <c r="AR179" s="249"/>
      <c r="AS179" s="249"/>
      <c r="AT179" s="249"/>
      <c r="AU179" s="249"/>
      <c r="AV179" s="249"/>
      <c r="AW179" s="249"/>
      <c r="AX179" s="15"/>
      <c r="AY179" s="249"/>
      <c r="AZ179" s="249"/>
      <c r="BA179" s="249"/>
      <c r="BB179" s="249"/>
      <c r="BC179" s="249"/>
      <c r="BD179" s="249"/>
      <c r="BE179" s="249"/>
      <c r="BF179" s="249"/>
      <c r="BG179" s="249"/>
      <c r="BH179" s="249"/>
      <c r="BI179" s="249"/>
      <c r="BJ179" s="249"/>
      <c r="BK179" s="249"/>
      <c r="BL179" s="249"/>
      <c r="BM179" s="249"/>
      <c r="BN179" s="249"/>
      <c r="BO179" s="249"/>
      <c r="BP179" s="249"/>
      <c r="BQ179" s="249"/>
      <c r="BR179" s="249"/>
      <c r="BS179" s="246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</row>
    <row r="180" outlineLevel="1">
      <c r="A180" s="15"/>
      <c r="B180" s="157" t="s">
        <v>390</v>
      </c>
      <c r="C180" s="213">
        <v>0.0966</v>
      </c>
      <c r="D180" s="213">
        <v>0.1011</v>
      </c>
      <c r="E180" s="213">
        <v>0.0981</v>
      </c>
      <c r="F180" s="213">
        <v>0.1117</v>
      </c>
      <c r="G180" s="213">
        <v>0.094</v>
      </c>
      <c r="H180" s="213">
        <v>0.0905</v>
      </c>
      <c r="I180" s="213">
        <v>0.1116</v>
      </c>
      <c r="J180" s="213">
        <v>0.1209</v>
      </c>
      <c r="K180" s="213">
        <v>0.1272</v>
      </c>
      <c r="L180" s="213">
        <v>0.1356</v>
      </c>
      <c r="M180" s="213">
        <v>0.1484</v>
      </c>
      <c r="N180" s="213">
        <v>0.1491</v>
      </c>
      <c r="O180" s="213">
        <v>0.116</v>
      </c>
      <c r="P180" s="213">
        <v>0.1356</v>
      </c>
      <c r="Q180" s="236"/>
      <c r="R180" s="237" t="s">
        <v>384</v>
      </c>
      <c r="S180" s="172">
        <v>10250.0</v>
      </c>
      <c r="T180" s="172">
        <v>10250.0</v>
      </c>
      <c r="U180" s="172">
        <v>10250.0</v>
      </c>
      <c r="V180" s="172">
        <v>10250.0</v>
      </c>
      <c r="W180" s="172">
        <v>10250.0</v>
      </c>
      <c r="X180" s="172">
        <v>10250.0</v>
      </c>
      <c r="Y180" s="172">
        <v>10250.0</v>
      </c>
      <c r="Z180" s="172">
        <v>10250.0</v>
      </c>
      <c r="AA180" s="172">
        <v>10250.0</v>
      </c>
      <c r="AB180" s="172">
        <v>10250.0</v>
      </c>
      <c r="AC180" s="172">
        <v>10250.0</v>
      </c>
      <c r="AD180" s="172">
        <v>10250.0</v>
      </c>
      <c r="AE180" s="172">
        <v>10250.0</v>
      </c>
      <c r="AF180" s="172">
        <v>10250.0</v>
      </c>
      <c r="AG180" s="232"/>
      <c r="AH180" s="232"/>
      <c r="AI180" s="232"/>
      <c r="AJ180" s="232"/>
      <c r="AK180" s="232"/>
      <c r="AL180" s="235"/>
      <c r="AM180" s="248"/>
      <c r="AN180" s="248"/>
      <c r="AO180" s="248"/>
      <c r="AP180" s="248"/>
      <c r="AQ180" s="248"/>
      <c r="AR180" s="248"/>
      <c r="AS180" s="248"/>
      <c r="AT180" s="248"/>
      <c r="AU180" s="248"/>
      <c r="AV180" s="248"/>
      <c r="AW180" s="248"/>
      <c r="AX180" s="164"/>
      <c r="AY180" s="248"/>
      <c r="AZ180" s="248"/>
      <c r="BA180" s="248"/>
      <c r="BB180" s="248"/>
      <c r="BC180" s="249"/>
      <c r="BD180" s="249"/>
      <c r="BE180" s="249"/>
      <c r="BF180" s="249"/>
      <c r="BG180" s="249"/>
      <c r="BH180" s="249"/>
      <c r="BI180" s="249"/>
      <c r="BJ180" s="249"/>
      <c r="BK180" s="249"/>
      <c r="BL180" s="249"/>
      <c r="BM180" s="249"/>
      <c r="BN180" s="249"/>
      <c r="BO180" s="249"/>
      <c r="BP180" s="249"/>
      <c r="BQ180" s="249"/>
      <c r="BR180" s="249"/>
      <c r="BS180" s="246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</row>
    <row r="181" outlineLevel="1">
      <c r="A181" s="15"/>
      <c r="B181" s="174" t="s">
        <v>394</v>
      </c>
      <c r="C181" s="199">
        <v>0.2158</v>
      </c>
      <c r="D181" s="199">
        <v>0.2215</v>
      </c>
      <c r="E181" s="199">
        <v>0.2219</v>
      </c>
      <c r="F181" s="199">
        <v>0.2181</v>
      </c>
      <c r="G181" s="199">
        <v>0.2142</v>
      </c>
      <c r="H181" s="199">
        <v>0.22</v>
      </c>
      <c r="I181" s="199">
        <v>0.2257</v>
      </c>
      <c r="J181" s="199">
        <v>0.2179</v>
      </c>
      <c r="K181" s="199">
        <v>0.2176</v>
      </c>
      <c r="L181" s="199">
        <v>0.2184</v>
      </c>
      <c r="M181" s="199">
        <v>0.2187</v>
      </c>
      <c r="N181" s="199">
        <v>0.2175</v>
      </c>
      <c r="O181" s="199">
        <v>0.2167</v>
      </c>
      <c r="P181" s="199">
        <v>0.218</v>
      </c>
      <c r="Q181" s="236"/>
      <c r="R181" s="237" t="s">
        <v>387</v>
      </c>
      <c r="S181" s="172">
        <v>10250.0</v>
      </c>
      <c r="T181" s="172">
        <v>10250.0</v>
      </c>
      <c r="U181" s="172">
        <v>10250.0</v>
      </c>
      <c r="V181" s="172">
        <v>10250.0</v>
      </c>
      <c r="W181" s="172">
        <v>10250.0</v>
      </c>
      <c r="X181" s="172">
        <v>10250.0</v>
      </c>
      <c r="Y181" s="172">
        <v>10250.0</v>
      </c>
      <c r="Z181" s="172">
        <v>10250.0</v>
      </c>
      <c r="AA181" s="172">
        <v>10250.0</v>
      </c>
      <c r="AB181" s="172">
        <v>10250.0</v>
      </c>
      <c r="AC181" s="172">
        <v>10250.0</v>
      </c>
      <c r="AD181" s="172">
        <v>10250.0</v>
      </c>
      <c r="AE181" s="172">
        <v>10250.0</v>
      </c>
      <c r="AF181" s="172">
        <v>10250.0</v>
      </c>
      <c r="AG181" s="232"/>
      <c r="AH181" s="232"/>
      <c r="AI181" s="232"/>
      <c r="AJ181" s="232"/>
      <c r="AK181" s="232"/>
      <c r="AL181" s="235"/>
      <c r="AM181" s="15"/>
      <c r="AN181" s="15"/>
      <c r="AO181" s="15"/>
      <c r="AP181" s="15"/>
      <c r="AQ181" s="170"/>
      <c r="AR181" s="170"/>
      <c r="AS181" s="170"/>
      <c r="AT181" s="170"/>
      <c r="AU181" s="170"/>
      <c r="AV181" s="170"/>
      <c r="AW181" s="170"/>
      <c r="AX181" s="15"/>
      <c r="AY181" s="249"/>
      <c r="AZ181" s="249"/>
      <c r="BA181" s="249"/>
      <c r="BB181" s="249"/>
      <c r="BC181" s="249"/>
      <c r="BD181" s="249"/>
      <c r="BE181" s="249"/>
      <c r="BF181" s="249"/>
      <c r="BG181" s="249"/>
      <c r="BH181" s="249"/>
      <c r="BI181" s="249"/>
      <c r="BJ181" s="249"/>
      <c r="BK181" s="249"/>
      <c r="BL181" s="249"/>
      <c r="BM181" s="249"/>
      <c r="BN181" s="249"/>
      <c r="BO181" s="249"/>
      <c r="BP181" s="249"/>
      <c r="BQ181" s="249"/>
      <c r="BR181" s="249"/>
      <c r="BS181" s="246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</row>
    <row r="182" outlineLevel="1">
      <c r="A182" s="15"/>
      <c r="B182" s="249"/>
      <c r="C182" s="248"/>
      <c r="D182" s="248"/>
      <c r="E182" s="248"/>
      <c r="F182" s="248"/>
      <c r="G182" s="248"/>
      <c r="H182" s="248"/>
      <c r="I182" s="248"/>
      <c r="J182" s="248"/>
      <c r="K182" s="248"/>
      <c r="L182" s="248"/>
      <c r="M182" s="248"/>
      <c r="N182" s="248"/>
      <c r="O182" s="248"/>
      <c r="P182" s="248"/>
      <c r="Q182" s="248"/>
      <c r="R182" s="237" t="s">
        <v>391</v>
      </c>
      <c r="S182" s="172">
        <v>1144028.0</v>
      </c>
      <c r="T182" s="172">
        <v>1176078.0</v>
      </c>
      <c r="U182" s="172">
        <v>1143451.0</v>
      </c>
      <c r="V182" s="172">
        <v>1079988.0</v>
      </c>
      <c r="W182" s="172">
        <v>996689.0</v>
      </c>
      <c r="X182" s="172">
        <v>1156818.0</v>
      </c>
      <c r="Y182" s="172">
        <v>1134716.0</v>
      </c>
      <c r="Z182" s="172">
        <v>1067281.0</v>
      </c>
      <c r="AA182" s="172">
        <v>1004572.0</v>
      </c>
      <c r="AB182" s="172">
        <v>1119119.0</v>
      </c>
      <c r="AC182" s="172">
        <v>1025324.0</v>
      </c>
      <c r="AD182" s="172">
        <v>960803.0</v>
      </c>
      <c r="AE182" s="172">
        <v>835442.0</v>
      </c>
      <c r="AF182" s="172">
        <v>898079.0</v>
      </c>
      <c r="AG182" s="232"/>
      <c r="AH182" s="232"/>
      <c r="AI182" s="232"/>
      <c r="AJ182" s="232"/>
      <c r="AK182" s="232"/>
      <c r="AL182" s="235"/>
      <c r="AM182" s="15"/>
      <c r="AN182" s="15"/>
      <c r="AO182" s="15"/>
      <c r="AP182" s="15"/>
      <c r="AQ182" s="170"/>
      <c r="AR182" s="170"/>
      <c r="AS182" s="170"/>
      <c r="AT182" s="170"/>
      <c r="AU182" s="170"/>
      <c r="AV182" s="170"/>
      <c r="AW182" s="170"/>
      <c r="AX182" s="15"/>
      <c r="AY182" s="249"/>
      <c r="AZ182" s="249"/>
      <c r="BA182" s="249"/>
      <c r="BB182" s="249"/>
      <c r="BC182" s="249"/>
      <c r="BD182" s="249"/>
      <c r="BE182" s="249"/>
      <c r="BF182" s="249"/>
      <c r="BG182" s="249"/>
      <c r="BH182" s="249"/>
      <c r="BI182" s="249"/>
      <c r="BJ182" s="249"/>
      <c r="BK182" s="249"/>
      <c r="BL182" s="249"/>
      <c r="BM182" s="249"/>
      <c r="BN182" s="249"/>
      <c r="BO182" s="249"/>
      <c r="BP182" s="249"/>
      <c r="BQ182" s="249"/>
      <c r="BR182" s="249"/>
      <c r="BS182" s="246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</row>
    <row r="183" outlineLevel="1">
      <c r="A183" s="15"/>
      <c r="B183" s="15"/>
      <c r="C183" s="252"/>
      <c r="D183" s="252"/>
      <c r="E183" s="252"/>
      <c r="F183" s="252"/>
      <c r="G183" s="252"/>
      <c r="H183" s="252"/>
      <c r="I183" s="252"/>
      <c r="J183" s="252"/>
      <c r="K183" s="252"/>
      <c r="L183" s="252"/>
      <c r="M183" s="252"/>
      <c r="N183" s="252"/>
      <c r="O183" s="252"/>
      <c r="P183" s="252"/>
      <c r="Q183" s="252"/>
      <c r="R183" s="237" t="s">
        <v>395</v>
      </c>
      <c r="S183" s="172">
        <v>180.04</v>
      </c>
      <c r="T183" s="172">
        <v>182.34</v>
      </c>
      <c r="U183" s="172">
        <v>178.67</v>
      </c>
      <c r="V183" s="172">
        <v>146.33</v>
      </c>
      <c r="W183" s="172">
        <v>138.05</v>
      </c>
      <c r="X183" s="172">
        <v>151.32</v>
      </c>
      <c r="Y183" s="172">
        <v>147.01</v>
      </c>
      <c r="Z183" s="172">
        <v>139.22</v>
      </c>
      <c r="AA183" s="172">
        <v>130.14</v>
      </c>
      <c r="AB183" s="172">
        <v>142.35</v>
      </c>
      <c r="AC183" s="172">
        <v>130.38</v>
      </c>
      <c r="AD183" s="172">
        <v>124.4</v>
      </c>
      <c r="AE183" s="172">
        <v>113.82</v>
      </c>
      <c r="AF183" s="172">
        <v>119.47</v>
      </c>
      <c r="AG183" s="232"/>
      <c r="AH183" s="232"/>
      <c r="AI183" s="232"/>
      <c r="AJ183" s="232"/>
      <c r="AK183" s="232"/>
      <c r="AL183" s="235"/>
      <c r="AM183" s="15"/>
      <c r="AN183" s="15"/>
      <c r="AO183" s="15"/>
      <c r="AP183" s="15"/>
      <c r="AQ183" s="170"/>
      <c r="AR183" s="170"/>
      <c r="AS183" s="170"/>
      <c r="AT183" s="170"/>
      <c r="AU183" s="170"/>
      <c r="AV183" s="170"/>
      <c r="AW183" s="170"/>
      <c r="AX183" s="15"/>
      <c r="AY183" s="249"/>
      <c r="AZ183" s="249"/>
      <c r="BA183" s="249"/>
      <c r="BB183" s="249"/>
      <c r="BC183" s="249"/>
      <c r="BD183" s="249"/>
      <c r="BE183" s="249"/>
      <c r="BF183" s="249"/>
      <c r="BG183" s="249"/>
      <c r="BH183" s="249"/>
      <c r="BI183" s="249"/>
      <c r="BJ183" s="249"/>
      <c r="BK183" s="249"/>
      <c r="BL183" s="249"/>
      <c r="BM183" s="249"/>
      <c r="BN183" s="249"/>
      <c r="BO183" s="249"/>
      <c r="BP183" s="249"/>
      <c r="BQ183" s="249"/>
      <c r="BR183" s="246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</row>
    <row r="184" outlineLevel="1">
      <c r="A184" s="15"/>
      <c r="B184" s="249"/>
      <c r="C184" s="248"/>
      <c r="D184" s="248"/>
      <c r="E184" s="248"/>
      <c r="F184" s="248"/>
      <c r="G184" s="248"/>
      <c r="H184" s="248"/>
      <c r="I184" s="248"/>
      <c r="J184" s="248"/>
      <c r="K184" s="248"/>
      <c r="L184" s="248"/>
      <c r="M184" s="248"/>
      <c r="N184" s="248"/>
      <c r="O184" s="248"/>
      <c r="P184" s="248"/>
      <c r="Q184" s="248"/>
      <c r="R184" s="237" t="s">
        <v>398</v>
      </c>
      <c r="S184" s="172">
        <v>1845365.0</v>
      </c>
      <c r="T184" s="172">
        <v>1868961.0</v>
      </c>
      <c r="U184" s="172">
        <v>1831339.0</v>
      </c>
      <c r="V184" s="172">
        <v>1499912.0</v>
      </c>
      <c r="W184" s="172">
        <v>1414963.0</v>
      </c>
      <c r="X184" s="172">
        <v>1551002.0</v>
      </c>
      <c r="Y184" s="172">
        <v>1506838.0</v>
      </c>
      <c r="Z184" s="172">
        <v>1426996.0</v>
      </c>
      <c r="AA184" s="172">
        <v>1333904.0</v>
      </c>
      <c r="AB184" s="172">
        <v>1459082.0</v>
      </c>
      <c r="AC184" s="172">
        <v>1336423.0</v>
      </c>
      <c r="AD184" s="172">
        <v>1275052.0</v>
      </c>
      <c r="AE184" s="172">
        <v>1166706.0</v>
      </c>
      <c r="AF184" s="172">
        <v>1224586.0</v>
      </c>
      <c r="AG184" s="232"/>
      <c r="AH184" s="232"/>
      <c r="AI184" s="232"/>
      <c r="AJ184" s="232"/>
      <c r="AK184" s="232"/>
      <c r="AL184" s="235"/>
      <c r="AM184" s="15"/>
      <c r="AN184" s="15"/>
      <c r="AO184" s="15"/>
      <c r="AP184" s="15"/>
      <c r="AQ184" s="170"/>
      <c r="AR184" s="170"/>
      <c r="AS184" s="170"/>
      <c r="AT184" s="170"/>
      <c r="AU184" s="170"/>
      <c r="AV184" s="170"/>
      <c r="AW184" s="170"/>
      <c r="AX184" s="15"/>
      <c r="AY184" s="249"/>
      <c r="AZ184" s="249"/>
      <c r="BA184" s="249"/>
      <c r="BB184" s="249"/>
      <c r="BC184" s="249"/>
      <c r="BD184" s="249"/>
      <c r="BE184" s="249"/>
      <c r="BF184" s="249"/>
      <c r="BG184" s="249"/>
      <c r="BH184" s="249"/>
      <c r="BI184" s="249"/>
      <c r="BJ184" s="249"/>
      <c r="BK184" s="249"/>
      <c r="BL184" s="249"/>
      <c r="BM184" s="249"/>
      <c r="BN184" s="249"/>
      <c r="BO184" s="249"/>
      <c r="BP184" s="249"/>
      <c r="BQ184" s="249"/>
      <c r="BR184" s="249"/>
      <c r="BS184" s="246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</row>
    <row r="185" outlineLevel="1">
      <c r="A185" s="15"/>
      <c r="B185" s="249"/>
      <c r="C185" s="248"/>
      <c r="D185" s="248"/>
      <c r="E185" s="248"/>
      <c r="F185" s="248"/>
      <c r="G185" s="248"/>
      <c r="H185" s="248"/>
      <c r="I185" s="248"/>
      <c r="J185" s="248"/>
      <c r="K185" s="248"/>
      <c r="L185" s="248"/>
      <c r="M185" s="248"/>
      <c r="N185" s="248"/>
      <c r="O185" s="248"/>
      <c r="P185" s="248"/>
      <c r="Q185" s="248"/>
      <c r="R185" s="237" t="s">
        <v>400</v>
      </c>
      <c r="S185" s="172">
        <v>180.04</v>
      </c>
      <c r="T185" s="172">
        <v>182.34</v>
      </c>
      <c r="U185" s="172">
        <v>178.67</v>
      </c>
      <c r="V185" s="172">
        <v>146.33</v>
      </c>
      <c r="W185" s="172">
        <v>138.05</v>
      </c>
      <c r="X185" s="172">
        <v>151.32</v>
      </c>
      <c r="Y185" s="172">
        <v>147.01</v>
      </c>
      <c r="Z185" s="172">
        <v>139.22</v>
      </c>
      <c r="AA185" s="172">
        <v>130.14</v>
      </c>
      <c r="AB185" s="172">
        <v>142.35</v>
      </c>
      <c r="AC185" s="172">
        <v>130.38</v>
      </c>
      <c r="AD185" s="172">
        <v>124.4</v>
      </c>
      <c r="AE185" s="172">
        <v>113.82</v>
      </c>
      <c r="AF185" s="172">
        <v>119.47</v>
      </c>
      <c r="AG185" s="232"/>
      <c r="AH185" s="232"/>
      <c r="AI185" s="232"/>
      <c r="AJ185" s="232"/>
      <c r="AK185" s="232"/>
      <c r="AL185" s="235"/>
      <c r="AM185" s="15"/>
      <c r="AN185" s="15"/>
      <c r="AO185" s="15"/>
      <c r="AP185" s="15"/>
      <c r="AQ185" s="170"/>
      <c r="AR185" s="170"/>
      <c r="AS185" s="170"/>
      <c r="AT185" s="170"/>
      <c r="AU185" s="170"/>
      <c r="AV185" s="170"/>
      <c r="AW185" s="170"/>
      <c r="AX185" s="15"/>
      <c r="AY185" s="249"/>
      <c r="AZ185" s="249"/>
      <c r="BA185" s="249"/>
      <c r="BB185" s="249"/>
      <c r="BC185" s="249"/>
      <c r="BD185" s="249"/>
      <c r="BE185" s="249"/>
      <c r="BF185" s="249"/>
      <c r="BG185" s="249"/>
      <c r="BH185" s="249"/>
      <c r="BI185" s="249"/>
      <c r="BJ185" s="249"/>
      <c r="BK185" s="249"/>
      <c r="BL185" s="249"/>
      <c r="BM185" s="249"/>
      <c r="BN185" s="249"/>
      <c r="BO185" s="249"/>
      <c r="BP185" s="249"/>
      <c r="BQ185" s="249"/>
      <c r="BR185" s="249"/>
      <c r="BS185" s="246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</row>
    <row r="186" outlineLevel="1">
      <c r="A186" s="15"/>
      <c r="B186" s="15"/>
      <c r="C186" s="252"/>
      <c r="D186" s="252"/>
      <c r="E186" s="252"/>
      <c r="F186" s="252"/>
      <c r="G186" s="252"/>
      <c r="H186" s="252"/>
      <c r="I186" s="252"/>
      <c r="J186" s="252"/>
      <c r="K186" s="252"/>
      <c r="L186" s="252"/>
      <c r="M186" s="252"/>
      <c r="N186" s="252"/>
      <c r="O186" s="252"/>
      <c r="P186" s="252"/>
      <c r="Q186" s="252"/>
      <c r="R186" s="233" t="s">
        <v>403</v>
      </c>
      <c r="S186" s="172">
        <v>293309.0</v>
      </c>
      <c r="T186" s="172">
        <v>293309.0</v>
      </c>
      <c r="U186" s="172">
        <v>293309.0</v>
      </c>
      <c r="V186" s="172">
        <v>27147.0</v>
      </c>
      <c r="W186" s="172">
        <v>27190.0</v>
      </c>
      <c r="X186" s="172">
        <v>27190.0</v>
      </c>
      <c r="Y186" s="172">
        <v>14540.0</v>
      </c>
      <c r="Z186" s="172">
        <v>10908.0</v>
      </c>
      <c r="AA186" s="172">
        <v>10908.0</v>
      </c>
      <c r="AB186" s="172">
        <v>10908.0</v>
      </c>
      <c r="AC186" s="172">
        <v>10908.0</v>
      </c>
      <c r="AD186" s="172">
        <v>10908.0</v>
      </c>
      <c r="AE186" s="172">
        <v>10908.0</v>
      </c>
      <c r="AF186" s="172">
        <v>10908.0</v>
      </c>
      <c r="AG186" s="232"/>
      <c r="AH186" s="232"/>
      <c r="AI186" s="232"/>
      <c r="AJ186" s="232"/>
      <c r="AK186" s="232"/>
      <c r="AL186" s="235"/>
      <c r="AM186" s="250"/>
      <c r="AN186" s="250"/>
      <c r="AO186" s="250"/>
      <c r="AP186" s="250"/>
      <c r="AQ186" s="250"/>
      <c r="AR186" s="250"/>
      <c r="AS186" s="250"/>
      <c r="AT186" s="250"/>
      <c r="AU186" s="250"/>
      <c r="AV186" s="250"/>
      <c r="AW186" s="250"/>
      <c r="AX186" s="15"/>
      <c r="AY186" s="249"/>
      <c r="AZ186" s="249"/>
      <c r="BA186" s="249"/>
      <c r="BB186" s="249"/>
      <c r="BC186" s="249"/>
      <c r="BD186" s="249"/>
      <c r="BE186" s="249"/>
      <c r="BF186" s="249"/>
      <c r="BG186" s="249"/>
      <c r="BH186" s="249"/>
      <c r="BI186" s="249"/>
      <c r="BJ186" s="249"/>
      <c r="BK186" s="249"/>
      <c r="BL186" s="249"/>
      <c r="BM186" s="249"/>
      <c r="BN186" s="249"/>
      <c r="BO186" s="249"/>
      <c r="BP186" s="249"/>
      <c r="BQ186" s="249"/>
      <c r="BR186" s="249"/>
      <c r="BS186" s="246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</row>
    <row r="187" outlineLevel="1">
      <c r="A187" s="15"/>
      <c r="B187" s="15"/>
      <c r="C187" s="252"/>
      <c r="D187" s="252"/>
      <c r="E187" s="252"/>
      <c r="F187" s="252"/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37" t="s">
        <v>406</v>
      </c>
      <c r="S187" s="172">
        <v>301510.0</v>
      </c>
      <c r="T187" s="172">
        <v>300247.0</v>
      </c>
      <c r="U187" s="172">
        <v>299732.0</v>
      </c>
      <c r="V187" s="172">
        <v>290687.0</v>
      </c>
      <c r="W187" s="172">
        <v>289931.0</v>
      </c>
      <c r="X187" s="172">
        <v>242196.0</v>
      </c>
      <c r="Y187" s="172">
        <v>240587.0</v>
      </c>
      <c r="Z187" s="172">
        <v>236652.0</v>
      </c>
      <c r="AA187" s="172">
        <v>210940.0</v>
      </c>
      <c r="AB187" s="172">
        <v>203661.0</v>
      </c>
      <c r="AC187" s="172">
        <v>200361.0</v>
      </c>
      <c r="AD187" s="172">
        <v>196976.0</v>
      </c>
      <c r="AE187" s="172">
        <v>173246.0</v>
      </c>
      <c r="AF187" s="172">
        <v>174186.0</v>
      </c>
      <c r="AG187" s="232"/>
      <c r="AH187" s="232"/>
      <c r="AI187" s="232"/>
      <c r="AJ187" s="232"/>
      <c r="AK187" s="232"/>
      <c r="AL187" s="235"/>
      <c r="AM187" s="170"/>
      <c r="AN187" s="170"/>
      <c r="AO187" s="170"/>
      <c r="AP187" s="170"/>
      <c r="AQ187" s="170"/>
      <c r="AR187" s="170"/>
      <c r="AS187" s="170"/>
      <c r="AT187" s="170"/>
      <c r="AU187" s="170"/>
      <c r="AV187" s="170"/>
      <c r="AW187" s="170"/>
      <c r="AX187" s="15"/>
      <c r="AY187" s="252"/>
      <c r="AZ187" s="252"/>
      <c r="BA187" s="252"/>
      <c r="BB187" s="252"/>
      <c r="BC187" s="252"/>
      <c r="BD187" s="252"/>
      <c r="BE187" s="252"/>
      <c r="BF187" s="252"/>
      <c r="BG187" s="252"/>
      <c r="BH187" s="252"/>
      <c r="BI187" s="252"/>
      <c r="BJ187" s="252"/>
      <c r="BK187" s="252"/>
      <c r="BL187" s="252"/>
      <c r="BM187" s="252"/>
      <c r="BN187" s="252"/>
      <c r="BO187" s="252"/>
      <c r="BP187" s="252"/>
      <c r="BQ187" s="252"/>
      <c r="BR187" s="253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</row>
    <row r="188" outlineLevel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237" t="s">
        <v>408</v>
      </c>
      <c r="S188" s="172">
        <v>491854.0</v>
      </c>
      <c r="T188" s="172">
        <v>488596.0</v>
      </c>
      <c r="U188" s="172">
        <v>477771.0</v>
      </c>
      <c r="V188" s="172">
        <v>474708.0</v>
      </c>
      <c r="W188" s="172">
        <v>472390.0</v>
      </c>
      <c r="X188" s="172">
        <v>366198.0</v>
      </c>
      <c r="Y188" s="172">
        <v>358650.0</v>
      </c>
      <c r="Z188" s="172">
        <v>354614.0</v>
      </c>
      <c r="AA188" s="172">
        <v>351280.0</v>
      </c>
      <c r="AB188" s="172">
        <v>348090.0</v>
      </c>
      <c r="AC188" s="172">
        <v>343912.0</v>
      </c>
      <c r="AD188" s="172">
        <v>336942.0</v>
      </c>
      <c r="AE188" s="172">
        <v>257823.0</v>
      </c>
      <c r="AF188" s="172">
        <v>255384.0</v>
      </c>
      <c r="AG188" s="232"/>
      <c r="AH188" s="232"/>
      <c r="AI188" s="232"/>
      <c r="AJ188" s="232"/>
      <c r="AK188" s="232"/>
      <c r="AL188" s="235"/>
      <c r="AM188" s="248"/>
      <c r="AN188" s="248"/>
      <c r="AO188" s="248"/>
      <c r="AP188" s="248"/>
      <c r="AQ188" s="248"/>
      <c r="AR188" s="248"/>
      <c r="AS188" s="248"/>
      <c r="AT188" s="249"/>
      <c r="AU188" s="248"/>
      <c r="AV188" s="248"/>
      <c r="AW188" s="248"/>
      <c r="AX188" s="164"/>
      <c r="AY188" s="252"/>
      <c r="AZ188" s="252"/>
      <c r="BA188" s="252"/>
      <c r="BB188" s="252"/>
      <c r="BC188" s="252"/>
      <c r="BD188" s="252"/>
      <c r="BE188" s="252"/>
      <c r="BF188" s="252"/>
      <c r="BG188" s="252"/>
      <c r="BH188" s="252"/>
      <c r="BI188" s="252"/>
      <c r="BJ188" s="252"/>
      <c r="BK188" s="252"/>
      <c r="BL188" s="252"/>
      <c r="BM188" s="252"/>
      <c r="BN188" s="252"/>
      <c r="BO188" s="252"/>
      <c r="BP188" s="252"/>
      <c r="BQ188" s="252"/>
      <c r="BR188" s="253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</row>
    <row r="189" outlineLevel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237" t="s">
        <v>409</v>
      </c>
      <c r="S189" s="172">
        <v>28089.0</v>
      </c>
      <c r="T189" s="172">
        <v>21770.0</v>
      </c>
      <c r="U189" s="172">
        <v>23327.0</v>
      </c>
      <c r="V189" s="172">
        <v>20767.0</v>
      </c>
      <c r="W189" s="172">
        <v>15573.0</v>
      </c>
      <c r="X189" s="172">
        <v>151500.0</v>
      </c>
      <c r="Y189" s="172">
        <v>147180.0</v>
      </c>
      <c r="Z189" s="172">
        <v>111087.0</v>
      </c>
      <c r="AA189" s="172">
        <v>65998.0</v>
      </c>
      <c r="AB189" s="172">
        <v>35008.0</v>
      </c>
      <c r="AC189" s="172">
        <v>5295.0</v>
      </c>
      <c r="AD189" s="172">
        <v>3431.0</v>
      </c>
      <c r="AE189" s="172">
        <v>95601.0</v>
      </c>
      <c r="AF189" s="172">
        <v>92561.0</v>
      </c>
      <c r="AG189" s="232"/>
      <c r="AH189" s="232"/>
      <c r="AI189" s="232"/>
      <c r="AJ189" s="232"/>
      <c r="AK189" s="232"/>
      <c r="AL189" s="235"/>
      <c r="AM189" s="249"/>
      <c r="AN189" s="249"/>
      <c r="AO189" s="252"/>
      <c r="AP189" s="249"/>
      <c r="AQ189" s="249"/>
      <c r="AR189" s="249"/>
      <c r="AS189" s="252"/>
      <c r="AT189" s="249"/>
      <c r="AU189" s="249"/>
      <c r="AV189" s="249"/>
      <c r="AW189" s="252"/>
      <c r="AX189" s="15"/>
      <c r="AY189" s="252"/>
      <c r="AZ189" s="252"/>
      <c r="BA189" s="252"/>
      <c r="BB189" s="252"/>
      <c r="BC189" s="252"/>
      <c r="BD189" s="252"/>
      <c r="BE189" s="252"/>
      <c r="BF189" s="252"/>
      <c r="BG189" s="252"/>
      <c r="BH189" s="252"/>
      <c r="BI189" s="252"/>
      <c r="BJ189" s="252"/>
      <c r="BK189" s="252"/>
      <c r="BL189" s="252"/>
      <c r="BM189" s="252"/>
      <c r="BN189" s="252"/>
      <c r="BO189" s="252"/>
      <c r="BP189" s="252"/>
      <c r="BQ189" s="252"/>
      <c r="BR189" s="253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</row>
    <row r="190" outlineLevel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252"/>
      <c r="T190" s="252"/>
      <c r="U190" s="252"/>
      <c r="V190" s="253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252"/>
      <c r="AJ190" s="252"/>
      <c r="AK190" s="252"/>
      <c r="AL190" s="252"/>
      <c r="AM190" s="252"/>
      <c r="AN190" s="252"/>
      <c r="AO190" s="252"/>
      <c r="AP190" s="252"/>
      <c r="AQ190" s="252"/>
      <c r="AR190" s="252"/>
      <c r="AS190" s="252"/>
      <c r="AT190" s="252"/>
      <c r="AU190" s="252"/>
      <c r="AV190" s="252"/>
      <c r="AW190" s="252"/>
      <c r="AX190" s="15"/>
      <c r="AY190" s="252"/>
      <c r="AZ190" s="252"/>
      <c r="BA190" s="252"/>
      <c r="BB190" s="252"/>
      <c r="BC190" s="252"/>
      <c r="BD190" s="252"/>
      <c r="BE190" s="252"/>
      <c r="BF190" s="252"/>
      <c r="BG190" s="252"/>
      <c r="BH190" s="252"/>
      <c r="BI190" s="252"/>
      <c r="BJ190" s="252"/>
      <c r="BK190" s="252"/>
      <c r="BL190" s="252"/>
      <c r="BM190" s="252"/>
      <c r="BN190" s="252"/>
      <c r="BO190" s="252"/>
      <c r="BP190" s="252"/>
      <c r="BQ190" s="252"/>
      <c r="BR190" s="252"/>
      <c r="BS190" s="253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</row>
    <row r="191" outlineLevel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252"/>
      <c r="T191" s="252"/>
      <c r="U191" s="252"/>
      <c r="V191" s="253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249"/>
      <c r="AI191" s="249"/>
      <c r="AJ191" s="249"/>
      <c r="AK191" s="249"/>
      <c r="AL191" s="249"/>
      <c r="AM191" s="249"/>
      <c r="AN191" s="249"/>
      <c r="AO191" s="249"/>
      <c r="AP191" s="249"/>
      <c r="AQ191" s="249"/>
      <c r="AR191" s="249"/>
      <c r="AS191" s="249"/>
      <c r="AT191" s="249"/>
      <c r="AU191" s="249"/>
      <c r="AV191" s="249"/>
      <c r="AW191" s="249"/>
      <c r="AX191" s="15"/>
      <c r="AY191" s="249"/>
      <c r="AZ191" s="249"/>
      <c r="BA191" s="249"/>
      <c r="BB191" s="246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</row>
    <row r="192" outlineLevel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252"/>
      <c r="T192" s="252"/>
      <c r="U192" s="252"/>
      <c r="V192" s="253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249"/>
      <c r="AI192" s="248"/>
      <c r="AJ192" s="248"/>
      <c r="AK192" s="248"/>
      <c r="AL192" s="248"/>
      <c r="AM192" s="248"/>
      <c r="AN192" s="248"/>
      <c r="AO192" s="248"/>
      <c r="AP192" s="248"/>
      <c r="AQ192" s="248"/>
      <c r="AR192" s="248"/>
      <c r="AS192" s="248"/>
      <c r="AT192" s="248"/>
      <c r="AU192" s="248"/>
      <c r="AV192" s="248"/>
      <c r="AW192" s="248"/>
      <c r="AX192" s="164"/>
      <c r="AY192" s="248"/>
      <c r="AZ192" s="248"/>
      <c r="BA192" s="248"/>
      <c r="BB192" s="254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</row>
    <row r="193" outlineLevel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252"/>
      <c r="T193" s="252"/>
      <c r="U193" s="252"/>
      <c r="V193" s="253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249"/>
      <c r="AI193" s="248"/>
      <c r="AJ193" s="248"/>
      <c r="AK193" s="248"/>
      <c r="AL193" s="248"/>
      <c r="AM193" s="248"/>
      <c r="AN193" s="248"/>
      <c r="AO193" s="248"/>
      <c r="AP193" s="248"/>
      <c r="AQ193" s="248"/>
      <c r="AR193" s="248"/>
      <c r="AS193" s="248"/>
      <c r="AT193" s="248"/>
      <c r="AU193" s="248"/>
      <c r="AV193" s="248"/>
      <c r="AW193" s="248"/>
      <c r="AX193" s="164"/>
      <c r="AY193" s="248"/>
      <c r="AZ193" s="248"/>
      <c r="BA193" s="248"/>
      <c r="BB193" s="254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</row>
    <row r="194" outlineLevel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64"/>
      <c r="S194" s="255"/>
      <c r="T194" s="255"/>
      <c r="U194" s="255"/>
      <c r="V194" s="255"/>
      <c r="W194" s="250"/>
      <c r="X194" s="250"/>
      <c r="Y194" s="250"/>
      <c r="Z194" s="250"/>
      <c r="AA194" s="250"/>
      <c r="AB194" s="250"/>
      <c r="AC194" s="250"/>
      <c r="AD194" s="250"/>
      <c r="AE194" s="250"/>
      <c r="AF194" s="250"/>
      <c r="AG194" s="250"/>
      <c r="AH194" s="15"/>
      <c r="AI194" s="250"/>
      <c r="AJ194" s="250"/>
      <c r="AK194" s="250"/>
      <c r="AL194" s="251"/>
      <c r="AM194" s="15"/>
      <c r="AN194" s="15"/>
      <c r="AO194" s="15"/>
      <c r="AP194" s="15"/>
      <c r="AQ194" s="170"/>
      <c r="AR194" s="170"/>
      <c r="AS194" s="170"/>
      <c r="AT194" s="170"/>
      <c r="AU194" s="170"/>
      <c r="AV194" s="170"/>
      <c r="AW194" s="170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</row>
    <row r="195" outlineLevel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70"/>
      <c r="T195" s="170"/>
      <c r="U195" s="170"/>
      <c r="V195" s="170"/>
      <c r="W195" s="170"/>
      <c r="X195" s="170"/>
      <c r="Y195" s="170"/>
      <c r="Z195" s="170"/>
      <c r="AA195" s="170"/>
      <c r="AB195" s="170"/>
      <c r="AC195" s="170"/>
      <c r="AD195" s="170"/>
      <c r="AE195" s="170"/>
      <c r="AF195" s="170"/>
      <c r="AG195" s="170"/>
      <c r="AH195" s="15"/>
      <c r="AI195" s="170"/>
      <c r="AJ195" s="170"/>
      <c r="AK195" s="170"/>
      <c r="AL195" s="170"/>
      <c r="AM195" s="15"/>
      <c r="AN195" s="15"/>
      <c r="AO195" s="15"/>
      <c r="AP195" s="15"/>
      <c r="AQ195" s="170"/>
      <c r="AR195" s="170"/>
      <c r="AS195" s="170"/>
      <c r="AT195" s="170"/>
      <c r="AU195" s="170"/>
      <c r="AV195" s="170"/>
      <c r="AW195" s="170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</row>
    <row r="196" outlineLevel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248"/>
      <c r="S196" s="248"/>
      <c r="T196" s="248"/>
      <c r="U196" s="248"/>
      <c r="V196" s="248"/>
      <c r="W196" s="248"/>
      <c r="X196" s="248"/>
      <c r="Y196" s="248"/>
      <c r="Z196" s="248"/>
      <c r="AA196" s="248"/>
      <c r="AB196" s="248"/>
      <c r="AC196" s="248"/>
      <c r="AD196" s="248"/>
      <c r="AE196" s="248"/>
      <c r="AF196" s="248"/>
      <c r="AG196" s="248"/>
      <c r="AH196" s="164"/>
      <c r="AI196" s="248"/>
      <c r="AJ196" s="248"/>
      <c r="AK196" s="248"/>
      <c r="AL196" s="254"/>
      <c r="AM196" s="15"/>
      <c r="AN196" s="15"/>
      <c r="AO196" s="15"/>
      <c r="AP196" s="15"/>
      <c r="AQ196" s="170"/>
      <c r="AR196" s="170"/>
      <c r="AS196" s="170"/>
      <c r="AT196" s="170"/>
      <c r="AU196" s="170"/>
      <c r="AV196" s="170"/>
      <c r="AW196" s="170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</row>
    <row r="197" outlineLevel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248"/>
      <c r="S197" s="248"/>
      <c r="T197" s="248"/>
      <c r="U197" s="248"/>
      <c r="V197" s="248"/>
      <c r="W197" s="248"/>
      <c r="X197" s="248"/>
      <c r="Y197" s="248"/>
      <c r="Z197" s="248"/>
      <c r="AA197" s="248"/>
      <c r="AB197" s="248"/>
      <c r="AC197" s="248"/>
      <c r="AD197" s="248"/>
      <c r="AE197" s="248"/>
      <c r="AF197" s="248"/>
      <c r="AG197" s="248"/>
      <c r="AH197" s="164"/>
      <c r="AI197" s="248"/>
      <c r="AJ197" s="248"/>
      <c r="AK197" s="248"/>
      <c r="AL197" s="254"/>
      <c r="AM197" s="15"/>
      <c r="AN197" s="15"/>
      <c r="AO197" s="15"/>
      <c r="AP197" s="15"/>
      <c r="AQ197" s="170"/>
      <c r="AR197" s="170"/>
      <c r="AS197" s="170"/>
      <c r="AT197" s="170"/>
      <c r="AU197" s="170"/>
      <c r="AV197" s="170"/>
      <c r="AW197" s="170"/>
      <c r="AX197" s="15"/>
      <c r="AY197" s="250"/>
      <c r="AZ197" s="250"/>
      <c r="BA197" s="250"/>
      <c r="BB197" s="250"/>
      <c r="BC197" s="250"/>
      <c r="BD197" s="250"/>
      <c r="BE197" s="250"/>
      <c r="BF197" s="250"/>
      <c r="BG197" s="250"/>
      <c r="BH197" s="250"/>
      <c r="BI197" s="250"/>
      <c r="BJ197" s="250"/>
      <c r="BK197" s="250"/>
      <c r="BL197" s="250"/>
      <c r="BM197" s="250"/>
      <c r="BN197" s="250"/>
      <c r="BO197" s="250"/>
      <c r="BP197" s="250"/>
      <c r="BQ197" s="250"/>
      <c r="BR197" s="250"/>
      <c r="BS197" s="251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</row>
    <row r="198" outlineLevel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249"/>
      <c r="T198" s="249"/>
      <c r="U198" s="249"/>
      <c r="V198" s="249"/>
      <c r="W198" s="249"/>
      <c r="X198" s="249"/>
      <c r="Y198" s="249"/>
      <c r="Z198" s="249"/>
      <c r="AA198" s="249"/>
      <c r="AB198" s="249"/>
      <c r="AC198" s="249"/>
      <c r="AD198" s="249"/>
      <c r="AE198" s="249"/>
      <c r="AF198" s="249"/>
      <c r="AG198" s="249"/>
      <c r="AH198" s="15"/>
      <c r="AI198" s="249"/>
      <c r="AJ198" s="249"/>
      <c r="AK198" s="249"/>
      <c r="AL198" s="246"/>
      <c r="AM198" s="15"/>
      <c r="AN198" s="15"/>
      <c r="AO198" s="15"/>
      <c r="AP198" s="15"/>
      <c r="AQ198" s="170"/>
      <c r="AR198" s="170"/>
      <c r="AS198" s="170"/>
      <c r="AT198" s="170"/>
      <c r="AU198" s="170"/>
      <c r="AV198" s="170"/>
      <c r="AW198" s="170"/>
      <c r="AX198" s="15"/>
      <c r="AY198" s="170"/>
      <c r="AZ198" s="170"/>
      <c r="BA198" s="170"/>
      <c r="BB198" s="170"/>
      <c r="BC198" s="170"/>
      <c r="BD198" s="170"/>
      <c r="BE198" s="170"/>
      <c r="BF198" s="170"/>
      <c r="BG198" s="170"/>
      <c r="BH198" s="170"/>
      <c r="BI198" s="170"/>
      <c r="BJ198" s="170"/>
      <c r="BK198" s="170"/>
      <c r="BL198" s="170"/>
      <c r="BM198" s="170"/>
      <c r="BN198" s="170"/>
      <c r="BO198" s="170"/>
      <c r="BP198" s="170"/>
      <c r="BQ198" s="170"/>
      <c r="BR198" s="170"/>
      <c r="BS198" s="170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</row>
    <row r="199" outlineLevel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249"/>
      <c r="S199" s="249"/>
      <c r="T199" s="249"/>
      <c r="U199" s="249"/>
      <c r="V199" s="249"/>
      <c r="W199" s="249"/>
      <c r="X199" s="249"/>
      <c r="Y199" s="249"/>
      <c r="Z199" s="249"/>
      <c r="AA199" s="249"/>
      <c r="AB199" s="249"/>
      <c r="AC199" s="249"/>
      <c r="AD199" s="249"/>
      <c r="AE199" s="249"/>
      <c r="AF199" s="249"/>
      <c r="AG199" s="249"/>
      <c r="AH199" s="15"/>
      <c r="AI199" s="250"/>
      <c r="AJ199" s="250"/>
      <c r="AK199" s="250"/>
      <c r="AL199" s="250"/>
      <c r="AM199" s="250"/>
      <c r="AN199" s="250"/>
      <c r="AO199" s="250"/>
      <c r="AP199" s="250"/>
      <c r="AQ199" s="250"/>
      <c r="AR199" s="250"/>
      <c r="AS199" s="250"/>
      <c r="AT199" s="250"/>
      <c r="AU199" s="250"/>
      <c r="AV199" s="250"/>
      <c r="AW199" s="250"/>
      <c r="AX199" s="15"/>
      <c r="AY199" s="252"/>
      <c r="AZ199" s="252"/>
      <c r="BA199" s="252"/>
      <c r="BB199" s="252"/>
      <c r="BC199" s="252"/>
      <c r="BD199" s="252"/>
      <c r="BE199" s="252"/>
      <c r="BF199" s="252"/>
      <c r="BG199" s="252"/>
      <c r="BH199" s="252"/>
      <c r="BI199" s="252"/>
      <c r="BJ199" s="252"/>
      <c r="BK199" s="252"/>
      <c r="BL199" s="252"/>
      <c r="BM199" s="252"/>
      <c r="BN199" s="252"/>
      <c r="BO199" s="252"/>
      <c r="BP199" s="252"/>
      <c r="BQ199" s="252"/>
      <c r="BR199" s="252"/>
      <c r="BS199" s="253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</row>
    <row r="200" outlineLevel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249"/>
      <c r="S200" s="248"/>
      <c r="T200" s="248"/>
      <c r="U200" s="248"/>
      <c r="V200" s="248"/>
      <c r="W200" s="248"/>
      <c r="X200" s="248"/>
      <c r="Y200" s="248"/>
      <c r="Z200" s="248"/>
      <c r="AA200" s="248"/>
      <c r="AB200" s="248"/>
      <c r="AC200" s="248"/>
      <c r="AD200" s="248"/>
      <c r="AE200" s="248"/>
      <c r="AF200" s="248"/>
      <c r="AG200" s="248"/>
      <c r="AH200" s="164"/>
      <c r="AI200" s="170"/>
      <c r="AJ200" s="170"/>
      <c r="AK200" s="170"/>
      <c r="AL200" s="170"/>
      <c r="AM200" s="170"/>
      <c r="AN200" s="170"/>
      <c r="AO200" s="170"/>
      <c r="AP200" s="170"/>
      <c r="AQ200" s="170"/>
      <c r="AR200" s="170"/>
      <c r="AS200" s="170"/>
      <c r="AT200" s="170"/>
      <c r="AU200" s="170"/>
      <c r="AV200" s="170"/>
      <c r="AW200" s="170"/>
      <c r="AX200" s="15"/>
      <c r="AY200" s="252"/>
      <c r="AZ200" s="252"/>
      <c r="BA200" s="252"/>
      <c r="BB200" s="252"/>
      <c r="BC200" s="252"/>
      <c r="BD200" s="252"/>
      <c r="BE200" s="252"/>
      <c r="BF200" s="252"/>
      <c r="BG200" s="252"/>
      <c r="BH200" s="252"/>
      <c r="BI200" s="252"/>
      <c r="BJ200" s="252"/>
      <c r="BK200" s="252"/>
      <c r="BL200" s="252"/>
      <c r="BM200" s="252"/>
      <c r="BN200" s="252"/>
      <c r="BO200" s="252"/>
      <c r="BP200" s="252"/>
      <c r="BQ200" s="252"/>
      <c r="BR200" s="252"/>
      <c r="BS200" s="253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</row>
    <row r="201" outlineLevel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249"/>
      <c r="S201" s="248"/>
      <c r="T201" s="248"/>
      <c r="U201" s="248"/>
      <c r="V201" s="248"/>
      <c r="W201" s="248"/>
      <c r="X201" s="248"/>
      <c r="Y201" s="248"/>
      <c r="Z201" s="248"/>
      <c r="AA201" s="248"/>
      <c r="AB201" s="248"/>
      <c r="AC201" s="248"/>
      <c r="AD201" s="248"/>
      <c r="AE201" s="248"/>
      <c r="AF201" s="248"/>
      <c r="AG201" s="248"/>
      <c r="AH201" s="248"/>
      <c r="AI201" s="248"/>
      <c r="AJ201" s="248"/>
      <c r="AK201" s="248"/>
      <c r="AL201" s="248"/>
      <c r="AM201" s="248"/>
      <c r="AN201" s="248"/>
      <c r="AO201" s="248"/>
      <c r="AP201" s="248"/>
      <c r="AQ201" s="248"/>
      <c r="AR201" s="248"/>
      <c r="AS201" s="248"/>
      <c r="AT201" s="248"/>
      <c r="AU201" s="248"/>
      <c r="AV201" s="248"/>
      <c r="AW201" s="248"/>
      <c r="AX201" s="164"/>
      <c r="AY201" s="252"/>
      <c r="AZ201" s="248"/>
      <c r="BA201" s="248"/>
      <c r="BB201" s="248"/>
      <c r="BC201" s="249"/>
      <c r="BD201" s="249"/>
      <c r="BE201" s="249"/>
      <c r="BF201" s="252"/>
      <c r="BG201" s="249"/>
      <c r="BH201" s="249"/>
      <c r="BI201" s="249"/>
      <c r="BJ201" s="252"/>
      <c r="BK201" s="249"/>
      <c r="BL201" s="249"/>
      <c r="BM201" s="249"/>
      <c r="BN201" s="252"/>
      <c r="BO201" s="249"/>
      <c r="BP201" s="249"/>
      <c r="BQ201" s="249"/>
      <c r="BR201" s="252"/>
      <c r="BS201" s="246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</row>
    <row r="202" outlineLevel="1">
      <c r="R202" s="256"/>
      <c r="S202" s="257"/>
      <c r="T202" s="257"/>
      <c r="U202" s="257"/>
      <c r="V202" s="257"/>
      <c r="W202" s="257"/>
      <c r="X202" s="257"/>
      <c r="Y202" s="257"/>
      <c r="Z202" s="257"/>
      <c r="AA202" s="257"/>
      <c r="AB202" s="257"/>
      <c r="AC202" s="257"/>
      <c r="AD202" s="257"/>
      <c r="AE202" s="257"/>
      <c r="AF202" s="257"/>
      <c r="AG202" s="257"/>
      <c r="AH202" s="258"/>
      <c r="AI202" s="257"/>
      <c r="AJ202" s="257"/>
      <c r="AK202" s="257"/>
      <c r="AL202" s="257"/>
      <c r="AM202" s="257"/>
      <c r="AN202" s="257"/>
      <c r="AO202" s="259"/>
      <c r="AQ202" s="260"/>
      <c r="AR202" s="260"/>
      <c r="AS202" s="260"/>
      <c r="AT202" s="260"/>
      <c r="AU202" s="260"/>
      <c r="AV202" s="260"/>
      <c r="AW202" s="260"/>
      <c r="AX202" s="261"/>
      <c r="AY202" s="262"/>
      <c r="AZ202" s="262"/>
      <c r="BA202" s="259"/>
      <c r="BB202" s="262"/>
      <c r="BC202" s="262"/>
      <c r="BD202" s="262"/>
      <c r="BE202" s="259"/>
      <c r="BF202" s="262"/>
      <c r="BG202" s="262"/>
      <c r="BH202" s="262"/>
      <c r="BI202" s="259"/>
      <c r="BJ202" s="262"/>
      <c r="BK202" s="262"/>
      <c r="BL202" s="262"/>
      <c r="BM202" s="259"/>
      <c r="BN202" s="262"/>
      <c r="BO202" s="262"/>
      <c r="BP202" s="259"/>
      <c r="BQ202" s="259"/>
      <c r="BR202" s="262"/>
      <c r="BS202" s="263"/>
    </row>
    <row r="203" outlineLevel="1">
      <c r="R203" s="256"/>
      <c r="S203" s="259"/>
      <c r="T203" s="259"/>
      <c r="U203" s="259"/>
      <c r="V203" s="259"/>
      <c r="W203" s="259"/>
      <c r="X203" s="259"/>
      <c r="Y203" s="259"/>
      <c r="Z203" s="259"/>
      <c r="AA203" s="259"/>
      <c r="AB203" s="259"/>
      <c r="AC203" s="259"/>
      <c r="AD203" s="259"/>
      <c r="AE203" s="259"/>
      <c r="AF203" s="259"/>
      <c r="AG203" s="259"/>
      <c r="AH203" s="261"/>
      <c r="AI203" s="259"/>
      <c r="AJ203" s="259"/>
      <c r="AK203" s="259"/>
      <c r="AL203" s="264"/>
      <c r="AQ203" s="260"/>
      <c r="AR203" s="260"/>
      <c r="AS203" s="260"/>
      <c r="AT203" s="260"/>
      <c r="AU203" s="260"/>
      <c r="AV203" s="260"/>
      <c r="AW203" s="260"/>
      <c r="AX203" s="261"/>
      <c r="AY203" s="262"/>
      <c r="AZ203" s="259"/>
      <c r="BA203" s="259"/>
      <c r="BB203" s="259"/>
      <c r="BC203" s="259"/>
      <c r="BD203" s="259"/>
    </row>
    <row r="204" outlineLevel="1">
      <c r="R204" s="256"/>
      <c r="S204" s="257"/>
      <c r="T204" s="257"/>
      <c r="U204" s="257"/>
      <c r="V204" s="257"/>
      <c r="W204" s="257"/>
      <c r="X204" s="257"/>
      <c r="Y204" s="257"/>
      <c r="Z204" s="257"/>
      <c r="AA204" s="257"/>
      <c r="AB204" s="257"/>
      <c r="AC204" s="257"/>
      <c r="AD204" s="257"/>
      <c r="AE204" s="257"/>
      <c r="AF204" s="257"/>
      <c r="AG204" s="257"/>
      <c r="AH204" s="257"/>
      <c r="AI204" s="257"/>
      <c r="AJ204" s="257"/>
      <c r="AK204" s="257"/>
      <c r="AL204" s="265"/>
      <c r="AQ204" s="260"/>
      <c r="AR204" s="260"/>
      <c r="AS204" s="260"/>
      <c r="AT204" s="260"/>
      <c r="AU204" s="260"/>
      <c r="AV204" s="260"/>
      <c r="AW204" s="260"/>
    </row>
    <row r="205" outlineLevel="1">
      <c r="R205" s="256"/>
      <c r="S205" s="259"/>
      <c r="T205" s="259"/>
      <c r="U205" s="259"/>
      <c r="V205" s="259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64"/>
      <c r="AQ205" s="260"/>
      <c r="AR205" s="260"/>
      <c r="AS205" s="260"/>
      <c r="AT205" s="260"/>
      <c r="AU205" s="260"/>
      <c r="AV205" s="260"/>
      <c r="AW205" s="260"/>
    </row>
    <row r="206" outlineLevel="1">
      <c r="R206" s="256"/>
      <c r="S206" s="257"/>
      <c r="T206" s="257"/>
      <c r="U206" s="257"/>
      <c r="V206" s="257"/>
      <c r="W206" s="257"/>
      <c r="X206" s="257"/>
      <c r="Y206" s="257"/>
      <c r="Z206" s="257"/>
      <c r="AA206" s="257"/>
      <c r="AB206" s="257"/>
      <c r="AC206" s="257"/>
      <c r="AD206" s="257"/>
      <c r="AE206" s="257"/>
      <c r="AF206" s="257"/>
      <c r="AG206" s="257"/>
      <c r="AH206" s="257"/>
      <c r="AI206" s="257"/>
      <c r="AJ206" s="257"/>
      <c r="AK206" s="257"/>
      <c r="AL206" s="265"/>
      <c r="AQ206" s="260"/>
      <c r="AR206" s="260"/>
      <c r="AS206" s="260"/>
      <c r="AT206" s="260"/>
      <c r="AU206" s="260"/>
      <c r="AV206" s="260"/>
      <c r="AW206" s="260"/>
    </row>
    <row r="207" outlineLevel="1">
      <c r="R207" s="256"/>
      <c r="S207" s="257"/>
      <c r="T207" s="257"/>
      <c r="U207" s="257"/>
      <c r="V207" s="257"/>
      <c r="W207" s="257"/>
      <c r="X207" s="257"/>
      <c r="Y207" s="257"/>
      <c r="Z207" s="257"/>
      <c r="AA207" s="257"/>
      <c r="AB207" s="257"/>
      <c r="AC207" s="257"/>
      <c r="AD207" s="257"/>
      <c r="AE207" s="257"/>
      <c r="AF207" s="257"/>
      <c r="AG207" s="257"/>
      <c r="AH207" s="257"/>
      <c r="AI207" s="257"/>
      <c r="AJ207" s="257"/>
      <c r="AK207" s="257"/>
      <c r="AL207" s="265"/>
      <c r="AQ207" s="260"/>
      <c r="AR207" s="260"/>
      <c r="AS207" s="260"/>
      <c r="AT207" s="260"/>
      <c r="AU207" s="260"/>
      <c r="AV207" s="260"/>
      <c r="AW207" s="260"/>
    </row>
    <row r="208" outlineLevel="1">
      <c r="R208" s="256"/>
      <c r="S208" s="257"/>
      <c r="T208" s="257"/>
      <c r="U208" s="257"/>
      <c r="V208" s="257"/>
      <c r="W208" s="257"/>
      <c r="X208" s="257"/>
      <c r="Y208" s="257"/>
      <c r="Z208" s="257"/>
      <c r="AA208" s="257"/>
      <c r="AB208" s="257"/>
      <c r="AC208" s="257"/>
      <c r="AD208" s="257"/>
      <c r="AE208" s="257"/>
      <c r="AF208" s="257"/>
      <c r="AG208" s="257"/>
      <c r="AH208" s="257"/>
      <c r="AI208" s="257"/>
      <c r="AJ208" s="257"/>
      <c r="AK208" s="257"/>
      <c r="AL208" s="265"/>
      <c r="AQ208" s="260"/>
      <c r="AR208" s="260"/>
      <c r="AS208" s="260"/>
      <c r="AT208" s="260"/>
      <c r="AU208" s="260"/>
      <c r="AV208" s="260"/>
      <c r="AW208" s="260"/>
      <c r="AX208" s="266"/>
      <c r="AY208" s="266"/>
    </row>
    <row r="209" outlineLevel="1">
      <c r="R209" s="256"/>
      <c r="S209" s="257"/>
      <c r="T209" s="257"/>
      <c r="U209" s="257"/>
      <c r="V209" s="257"/>
      <c r="W209" s="257"/>
      <c r="AQ209" s="260"/>
      <c r="AR209" s="260"/>
      <c r="AS209" s="260"/>
      <c r="AT209" s="260"/>
      <c r="AU209" s="260"/>
      <c r="AV209" s="260"/>
      <c r="AW209" s="260"/>
      <c r="AX209" s="266"/>
      <c r="AY209" s="266"/>
    </row>
    <row r="210" outlineLevel="1">
      <c r="AQ210" s="260"/>
      <c r="AR210" s="260"/>
      <c r="AS210" s="260"/>
      <c r="AT210" s="260"/>
      <c r="AU210" s="260"/>
      <c r="AV210" s="260"/>
      <c r="AW210" s="260"/>
      <c r="AX210" s="133"/>
      <c r="AY210" s="133"/>
    </row>
    <row r="211" outlineLevel="1">
      <c r="AQ211" s="260"/>
      <c r="AR211" s="260"/>
      <c r="AS211" s="260"/>
      <c r="AT211" s="260"/>
      <c r="AU211" s="260"/>
      <c r="AV211" s="260"/>
      <c r="AW211" s="260"/>
      <c r="AX211" s="133"/>
      <c r="AY211" s="133"/>
    </row>
    <row r="212" outlineLevel="1">
      <c r="AQ212" s="260"/>
      <c r="AR212" s="260"/>
      <c r="AS212" s="260"/>
      <c r="AT212" s="260"/>
      <c r="AU212" s="260"/>
      <c r="AV212" s="260"/>
      <c r="AW212" s="260"/>
      <c r="AX212" s="133"/>
      <c r="AY212" s="133"/>
    </row>
    <row r="213" outlineLevel="1">
      <c r="AQ213" s="260"/>
      <c r="AR213" s="260"/>
      <c r="AS213" s="260"/>
      <c r="AT213" s="260"/>
      <c r="AU213" s="260"/>
      <c r="AV213" s="260"/>
      <c r="AW213" s="260"/>
      <c r="AX213" s="133"/>
      <c r="AY213" s="133"/>
    </row>
    <row r="214" outlineLevel="1">
      <c r="AQ214" s="260"/>
      <c r="AR214" s="260"/>
      <c r="AS214" s="260"/>
      <c r="AT214" s="260"/>
      <c r="AU214" s="260"/>
      <c r="AV214" s="260"/>
      <c r="AW214" s="260"/>
      <c r="AX214" s="133"/>
      <c r="AY214" s="133"/>
    </row>
    <row r="215" outlineLevel="1">
      <c r="AQ215" s="260"/>
      <c r="AR215" s="260"/>
      <c r="AS215" s="260"/>
      <c r="AT215" s="260"/>
      <c r="AU215" s="260"/>
      <c r="AV215" s="260"/>
      <c r="AW215" s="260"/>
      <c r="AX215" s="133"/>
      <c r="AY215" s="133"/>
    </row>
    <row r="216" outlineLevel="1">
      <c r="AQ216" s="260"/>
      <c r="AR216" s="260"/>
      <c r="AS216" s="260"/>
      <c r="AT216" s="260"/>
      <c r="AU216" s="260"/>
      <c r="AV216" s="260"/>
      <c r="AW216" s="260"/>
      <c r="AX216" s="133"/>
      <c r="AY216" s="133"/>
    </row>
    <row r="217" outlineLevel="1">
      <c r="AQ217" s="260"/>
      <c r="AR217" s="260"/>
      <c r="AS217" s="260"/>
      <c r="AT217" s="260"/>
      <c r="AU217" s="260"/>
      <c r="AV217" s="260"/>
      <c r="AW217" s="260"/>
      <c r="AX217" s="133"/>
      <c r="AY217" s="133"/>
    </row>
    <row r="218" outlineLevel="1">
      <c r="AQ218" s="267"/>
      <c r="AR218" s="267"/>
      <c r="AS218" s="267"/>
      <c r="AT218" s="267"/>
      <c r="AU218" s="267"/>
      <c r="AV218" s="267"/>
      <c r="AW218" s="267"/>
      <c r="AX218" s="268"/>
      <c r="AY218" s="268"/>
    </row>
    <row r="219" outlineLevel="1">
      <c r="AQ219" s="267"/>
      <c r="AR219" s="267"/>
      <c r="AS219" s="267"/>
      <c r="AT219" s="267"/>
      <c r="AU219" s="267"/>
      <c r="AV219" s="267"/>
      <c r="AW219" s="267"/>
      <c r="AX219" s="268"/>
      <c r="AY219" s="268"/>
    </row>
    <row r="220" outlineLevel="1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  <c r="AA220" s="150"/>
      <c r="AB220" s="150"/>
      <c r="AC220" s="150"/>
      <c r="AD220" s="150"/>
      <c r="AE220" s="150"/>
      <c r="AF220" s="150"/>
      <c r="AG220" s="150"/>
      <c r="AH220" s="150"/>
      <c r="AI220" s="150"/>
      <c r="AJ220" s="150"/>
      <c r="AK220" s="150"/>
      <c r="AL220" s="150"/>
      <c r="AM220" s="150"/>
      <c r="AN220" s="150"/>
      <c r="AO220" s="150"/>
      <c r="AP220" s="150"/>
      <c r="AQ220" s="150"/>
      <c r="AR220" s="150"/>
      <c r="AS220" s="150"/>
      <c r="AT220" s="150"/>
      <c r="AU220" s="150"/>
      <c r="AV220" s="150"/>
      <c r="AW220" s="150"/>
      <c r="AX220" s="150"/>
      <c r="AY220" s="150"/>
      <c r="AZ220" s="150"/>
      <c r="BA220" s="150"/>
      <c r="BB220" s="150"/>
      <c r="BC220" s="150"/>
      <c r="BD220" s="150"/>
      <c r="BE220" s="150"/>
      <c r="BF220" s="150"/>
      <c r="BG220" s="150"/>
      <c r="BH220" s="150"/>
      <c r="BI220" s="150"/>
      <c r="BJ220" s="150"/>
      <c r="BK220" s="150"/>
      <c r="BL220" s="150"/>
      <c r="BM220" s="150"/>
      <c r="BN220" s="150"/>
      <c r="BO220" s="150"/>
      <c r="BP220" s="150"/>
      <c r="BQ220" s="150"/>
      <c r="BR220" s="150"/>
      <c r="BS220" s="150"/>
      <c r="BT220" s="150"/>
      <c r="BU220" s="150"/>
      <c r="BV220" s="150"/>
      <c r="BW220" s="150"/>
      <c r="BX220" s="150"/>
      <c r="BY220" s="150"/>
      <c r="BZ220" s="150"/>
      <c r="CA220" s="150"/>
      <c r="CB220" s="150"/>
      <c r="CC220" s="150"/>
      <c r="CD220" s="150"/>
      <c r="CE220" s="150"/>
      <c r="CF220" s="150"/>
      <c r="CG220" s="150"/>
      <c r="CH220" s="150"/>
      <c r="CI220" s="150"/>
      <c r="CJ220" s="150"/>
      <c r="CK220" s="150"/>
      <c r="CL220" s="150"/>
      <c r="CM220" s="150"/>
      <c r="CN220" s="150"/>
      <c r="CO220" s="150"/>
      <c r="CP220" s="150"/>
      <c r="CQ220" s="150"/>
      <c r="CR220" s="150"/>
      <c r="CS220" s="150"/>
      <c r="CT220" s="150"/>
      <c r="CU220" s="150"/>
      <c r="CV220" s="150"/>
      <c r="CW220" s="150"/>
      <c r="CX220" s="150"/>
      <c r="CY220" s="150"/>
      <c r="CZ220" s="150"/>
      <c r="DA220" s="150"/>
      <c r="DB220" s="150"/>
      <c r="DC220" s="150"/>
      <c r="DD220" s="150"/>
    </row>
    <row r="221">
      <c r="A221" s="269"/>
      <c r="B221" s="48" t="s">
        <v>57</v>
      </c>
      <c r="C221" s="269"/>
      <c r="D221" s="269"/>
      <c r="E221" s="269"/>
      <c r="F221" s="269"/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  <c r="AA221" s="269"/>
      <c r="AB221" s="269"/>
      <c r="AC221" s="269"/>
      <c r="AD221" s="269"/>
      <c r="AE221" s="269"/>
      <c r="AF221" s="269"/>
      <c r="AG221" s="269"/>
      <c r="AH221" s="269"/>
      <c r="AI221" s="269"/>
      <c r="AJ221" s="269"/>
      <c r="AK221" s="269"/>
      <c r="AL221" s="269"/>
      <c r="AM221" s="269"/>
      <c r="AN221" s="269"/>
      <c r="AO221" s="269"/>
      <c r="AP221" s="269"/>
      <c r="AQ221" s="269"/>
      <c r="AR221" s="269"/>
      <c r="AS221" s="150"/>
      <c r="AT221" s="150"/>
      <c r="AU221" s="150"/>
      <c r="AV221" s="150"/>
      <c r="AW221" s="150"/>
      <c r="AX221" s="150"/>
      <c r="AY221" s="150"/>
      <c r="AZ221" s="150"/>
      <c r="BA221" s="150"/>
      <c r="BB221" s="150"/>
      <c r="BC221" s="150"/>
      <c r="BD221" s="150"/>
      <c r="BE221" s="269"/>
      <c r="BF221" s="269"/>
      <c r="BG221" s="269"/>
      <c r="BH221" s="269"/>
      <c r="BI221" s="269"/>
      <c r="BJ221" s="269"/>
      <c r="BK221" s="269"/>
      <c r="BL221" s="269"/>
      <c r="BM221" s="269"/>
      <c r="BN221" s="269"/>
      <c r="BO221" s="269"/>
      <c r="BP221" s="269"/>
      <c r="BQ221" s="269"/>
      <c r="BR221" s="269"/>
      <c r="BS221" s="269"/>
      <c r="BT221" s="269"/>
      <c r="BU221" s="269"/>
      <c r="BV221" s="269"/>
      <c r="BW221" s="269"/>
      <c r="BX221" s="269"/>
      <c r="BY221" s="269"/>
      <c r="BZ221" s="269"/>
      <c r="CA221" s="269"/>
      <c r="CB221" s="269"/>
      <c r="CC221" s="269"/>
      <c r="CD221" s="269"/>
      <c r="CE221" s="269"/>
      <c r="CF221" s="269"/>
      <c r="CG221" s="269"/>
      <c r="CH221" s="269"/>
      <c r="CI221" s="269"/>
      <c r="CJ221" s="269"/>
      <c r="CK221" s="269"/>
      <c r="CL221" s="269"/>
      <c r="CM221" s="269"/>
      <c r="CN221" s="269"/>
      <c r="CO221" s="269"/>
      <c r="CP221" s="269"/>
      <c r="CQ221" s="269"/>
      <c r="CR221" s="269"/>
      <c r="CS221" s="269"/>
      <c r="CT221" s="269"/>
      <c r="CU221" s="269"/>
      <c r="CV221" s="269"/>
      <c r="CW221" s="269"/>
      <c r="CX221" s="269"/>
      <c r="CY221" s="269"/>
      <c r="CZ221" s="269"/>
      <c r="DA221" s="269"/>
      <c r="DB221" s="269"/>
      <c r="DC221" s="269"/>
      <c r="DD221" s="269"/>
    </row>
    <row r="222" outlineLevel="1">
      <c r="A222" s="15"/>
      <c r="B222" s="270" t="s">
        <v>426</v>
      </c>
      <c r="C222" s="160"/>
      <c r="D222" s="160"/>
      <c r="E222" s="160"/>
      <c r="F222" s="160"/>
      <c r="G222" s="160"/>
      <c r="H222" s="160"/>
      <c r="I222" s="15"/>
      <c r="J222" s="270" t="s">
        <v>427</v>
      </c>
      <c r="K222" s="160"/>
      <c r="L222" s="160"/>
      <c r="M222" s="160"/>
      <c r="N222" s="160"/>
      <c r="O222" s="160"/>
      <c r="P222" s="160"/>
      <c r="Q222" s="15"/>
      <c r="R222" s="270" t="s">
        <v>428</v>
      </c>
      <c r="S222" s="160"/>
      <c r="T222" s="160"/>
      <c r="U222" s="160"/>
      <c r="V222" s="160"/>
      <c r="W222" s="160"/>
      <c r="X222" s="160"/>
      <c r="Y222" s="15"/>
      <c r="Z222" s="270" t="s">
        <v>429</v>
      </c>
      <c r="AA222" s="15"/>
      <c r="AB222" s="15"/>
      <c r="AC222" s="15"/>
      <c r="AD222" s="15"/>
      <c r="AE222" s="15"/>
      <c r="AF222" s="15"/>
      <c r="AG222" s="15"/>
      <c r="AH222" s="15" t="s">
        <v>169</v>
      </c>
      <c r="AI222" s="156">
        <v>2026.0</v>
      </c>
      <c r="AJ222" s="156">
        <v>2025.0</v>
      </c>
      <c r="AK222" s="156">
        <v>2024.0</v>
      </c>
      <c r="AL222" s="156">
        <v>2023.0</v>
      </c>
      <c r="AM222" s="156">
        <v>2022.0</v>
      </c>
      <c r="AN222" s="156">
        <v>2021.0</v>
      </c>
      <c r="AO222" s="15"/>
      <c r="AP222" s="15"/>
      <c r="AQ222" s="165"/>
      <c r="AR222" s="165"/>
      <c r="AS222" s="165"/>
      <c r="AT222" s="165"/>
      <c r="AU222" s="165"/>
      <c r="AV222" s="165"/>
      <c r="AW222" s="165"/>
      <c r="AX222" s="165"/>
      <c r="AY222" s="16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</row>
    <row r="223" outlineLevel="1">
      <c r="A223" s="15"/>
      <c r="B223" s="157" t="s">
        <v>170</v>
      </c>
      <c r="C223" s="158" t="s">
        <v>171</v>
      </c>
      <c r="D223" s="158" t="s">
        <v>139</v>
      </c>
      <c r="E223" s="158" t="s">
        <v>140</v>
      </c>
      <c r="F223" s="158" t="s">
        <v>141</v>
      </c>
      <c r="G223" s="158" t="s">
        <v>142</v>
      </c>
      <c r="H223" s="159" t="s">
        <v>143</v>
      </c>
      <c r="I223" s="15"/>
      <c r="J223" s="157" t="s">
        <v>170</v>
      </c>
      <c r="K223" s="158" t="s">
        <v>171</v>
      </c>
      <c r="L223" s="158" t="s">
        <v>139</v>
      </c>
      <c r="M223" s="158" t="s">
        <v>140</v>
      </c>
      <c r="N223" s="158" t="s">
        <v>141</v>
      </c>
      <c r="O223" s="158" t="s">
        <v>142</v>
      </c>
      <c r="P223" s="159" t="s">
        <v>143</v>
      </c>
      <c r="Q223" s="15"/>
      <c r="R223" s="157" t="s">
        <v>170</v>
      </c>
      <c r="S223" s="158" t="s">
        <v>171</v>
      </c>
      <c r="T223" s="158" t="s">
        <v>139</v>
      </c>
      <c r="U223" s="158" t="s">
        <v>140</v>
      </c>
      <c r="V223" s="158" t="s">
        <v>141</v>
      </c>
      <c r="W223" s="158" t="s">
        <v>142</v>
      </c>
      <c r="X223" s="159" t="s">
        <v>143</v>
      </c>
      <c r="Y223" s="15"/>
      <c r="Z223" s="157" t="s">
        <v>170</v>
      </c>
      <c r="AA223" s="158" t="s">
        <v>172</v>
      </c>
      <c r="AB223" s="158" t="s">
        <v>139</v>
      </c>
      <c r="AC223" s="158" t="s">
        <v>140</v>
      </c>
      <c r="AD223" s="158" t="s">
        <v>141</v>
      </c>
      <c r="AE223" s="158" t="s">
        <v>142</v>
      </c>
      <c r="AF223" s="159" t="s">
        <v>143</v>
      </c>
      <c r="AG223" s="160"/>
      <c r="AH223" s="15" t="s">
        <v>430</v>
      </c>
      <c r="AI223" s="156">
        <v>2.7594260766E10</v>
      </c>
      <c r="AJ223" s="156">
        <v>5.6682621652E10</v>
      </c>
      <c r="AK223" s="156">
        <v>6.9839539529E10</v>
      </c>
      <c r="AL223" s="156">
        <v>3.8730637163E10</v>
      </c>
      <c r="AM223" s="156">
        <v>6.9839539529E10</v>
      </c>
      <c r="AN223" s="156">
        <v>3.8730637163E10</v>
      </c>
      <c r="AO223" s="160"/>
      <c r="AP223" s="160"/>
      <c r="AQ223" s="165"/>
      <c r="AR223" s="165"/>
      <c r="AS223" s="165"/>
      <c r="AT223" s="165"/>
      <c r="AU223" s="165"/>
      <c r="AV223" s="165"/>
      <c r="AW223" s="165"/>
      <c r="AX223" s="165"/>
      <c r="AY223" s="165"/>
      <c r="AZ223" s="160"/>
      <c r="BA223" s="160"/>
      <c r="BB223" s="160"/>
      <c r="BC223" s="160"/>
      <c r="BD223" s="160"/>
      <c r="BE223" s="160"/>
      <c r="BF223" s="160"/>
      <c r="BG223" s="160"/>
      <c r="BH223" s="160"/>
      <c r="BI223" s="160"/>
      <c r="BJ223" s="160"/>
      <c r="BK223" s="160"/>
      <c r="BL223" s="160"/>
      <c r="BM223" s="160"/>
      <c r="BN223" s="160"/>
      <c r="BO223" s="160"/>
      <c r="BP223" s="160"/>
      <c r="BQ223" s="160"/>
      <c r="BR223" s="160"/>
      <c r="BS223" s="160"/>
      <c r="BT223" s="160"/>
      <c r="BU223" s="160"/>
      <c r="BV223" s="160"/>
      <c r="BW223" s="160"/>
      <c r="BX223" s="160"/>
      <c r="BY223" s="160"/>
      <c r="BZ223" s="160"/>
      <c r="CA223" s="160"/>
      <c r="CB223" s="160"/>
      <c r="CC223" s="160"/>
      <c r="CD223" s="160"/>
      <c r="CE223" s="160"/>
      <c r="CF223" s="160"/>
      <c r="CG223" s="160"/>
      <c r="CH223" s="160"/>
      <c r="CI223" s="160"/>
      <c r="CJ223" s="160"/>
      <c r="CK223" s="160"/>
      <c r="CL223" s="160"/>
      <c r="CM223" s="160"/>
      <c r="CN223" s="160"/>
      <c r="CO223" s="160"/>
      <c r="CP223" s="160"/>
      <c r="CQ223" s="160"/>
      <c r="CR223" s="160"/>
      <c r="CS223" s="160"/>
      <c r="CT223" s="160"/>
      <c r="CU223" s="160"/>
      <c r="CV223" s="160"/>
      <c r="CW223" s="160"/>
      <c r="CX223" s="160"/>
      <c r="CY223" s="160"/>
      <c r="CZ223" s="160"/>
      <c r="DA223" s="160"/>
      <c r="DB223" s="160"/>
      <c r="DC223" s="160"/>
      <c r="DD223" s="160"/>
    </row>
    <row r="224" outlineLevel="1">
      <c r="A224" s="15"/>
      <c r="B224" s="157" t="s">
        <v>180</v>
      </c>
      <c r="C224" s="167">
        <v>46112.0</v>
      </c>
      <c r="D224" s="167">
        <v>46022.0</v>
      </c>
      <c r="E224" s="167">
        <v>45657.0</v>
      </c>
      <c r="F224" s="167">
        <v>45291.0</v>
      </c>
      <c r="G224" s="167">
        <v>44926.0</v>
      </c>
      <c r="H224" s="167">
        <v>44561.0</v>
      </c>
      <c r="I224" s="15"/>
      <c r="J224" s="157" t="s">
        <v>180</v>
      </c>
      <c r="K224" s="167">
        <v>46112.0</v>
      </c>
      <c r="L224" s="167">
        <v>46022.0</v>
      </c>
      <c r="M224" s="167">
        <v>45657.0</v>
      </c>
      <c r="N224" s="167">
        <v>45291.0</v>
      </c>
      <c r="O224" s="167">
        <v>44926.0</v>
      </c>
      <c r="P224" s="167">
        <v>44561.0</v>
      </c>
      <c r="Q224" s="15"/>
      <c r="R224" s="157" t="s">
        <v>180</v>
      </c>
      <c r="S224" s="167">
        <v>46112.0</v>
      </c>
      <c r="T224" s="167">
        <v>46022.0</v>
      </c>
      <c r="U224" s="167">
        <v>45657.0</v>
      </c>
      <c r="V224" s="167">
        <v>45291.0</v>
      </c>
      <c r="W224" s="167">
        <v>44926.0</v>
      </c>
      <c r="X224" s="167">
        <v>44561.0</v>
      </c>
      <c r="Y224" s="15"/>
      <c r="Z224" s="157" t="s">
        <v>180</v>
      </c>
      <c r="AA224" s="167">
        <v>46209.0</v>
      </c>
      <c r="AB224" s="167">
        <v>46022.0</v>
      </c>
      <c r="AC224" s="167">
        <v>45657.0</v>
      </c>
      <c r="AD224" s="167">
        <v>45291.0</v>
      </c>
      <c r="AE224" s="167">
        <v>44926.0</v>
      </c>
      <c r="AF224" s="167">
        <v>44561.0</v>
      </c>
      <c r="AG224" s="168"/>
      <c r="AH224" s="15" t="s">
        <v>431</v>
      </c>
      <c r="AI224" s="156">
        <v>1.55336695944E11</v>
      </c>
      <c r="AJ224" s="156">
        <v>5.3009890248E10</v>
      </c>
      <c r="AK224" s="156">
        <v>3.6599392643E10</v>
      </c>
      <c r="AL224" s="156">
        <v>1.6816679778E10</v>
      </c>
      <c r="AM224" s="156">
        <v>3.6599392643E10</v>
      </c>
      <c r="AN224" s="156">
        <v>1.6816679778E10</v>
      </c>
      <c r="AO224" s="160"/>
      <c r="AP224" s="160"/>
      <c r="AQ224" s="165"/>
      <c r="AR224" s="165"/>
      <c r="AS224" s="165"/>
      <c r="AT224" s="165"/>
      <c r="AU224" s="165"/>
      <c r="AV224" s="165"/>
      <c r="AW224" s="165"/>
      <c r="AX224" s="165"/>
      <c r="AY224" s="165"/>
      <c r="AZ224" s="160"/>
      <c r="BA224" s="160"/>
      <c r="BB224" s="160"/>
      <c r="BC224" s="160"/>
      <c r="BD224" s="160"/>
      <c r="BE224" s="160"/>
      <c r="BF224" s="160"/>
      <c r="BG224" s="160"/>
      <c r="BH224" s="160"/>
      <c r="BI224" s="160"/>
      <c r="BJ224" s="160"/>
      <c r="BK224" s="160"/>
      <c r="BL224" s="160"/>
      <c r="BM224" s="160"/>
      <c r="BN224" s="160"/>
      <c r="BO224" s="160"/>
      <c r="BP224" s="168"/>
      <c r="BQ224" s="168"/>
      <c r="BR224" s="168"/>
      <c r="BS224" s="168"/>
      <c r="BT224" s="168"/>
      <c r="BU224" s="168"/>
      <c r="BV224" s="168"/>
      <c r="BW224" s="168"/>
      <c r="BX224" s="168"/>
      <c r="BY224" s="168"/>
      <c r="BZ224" s="168"/>
      <c r="CA224" s="168"/>
      <c r="CB224" s="168"/>
      <c r="CC224" s="168"/>
      <c r="CD224" s="168"/>
      <c r="CE224" s="168"/>
      <c r="CF224" s="168"/>
      <c r="CG224" s="168"/>
      <c r="CH224" s="168"/>
      <c r="CI224" s="168"/>
      <c r="CJ224" s="168"/>
      <c r="CK224" s="168"/>
      <c r="CL224" s="168"/>
      <c r="CM224" s="168"/>
      <c r="CN224" s="168"/>
      <c r="CO224" s="168"/>
      <c r="CP224" s="168"/>
      <c r="CQ224" s="168"/>
      <c r="CR224" s="168"/>
      <c r="CS224" s="168"/>
      <c r="CT224" s="168"/>
      <c r="CU224" s="168"/>
      <c r="CV224" s="168"/>
      <c r="CW224" s="168"/>
      <c r="CX224" s="168"/>
      <c r="CY224" s="168"/>
      <c r="CZ224" s="168"/>
      <c r="DA224" s="168"/>
      <c r="DB224" s="168"/>
      <c r="DC224" s="168"/>
      <c r="DD224" s="168"/>
    </row>
    <row r="225" outlineLevel="1">
      <c r="A225" s="15"/>
      <c r="B225" s="171" t="s">
        <v>432</v>
      </c>
      <c r="C225" s="172">
        <v>4447580.0</v>
      </c>
      <c r="D225" s="172">
        <v>4147334.0</v>
      </c>
      <c r="E225" s="172">
        <v>3373117.0</v>
      </c>
      <c r="F225" s="172">
        <v>3039796.0</v>
      </c>
      <c r="G225" s="172">
        <v>1687154.0</v>
      </c>
      <c r="H225" s="173">
        <v>1383279.0</v>
      </c>
      <c r="I225" s="15"/>
      <c r="J225" s="174" t="s">
        <v>184</v>
      </c>
      <c r="K225" s="172">
        <v>53846.0</v>
      </c>
      <c r="L225" s="172">
        <v>129538.0</v>
      </c>
      <c r="M225" s="172">
        <v>63078.0</v>
      </c>
      <c r="N225" s="172">
        <v>43938.0</v>
      </c>
      <c r="O225" s="172">
        <v>23385.0</v>
      </c>
      <c r="P225" s="173">
        <v>16099.0</v>
      </c>
      <c r="Q225" s="15"/>
      <c r="R225" s="174" t="s">
        <v>185</v>
      </c>
      <c r="S225" s="172">
        <v>265639.0</v>
      </c>
      <c r="T225" s="172">
        <v>218849.0</v>
      </c>
      <c r="U225" s="172">
        <v>178686.0</v>
      </c>
      <c r="V225" s="172">
        <v>15236.0</v>
      </c>
      <c r="W225" s="172">
        <v>142301.0</v>
      </c>
      <c r="X225" s="173">
        <v>81037.0</v>
      </c>
      <c r="Y225" s="15"/>
      <c r="Z225" s="171" t="s">
        <v>433</v>
      </c>
      <c r="AA225" s="172">
        <v>1788235.0</v>
      </c>
      <c r="AB225" s="172">
        <v>2247059.0</v>
      </c>
      <c r="AC225" s="188" t="s">
        <v>209</v>
      </c>
      <c r="AD225" s="188" t="s">
        <v>209</v>
      </c>
      <c r="AE225" s="188" t="s">
        <v>209</v>
      </c>
      <c r="AF225" s="189" t="s">
        <v>209</v>
      </c>
      <c r="AG225" s="165"/>
      <c r="AH225" s="15" t="s">
        <v>434</v>
      </c>
      <c r="AI225" s="156">
        <v>1.8293095671E11</v>
      </c>
      <c r="AJ225" s="156">
        <v>1.096925119E11</v>
      </c>
      <c r="AK225" s="156">
        <v>1.06438932172E11</v>
      </c>
      <c r="AL225" s="156">
        <v>5.5547316941E10</v>
      </c>
      <c r="AM225" s="156">
        <v>1.06438932172E11</v>
      </c>
      <c r="AN225" s="156">
        <v>5.5547316941E10</v>
      </c>
      <c r="AO225" s="165"/>
      <c r="AP225" s="165"/>
      <c r="AQ225" s="165"/>
      <c r="AR225" s="165"/>
      <c r="AS225" s="165"/>
      <c r="AT225" s="165"/>
      <c r="AU225" s="165"/>
      <c r="AV225" s="165"/>
      <c r="AW225" s="165"/>
      <c r="AX225" s="165"/>
      <c r="AY225" s="165"/>
      <c r="AZ225" s="165"/>
      <c r="BA225" s="165"/>
      <c r="BB225" s="165"/>
      <c r="BC225" s="165"/>
      <c r="BD225" s="165"/>
      <c r="BE225" s="165"/>
      <c r="BF225" s="165"/>
      <c r="BG225" s="165"/>
      <c r="BH225" s="165"/>
      <c r="BI225" s="165"/>
      <c r="BJ225" s="165"/>
      <c r="BK225" s="165"/>
      <c r="BL225" s="165"/>
      <c r="BM225" s="165"/>
      <c r="BN225" s="165"/>
      <c r="BO225" s="165"/>
      <c r="BP225" s="165"/>
      <c r="BQ225" s="165"/>
      <c r="BR225" s="165"/>
      <c r="BS225" s="165"/>
      <c r="BT225" s="165"/>
      <c r="BU225" s="165"/>
      <c r="BV225" s="165"/>
      <c r="BW225" s="165"/>
      <c r="BX225" s="165"/>
      <c r="BY225" s="165"/>
      <c r="BZ225" s="165"/>
      <c r="CA225" s="165"/>
      <c r="CB225" s="165"/>
      <c r="CC225" s="165"/>
      <c r="CD225" s="165"/>
      <c r="CE225" s="165"/>
      <c r="CF225" s="165"/>
      <c r="CG225" s="165"/>
      <c r="CH225" s="165"/>
      <c r="CI225" s="165"/>
      <c r="CJ225" s="165"/>
      <c r="CK225" s="165"/>
      <c r="CL225" s="165"/>
      <c r="CM225" s="165"/>
      <c r="CN225" s="165"/>
      <c r="CO225" s="165"/>
      <c r="CP225" s="165"/>
      <c r="CQ225" s="165"/>
      <c r="CR225" s="165"/>
      <c r="CS225" s="165"/>
      <c r="CT225" s="165"/>
      <c r="CU225" s="165"/>
      <c r="CV225" s="165"/>
      <c r="CW225" s="165"/>
      <c r="CX225" s="165"/>
      <c r="CY225" s="165"/>
      <c r="CZ225" s="165"/>
      <c r="DA225" s="165"/>
      <c r="DB225" s="165"/>
      <c r="DC225" s="165"/>
      <c r="DD225" s="165"/>
    </row>
    <row r="226" outlineLevel="1">
      <c r="A226" s="15"/>
      <c r="B226" s="157" t="s">
        <v>188</v>
      </c>
      <c r="C226" s="177">
        <v>0.291</v>
      </c>
      <c r="D226" s="177">
        <v>0.2295</v>
      </c>
      <c r="E226" s="177">
        <v>0.1096</v>
      </c>
      <c r="F226" s="177">
        <v>0.8017</v>
      </c>
      <c r="G226" s="177">
        <v>0.2197</v>
      </c>
      <c r="H226" s="271" t="s">
        <v>209</v>
      </c>
      <c r="I226" s="15"/>
      <c r="J226" s="174" t="s">
        <v>189</v>
      </c>
      <c r="K226" s="172">
        <v>53846.0</v>
      </c>
      <c r="L226" s="172">
        <v>129538.0</v>
      </c>
      <c r="M226" s="172">
        <v>63078.0</v>
      </c>
      <c r="N226" s="172">
        <v>43938.0</v>
      </c>
      <c r="O226" s="172">
        <v>23385.0</v>
      </c>
      <c r="P226" s="173">
        <v>16099.0</v>
      </c>
      <c r="Q226" s="15"/>
      <c r="R226" s="174" t="s">
        <v>190</v>
      </c>
      <c r="S226" s="172">
        <v>60314.0</v>
      </c>
      <c r="T226" s="172">
        <v>56932.0</v>
      </c>
      <c r="U226" s="172">
        <v>45805.0</v>
      </c>
      <c r="V226" s="172">
        <v>48705.0</v>
      </c>
      <c r="W226" s="172">
        <v>29797.0</v>
      </c>
      <c r="X226" s="173">
        <v>31154.0</v>
      </c>
      <c r="Y226" s="15"/>
      <c r="Z226" s="174" t="s">
        <v>197</v>
      </c>
      <c r="AA226" s="172">
        <v>2972339.0</v>
      </c>
      <c r="AB226" s="172">
        <v>3352249.0</v>
      </c>
      <c r="AC226" s="188" t="s">
        <v>209</v>
      </c>
      <c r="AD226" s="188" t="s">
        <v>209</v>
      </c>
      <c r="AE226" s="188" t="s">
        <v>209</v>
      </c>
      <c r="AF226" s="189" t="s">
        <v>209</v>
      </c>
      <c r="AG226" s="165"/>
      <c r="AH226" s="15" t="s">
        <v>435</v>
      </c>
      <c r="AI226" s="156">
        <v>-6.8696759385E10</v>
      </c>
      <c r="AJ226" s="156">
        <v>-5.2839848631E10</v>
      </c>
      <c r="AK226" s="156">
        <v>-6.9231430693E10</v>
      </c>
      <c r="AL226" s="156">
        <v>-3.3333261254E10</v>
      </c>
      <c r="AM226" s="156">
        <v>-6.9231430693E10</v>
      </c>
      <c r="AN226" s="156">
        <v>-3.3333261254E10</v>
      </c>
      <c r="AO226" s="165"/>
      <c r="AP226" s="165"/>
      <c r="AQ226" s="165"/>
      <c r="AR226" s="165"/>
      <c r="AS226" s="165"/>
      <c r="AT226" s="165"/>
      <c r="AU226" s="165"/>
      <c r="AV226" s="165"/>
      <c r="AW226" s="165"/>
      <c r="AX226" s="165"/>
      <c r="AY226" s="165"/>
      <c r="AZ226" s="165"/>
      <c r="BA226" s="165"/>
      <c r="BB226" s="165"/>
      <c r="BC226" s="165"/>
      <c r="BD226" s="165"/>
      <c r="BE226" s="165"/>
      <c r="BF226" s="165"/>
      <c r="BG226" s="165"/>
      <c r="BH226" s="165"/>
      <c r="BI226" s="165"/>
      <c r="BJ226" s="165"/>
      <c r="BK226" s="165"/>
      <c r="BL226" s="165"/>
      <c r="BM226" s="165"/>
      <c r="BN226" s="165"/>
      <c r="BO226" s="165"/>
      <c r="BP226" s="165"/>
      <c r="BQ226" s="165"/>
      <c r="BR226" s="165"/>
      <c r="BS226" s="165"/>
      <c r="BT226" s="165"/>
      <c r="BU226" s="165"/>
      <c r="BV226" s="165"/>
      <c r="BW226" s="165"/>
      <c r="BX226" s="165"/>
      <c r="BY226" s="165"/>
      <c r="BZ226" s="165"/>
      <c r="CA226" s="165"/>
      <c r="CB226" s="165"/>
      <c r="CC226" s="165"/>
      <c r="CD226" s="165"/>
      <c r="CE226" s="165"/>
      <c r="CF226" s="165"/>
      <c r="CG226" s="165"/>
      <c r="CH226" s="165"/>
      <c r="CI226" s="165"/>
      <c r="CJ226" s="165"/>
      <c r="CK226" s="165"/>
      <c r="CL226" s="165"/>
      <c r="CM226" s="165"/>
      <c r="CN226" s="165"/>
      <c r="CO226" s="165"/>
      <c r="CP226" s="165"/>
      <c r="CQ226" s="165"/>
      <c r="CR226" s="165"/>
      <c r="CS226" s="165"/>
      <c r="CT226" s="165"/>
      <c r="CU226" s="165"/>
      <c r="CV226" s="165"/>
      <c r="CW226" s="165"/>
      <c r="CX226" s="165"/>
      <c r="CY226" s="165"/>
      <c r="CZ226" s="165"/>
      <c r="DA226" s="165"/>
      <c r="DB226" s="165"/>
      <c r="DC226" s="165"/>
      <c r="DD226" s="165"/>
    </row>
    <row r="227" outlineLevel="1">
      <c r="A227" s="15"/>
      <c r="B227" s="174" t="s">
        <v>194</v>
      </c>
      <c r="C227" s="172">
        <v>3295752.0</v>
      </c>
      <c r="D227" s="172">
        <v>3037958.0</v>
      </c>
      <c r="E227" s="172">
        <v>2440106.0</v>
      </c>
      <c r="F227" s="172">
        <v>2334417.0</v>
      </c>
      <c r="G227" s="172">
        <v>1305364.0</v>
      </c>
      <c r="H227" s="173">
        <v>1035886.0</v>
      </c>
      <c r="I227" s="15"/>
      <c r="J227" s="157" t="s">
        <v>195</v>
      </c>
      <c r="K227" s="177">
        <v>2.1145</v>
      </c>
      <c r="L227" s="177">
        <v>1.0536</v>
      </c>
      <c r="M227" s="177">
        <v>0.4356</v>
      </c>
      <c r="N227" s="177">
        <v>0.8789</v>
      </c>
      <c r="O227" s="177">
        <v>0.4526</v>
      </c>
      <c r="P227" s="271" t="s">
        <v>209</v>
      </c>
      <c r="Q227" s="15"/>
      <c r="R227" s="174" t="s">
        <v>436</v>
      </c>
      <c r="S227" s="188" t="s">
        <v>209</v>
      </c>
      <c r="T227" s="188" t="s">
        <v>209</v>
      </c>
      <c r="U227" s="188">
        <v>58.0</v>
      </c>
      <c r="V227" s="188">
        <v>57.0</v>
      </c>
      <c r="W227" s="188" t="s">
        <v>209</v>
      </c>
      <c r="X227" s="189" t="s">
        <v>209</v>
      </c>
      <c r="Y227" s="15"/>
      <c r="Z227" s="174" t="s">
        <v>203</v>
      </c>
      <c r="AA227" s="182">
        <v>304.0</v>
      </c>
      <c r="AB227" s="182">
        <v>373.72</v>
      </c>
      <c r="AC227" s="182" t="s">
        <v>209</v>
      </c>
      <c r="AD227" s="182" t="s">
        <v>209</v>
      </c>
      <c r="AE227" s="182" t="s">
        <v>209</v>
      </c>
      <c r="AF227" s="183" t="s">
        <v>209</v>
      </c>
      <c r="AG227" s="165"/>
      <c r="AH227" s="15" t="s">
        <v>437</v>
      </c>
      <c r="AI227" s="156">
        <v>1.14234197325E11</v>
      </c>
      <c r="AJ227" s="156">
        <v>5.6852663269E10</v>
      </c>
      <c r="AK227" s="156">
        <v>3.7207501479E10</v>
      </c>
      <c r="AL227" s="156">
        <v>2.2214055687E10</v>
      </c>
      <c r="AM227" s="156">
        <v>3.7207501479E10</v>
      </c>
      <c r="AN227" s="156">
        <v>2.2214055687E10</v>
      </c>
      <c r="AO227" s="165"/>
      <c r="AP227" s="165"/>
      <c r="AQ227" s="165"/>
      <c r="AR227" s="165"/>
      <c r="AS227" s="165"/>
      <c r="AT227" s="165"/>
      <c r="AU227" s="165"/>
      <c r="AV227" s="165"/>
      <c r="AW227" s="165"/>
      <c r="AX227" s="165"/>
      <c r="AY227" s="165"/>
      <c r="AZ227" s="165"/>
      <c r="BA227" s="165"/>
      <c r="BB227" s="165"/>
      <c r="BC227" s="165"/>
      <c r="BD227" s="165"/>
      <c r="BE227" s="165"/>
      <c r="BF227" s="165"/>
      <c r="BG227" s="165"/>
      <c r="BH227" s="165"/>
      <c r="BI227" s="165"/>
      <c r="BJ227" s="165"/>
      <c r="BK227" s="165"/>
      <c r="BL227" s="165"/>
      <c r="BM227" s="165"/>
      <c r="BN227" s="165"/>
      <c r="BO227" s="165"/>
      <c r="BP227" s="165"/>
      <c r="BQ227" s="165"/>
      <c r="BR227" s="165"/>
      <c r="BS227" s="165"/>
      <c r="BT227" s="165"/>
      <c r="BU227" s="165"/>
      <c r="BV227" s="165"/>
      <c r="BW227" s="165"/>
      <c r="BX227" s="165"/>
      <c r="BY227" s="165"/>
      <c r="BZ227" s="165"/>
      <c r="CA227" s="165"/>
      <c r="CB227" s="165"/>
      <c r="CC227" s="165"/>
      <c r="CD227" s="165"/>
      <c r="CE227" s="165"/>
      <c r="CF227" s="165"/>
      <c r="CG227" s="165"/>
      <c r="CH227" s="165"/>
      <c r="CI227" s="165"/>
      <c r="CJ227" s="165"/>
      <c r="CK227" s="165"/>
      <c r="CL227" s="165"/>
      <c r="CM227" s="165"/>
      <c r="CN227" s="165"/>
      <c r="CO227" s="165"/>
      <c r="CP227" s="165"/>
      <c r="CQ227" s="165"/>
      <c r="CR227" s="165"/>
      <c r="CS227" s="165"/>
      <c r="CT227" s="165"/>
      <c r="CU227" s="165"/>
      <c r="CV227" s="165"/>
      <c r="CW227" s="165"/>
      <c r="CX227" s="165"/>
      <c r="CY227" s="165"/>
      <c r="CZ227" s="165"/>
      <c r="DA227" s="165"/>
      <c r="DB227" s="165"/>
      <c r="DC227" s="165"/>
      <c r="DD227" s="165"/>
    </row>
    <row r="228" outlineLevel="1">
      <c r="A228" s="15"/>
      <c r="B228" s="174" t="s">
        <v>200</v>
      </c>
      <c r="C228" s="180">
        <v>1151828.0</v>
      </c>
      <c r="D228" s="180">
        <v>1109376.0</v>
      </c>
      <c r="E228" s="180">
        <v>933011.0</v>
      </c>
      <c r="F228" s="180">
        <v>705379.0</v>
      </c>
      <c r="G228" s="180">
        <v>381790.0</v>
      </c>
      <c r="H228" s="181">
        <v>347393.0</v>
      </c>
      <c r="I228" s="15"/>
      <c r="J228" s="174" t="s">
        <v>201</v>
      </c>
      <c r="K228" s="172">
        <v>1225536.0</v>
      </c>
      <c r="L228" s="172">
        <v>1286532.0</v>
      </c>
      <c r="M228" s="172">
        <v>980470.0</v>
      </c>
      <c r="N228" s="172">
        <v>685340.0</v>
      </c>
      <c r="O228" s="172">
        <v>867281.0</v>
      </c>
      <c r="P228" s="173">
        <v>534762.0</v>
      </c>
      <c r="Q228" s="15"/>
      <c r="R228" s="174" t="s">
        <v>196</v>
      </c>
      <c r="S228" s="172">
        <v>-230274.0</v>
      </c>
      <c r="T228" s="172">
        <v>-300746.0</v>
      </c>
      <c r="U228" s="172">
        <v>-95072.0</v>
      </c>
      <c r="V228" s="172">
        <v>65778.0</v>
      </c>
      <c r="W228" s="172">
        <v>-93179.0</v>
      </c>
      <c r="X228" s="173">
        <v>-193202.0</v>
      </c>
      <c r="Y228" s="15"/>
      <c r="Z228" s="174" t="s">
        <v>210</v>
      </c>
      <c r="AA228" s="188">
        <v>7.27</v>
      </c>
      <c r="AB228" s="188">
        <v>10.27</v>
      </c>
      <c r="AC228" s="188" t="s">
        <v>209</v>
      </c>
      <c r="AD228" s="188" t="s">
        <v>209</v>
      </c>
      <c r="AE228" s="188" t="s">
        <v>209</v>
      </c>
      <c r="AF228" s="189" t="s">
        <v>209</v>
      </c>
      <c r="AG228" s="165"/>
      <c r="AH228" s="15" t="s">
        <v>438</v>
      </c>
      <c r="AI228" s="156">
        <v>1.929810398E10</v>
      </c>
      <c r="AJ228" s="156">
        <v>7.67793218E9</v>
      </c>
      <c r="AK228" s="156">
        <v>3.434140528E9</v>
      </c>
      <c r="AL228" s="156">
        <v>1.49700732E9</v>
      </c>
      <c r="AM228" s="156">
        <v>3.434140528E9</v>
      </c>
      <c r="AN228" s="156">
        <v>1.49700732E9</v>
      </c>
      <c r="AO228" s="165"/>
      <c r="AP228" s="165"/>
      <c r="AQ228" s="165"/>
      <c r="AR228" s="165"/>
      <c r="AS228" s="165"/>
      <c r="AT228" s="165"/>
      <c r="AU228" s="165"/>
      <c r="AV228" s="165"/>
      <c r="AW228" s="165"/>
      <c r="AX228" s="165"/>
      <c r="AY228" s="165"/>
      <c r="AZ228" s="165"/>
      <c r="BA228" s="165"/>
      <c r="BB228" s="165"/>
      <c r="BC228" s="165"/>
      <c r="BD228" s="165"/>
      <c r="BE228" s="165"/>
      <c r="BF228" s="165"/>
      <c r="BG228" s="165"/>
      <c r="BH228" s="165"/>
      <c r="BI228" s="165"/>
      <c r="BJ228" s="165"/>
      <c r="BK228" s="165"/>
      <c r="BL228" s="165"/>
      <c r="BM228" s="165"/>
      <c r="BN228" s="165"/>
      <c r="BO228" s="165"/>
      <c r="BP228" s="165"/>
      <c r="BQ228" s="165"/>
      <c r="BR228" s="165"/>
      <c r="BS228" s="165"/>
      <c r="BT228" s="165"/>
      <c r="BU228" s="165"/>
      <c r="BV228" s="165"/>
      <c r="BW228" s="165"/>
      <c r="BX228" s="165"/>
      <c r="BY228" s="165"/>
      <c r="BZ228" s="165"/>
      <c r="CA228" s="165"/>
      <c r="CB228" s="165"/>
      <c r="CC228" s="165"/>
      <c r="CD228" s="165"/>
      <c r="CE228" s="165"/>
      <c r="CF228" s="165"/>
      <c r="CG228" s="165"/>
      <c r="CH228" s="165"/>
      <c r="CI228" s="165"/>
      <c r="CJ228" s="165"/>
      <c r="CK228" s="165"/>
      <c r="CL228" s="165"/>
      <c r="CM228" s="165"/>
      <c r="CN228" s="165"/>
      <c r="CO228" s="165"/>
      <c r="CP228" s="165"/>
      <c r="CQ228" s="165"/>
      <c r="CR228" s="165"/>
      <c r="CS228" s="165"/>
      <c r="CT228" s="165"/>
      <c r="CU228" s="165"/>
      <c r="CV228" s="165"/>
      <c r="CW228" s="165"/>
      <c r="CX228" s="165"/>
      <c r="CY228" s="165"/>
      <c r="CZ228" s="165"/>
      <c r="DA228" s="165"/>
      <c r="DB228" s="165"/>
      <c r="DC228" s="165"/>
      <c r="DD228" s="165"/>
    </row>
    <row r="229" outlineLevel="1">
      <c r="A229" s="15"/>
      <c r="B229" s="174" t="s">
        <v>206</v>
      </c>
      <c r="C229" s="172">
        <v>696110.0</v>
      </c>
      <c r="D229" s="172">
        <v>693127.0</v>
      </c>
      <c r="E229" s="172">
        <v>647592.0</v>
      </c>
      <c r="F229" s="172">
        <v>600911.0</v>
      </c>
      <c r="G229" s="172">
        <v>259259.0</v>
      </c>
      <c r="H229" s="173">
        <v>231657.0</v>
      </c>
      <c r="I229" s="15"/>
      <c r="J229" s="174" t="s">
        <v>439</v>
      </c>
      <c r="K229" s="172">
        <v>4725.0</v>
      </c>
      <c r="L229" s="172">
        <v>2914.0</v>
      </c>
      <c r="M229" s="172">
        <v>2189.0</v>
      </c>
      <c r="N229" s="172">
        <v>6060.0</v>
      </c>
      <c r="O229" s="172">
        <v>5558.0</v>
      </c>
      <c r="P229" s="173">
        <v>2148.0</v>
      </c>
      <c r="Q229" s="15"/>
      <c r="R229" s="174" t="s">
        <v>202</v>
      </c>
      <c r="S229" s="172">
        <v>95679.0</v>
      </c>
      <c r="T229" s="172">
        <v>-24965.0</v>
      </c>
      <c r="U229" s="172">
        <v>129477.0</v>
      </c>
      <c r="V229" s="172">
        <v>129776.0</v>
      </c>
      <c r="W229" s="172">
        <v>78919.0</v>
      </c>
      <c r="X229" s="173">
        <v>-81011.0</v>
      </c>
      <c r="Y229" s="15"/>
      <c r="Z229" s="174" t="s">
        <v>216</v>
      </c>
      <c r="AA229" s="188">
        <v>0.4</v>
      </c>
      <c r="AB229" s="188">
        <v>0.54</v>
      </c>
      <c r="AC229" s="188" t="s">
        <v>209</v>
      </c>
      <c r="AD229" s="188" t="s">
        <v>209</v>
      </c>
      <c r="AE229" s="188" t="s">
        <v>209</v>
      </c>
      <c r="AF229" s="189" t="s">
        <v>209</v>
      </c>
      <c r="AG229" s="165"/>
      <c r="AH229" s="15" t="s">
        <v>273</v>
      </c>
      <c r="AI229" s="156">
        <v>1.33532301305E11</v>
      </c>
      <c r="AJ229" s="156">
        <v>6.4530595449E10</v>
      </c>
      <c r="AK229" s="156">
        <v>4.0641642007E10</v>
      </c>
      <c r="AL229" s="156">
        <v>2.3711063007E10</v>
      </c>
      <c r="AM229" s="156">
        <v>4.0641642007E10</v>
      </c>
      <c r="AN229" s="156">
        <v>2.3711063007E10</v>
      </c>
      <c r="AO229" s="165"/>
      <c r="AP229" s="165"/>
      <c r="AQ229" s="165"/>
      <c r="AR229" s="165"/>
      <c r="AS229" s="165"/>
      <c r="AT229" s="165"/>
      <c r="AU229" s="165"/>
      <c r="AV229" s="165"/>
      <c r="AW229" s="165"/>
      <c r="AX229" s="165"/>
      <c r="AY229" s="165"/>
      <c r="AZ229" s="165"/>
      <c r="BA229" s="165"/>
      <c r="BB229" s="165"/>
      <c r="BC229" s="165"/>
      <c r="BD229" s="165"/>
      <c r="BE229" s="165"/>
      <c r="BF229" s="165"/>
      <c r="BG229" s="165"/>
      <c r="BH229" s="165"/>
      <c r="BI229" s="165"/>
      <c r="BJ229" s="165"/>
      <c r="BK229" s="165"/>
      <c r="BL229" s="165"/>
      <c r="BM229" s="165"/>
      <c r="BN229" s="165"/>
      <c r="BO229" s="165"/>
      <c r="BP229" s="165"/>
      <c r="BQ229" s="165"/>
      <c r="BR229" s="165"/>
      <c r="BS229" s="165"/>
      <c r="BT229" s="165"/>
      <c r="BU229" s="165"/>
      <c r="BV229" s="165"/>
      <c r="BW229" s="165"/>
      <c r="BX229" s="165"/>
      <c r="BY229" s="165"/>
      <c r="BZ229" s="165"/>
      <c r="CA229" s="165"/>
      <c r="CB229" s="165"/>
      <c r="CC229" s="165"/>
      <c r="CD229" s="165"/>
      <c r="CE229" s="165"/>
      <c r="CF229" s="165"/>
      <c r="CG229" s="165"/>
      <c r="CH229" s="165"/>
      <c r="CI229" s="165"/>
      <c r="CJ229" s="165"/>
      <c r="CK229" s="165"/>
      <c r="CL229" s="165"/>
      <c r="CM229" s="165"/>
      <c r="CN229" s="165"/>
      <c r="CO229" s="165"/>
      <c r="CP229" s="165"/>
      <c r="CQ229" s="165"/>
      <c r="CR229" s="165"/>
      <c r="CS229" s="165"/>
      <c r="CT229" s="165"/>
      <c r="CU229" s="165"/>
      <c r="CV229" s="165"/>
      <c r="CW229" s="165"/>
      <c r="CX229" s="165"/>
      <c r="CY229" s="165"/>
      <c r="CZ229" s="165"/>
      <c r="DA229" s="165"/>
      <c r="DB229" s="165"/>
      <c r="DC229" s="165"/>
      <c r="DD229" s="165"/>
    </row>
    <row r="230" outlineLevel="1">
      <c r="A230" s="15"/>
      <c r="B230" s="174" t="s">
        <v>213</v>
      </c>
      <c r="C230" s="172">
        <v>13410.0</v>
      </c>
      <c r="D230" s="172">
        <v>14597.0</v>
      </c>
      <c r="E230" s="172">
        <v>6594.0</v>
      </c>
      <c r="F230" s="188" t="s">
        <v>209</v>
      </c>
      <c r="G230" s="188" t="s">
        <v>209</v>
      </c>
      <c r="H230" s="189" t="s">
        <v>209</v>
      </c>
      <c r="I230" s="15"/>
      <c r="J230" s="174" t="s">
        <v>207</v>
      </c>
      <c r="K230" s="172">
        <v>1230261.0</v>
      </c>
      <c r="L230" s="172">
        <v>1289446.0</v>
      </c>
      <c r="M230" s="172">
        <v>982659.0</v>
      </c>
      <c r="N230" s="172">
        <v>691400.0</v>
      </c>
      <c r="O230" s="172">
        <v>872839.0</v>
      </c>
      <c r="P230" s="173">
        <v>536910.0</v>
      </c>
      <c r="Q230" s="15"/>
      <c r="R230" s="157" t="s">
        <v>208</v>
      </c>
      <c r="S230" s="186" t="s">
        <v>209</v>
      </c>
      <c r="T230" s="186" t="s">
        <v>209</v>
      </c>
      <c r="U230" s="184">
        <v>-0.0023</v>
      </c>
      <c r="V230" s="185">
        <v>0.6444</v>
      </c>
      <c r="W230" s="186" t="s">
        <v>209</v>
      </c>
      <c r="X230" s="187" t="s">
        <v>209</v>
      </c>
      <c r="Y230" s="15"/>
      <c r="Z230" s="174" t="s">
        <v>223</v>
      </c>
      <c r="AA230" s="188">
        <v>1.57</v>
      </c>
      <c r="AB230" s="188">
        <v>2.06</v>
      </c>
      <c r="AC230" s="188" t="s">
        <v>209</v>
      </c>
      <c r="AD230" s="188" t="s">
        <v>209</v>
      </c>
      <c r="AE230" s="188" t="s">
        <v>209</v>
      </c>
      <c r="AF230" s="189" t="s">
        <v>209</v>
      </c>
      <c r="AG230" s="165"/>
      <c r="AH230" s="15" t="s">
        <v>440</v>
      </c>
      <c r="AI230" s="156">
        <v>3.080288181E9</v>
      </c>
      <c r="AJ230" s="156">
        <v>2.167259784E9</v>
      </c>
      <c r="AK230" s="156">
        <v>2.53047293E9</v>
      </c>
      <c r="AL230" s="156">
        <v>2.97732684E8</v>
      </c>
      <c r="AM230" s="156">
        <v>2.53047293E9</v>
      </c>
      <c r="AN230" s="156">
        <v>2.97732684E8</v>
      </c>
      <c r="AO230" s="165"/>
      <c r="AP230" s="165"/>
      <c r="AQ230" s="165"/>
      <c r="AR230" s="165"/>
      <c r="AS230" s="165"/>
      <c r="AT230" s="165"/>
      <c r="AU230" s="165"/>
      <c r="AV230" s="165"/>
      <c r="AW230" s="165"/>
      <c r="AX230" s="165"/>
      <c r="AY230" s="165"/>
      <c r="AZ230" s="165"/>
      <c r="BA230" s="165"/>
      <c r="BB230" s="165"/>
      <c r="BC230" s="165"/>
      <c r="BD230" s="165"/>
      <c r="BE230" s="165"/>
      <c r="BF230" s="165"/>
      <c r="BG230" s="165"/>
      <c r="BH230" s="165"/>
      <c r="BI230" s="165"/>
      <c r="BJ230" s="165"/>
      <c r="BK230" s="165"/>
      <c r="BL230" s="165"/>
      <c r="BM230" s="165"/>
      <c r="BN230" s="165"/>
      <c r="BO230" s="165"/>
      <c r="BP230" s="165"/>
      <c r="BQ230" s="165"/>
      <c r="BR230" s="165"/>
      <c r="BS230" s="165"/>
      <c r="BT230" s="165"/>
      <c r="BU230" s="165"/>
      <c r="BV230" s="165"/>
      <c r="BW230" s="165"/>
      <c r="BX230" s="165"/>
      <c r="BY230" s="165"/>
      <c r="BZ230" s="165"/>
      <c r="CA230" s="165"/>
      <c r="CB230" s="165"/>
      <c r="CC230" s="165"/>
      <c r="CD230" s="165"/>
      <c r="CE230" s="165"/>
      <c r="CF230" s="165"/>
      <c r="CG230" s="165"/>
      <c r="CH230" s="165"/>
      <c r="CI230" s="165"/>
      <c r="CJ230" s="165"/>
      <c r="CK230" s="165"/>
      <c r="CL230" s="165"/>
      <c r="CM230" s="165"/>
      <c r="CN230" s="165"/>
      <c r="CO230" s="165"/>
      <c r="CP230" s="165"/>
      <c r="CQ230" s="165"/>
      <c r="CR230" s="165"/>
      <c r="CS230" s="165"/>
      <c r="CT230" s="165"/>
      <c r="CU230" s="165"/>
      <c r="CV230" s="165"/>
      <c r="CW230" s="165"/>
      <c r="CX230" s="165"/>
      <c r="CY230" s="165"/>
      <c r="CZ230" s="165"/>
      <c r="DA230" s="165"/>
      <c r="DB230" s="165"/>
      <c r="DC230" s="165"/>
      <c r="DD230" s="165"/>
    </row>
    <row r="231" outlineLevel="1">
      <c r="A231" s="15"/>
      <c r="B231" s="174" t="s">
        <v>220</v>
      </c>
      <c r="C231" s="172">
        <v>709520.0</v>
      </c>
      <c r="D231" s="172">
        <v>707724.0</v>
      </c>
      <c r="E231" s="172">
        <v>654186.0</v>
      </c>
      <c r="F231" s="172">
        <v>600911.0</v>
      </c>
      <c r="G231" s="172">
        <v>259259.0</v>
      </c>
      <c r="H231" s="173">
        <v>231657.0</v>
      </c>
      <c r="I231" s="15"/>
      <c r="J231" s="174" t="s">
        <v>214</v>
      </c>
      <c r="K231" s="172">
        <v>1631847.0</v>
      </c>
      <c r="L231" s="172">
        <v>1629950.0</v>
      </c>
      <c r="M231" s="172">
        <v>929150.0</v>
      </c>
      <c r="N231" s="172">
        <v>962624.0</v>
      </c>
      <c r="O231" s="172">
        <v>937101.0</v>
      </c>
      <c r="P231" s="173">
        <v>271974.0</v>
      </c>
      <c r="Q231" s="15"/>
      <c r="R231" s="174" t="s">
        <v>215</v>
      </c>
      <c r="S231" s="172">
        <v>-107854.0</v>
      </c>
      <c r="T231" s="172">
        <v>-99089.0</v>
      </c>
      <c r="U231" s="172">
        <v>-163369.0</v>
      </c>
      <c r="V231" s="172">
        <v>-83898.0</v>
      </c>
      <c r="W231" s="172">
        <v>-36349.0</v>
      </c>
      <c r="X231" s="173">
        <v>-3120.0</v>
      </c>
      <c r="Y231" s="15"/>
      <c r="Z231" s="174" t="s">
        <v>230</v>
      </c>
      <c r="AA231" s="188">
        <v>1.62</v>
      </c>
      <c r="AB231" s="188">
        <v>2.13</v>
      </c>
      <c r="AC231" s="188" t="s">
        <v>209</v>
      </c>
      <c r="AD231" s="188" t="s">
        <v>209</v>
      </c>
      <c r="AE231" s="188" t="s">
        <v>209</v>
      </c>
      <c r="AF231" s="189" t="s">
        <v>209</v>
      </c>
      <c r="AG231" s="165"/>
      <c r="AH231" s="15" t="s">
        <v>441</v>
      </c>
      <c r="AI231" s="156">
        <v>-2.63343865E9</v>
      </c>
      <c r="AJ231" s="156">
        <v>-1.982018713E9</v>
      </c>
      <c r="AK231" s="156">
        <v>-2.519370582E9</v>
      </c>
      <c r="AL231" s="156">
        <v>-1.297732684E9</v>
      </c>
      <c r="AM231" s="156">
        <v>-2.519370582E9</v>
      </c>
      <c r="AN231" s="156">
        <v>-1.297732684E9</v>
      </c>
      <c r="AO231" s="165"/>
      <c r="AP231" s="165"/>
      <c r="AQ231" s="165"/>
      <c r="AR231" s="165"/>
      <c r="AS231" s="165"/>
      <c r="AT231" s="165"/>
      <c r="AU231" s="165"/>
      <c r="AV231" s="165"/>
      <c r="AW231" s="165"/>
      <c r="AX231" s="165"/>
      <c r="AY231" s="165"/>
      <c r="AZ231" s="165"/>
      <c r="BA231" s="165"/>
      <c r="BB231" s="165"/>
      <c r="BC231" s="165"/>
      <c r="BD231" s="165"/>
      <c r="BE231" s="165"/>
      <c r="BF231" s="165"/>
      <c r="BG231" s="165"/>
      <c r="BH231" s="165"/>
      <c r="BI231" s="165"/>
      <c r="BJ231" s="165"/>
      <c r="BK231" s="165"/>
      <c r="BL231" s="165"/>
      <c r="BM231" s="165"/>
      <c r="BN231" s="165"/>
      <c r="BO231" s="165"/>
      <c r="BP231" s="165"/>
      <c r="BQ231" s="165"/>
      <c r="BR231" s="165"/>
      <c r="BS231" s="165"/>
      <c r="BT231" s="165"/>
      <c r="BU231" s="165"/>
      <c r="BV231" s="165"/>
      <c r="BW231" s="165"/>
      <c r="BX231" s="165"/>
      <c r="BY231" s="165"/>
      <c r="BZ231" s="165"/>
      <c r="CA231" s="165"/>
      <c r="CB231" s="165"/>
      <c r="CC231" s="165"/>
      <c r="CD231" s="165"/>
      <c r="CE231" s="165"/>
      <c r="CF231" s="165"/>
      <c r="CG231" s="165"/>
      <c r="CH231" s="165"/>
      <c r="CI231" s="165"/>
      <c r="CJ231" s="165"/>
      <c r="CK231" s="165"/>
      <c r="CL231" s="165"/>
      <c r="CM231" s="165"/>
      <c r="CN231" s="165"/>
      <c r="CO231" s="165"/>
      <c r="CP231" s="165"/>
      <c r="CQ231" s="165"/>
      <c r="CR231" s="165"/>
      <c r="CS231" s="165"/>
      <c r="CT231" s="165"/>
      <c r="CU231" s="165"/>
      <c r="CV231" s="165"/>
      <c r="CW231" s="165"/>
      <c r="CX231" s="165"/>
      <c r="CY231" s="165"/>
      <c r="CZ231" s="165"/>
      <c r="DA231" s="165"/>
      <c r="DB231" s="165"/>
      <c r="DC231" s="165"/>
      <c r="DD231" s="165"/>
    </row>
    <row r="232" outlineLevel="1">
      <c r="A232" s="15"/>
      <c r="B232" s="174" t="s">
        <v>227</v>
      </c>
      <c r="C232" s="180">
        <v>442308.0</v>
      </c>
      <c r="D232" s="180">
        <v>401652.0</v>
      </c>
      <c r="E232" s="180">
        <v>278825.0</v>
      </c>
      <c r="F232" s="180">
        <v>104468.0</v>
      </c>
      <c r="G232" s="180">
        <v>122531.0</v>
      </c>
      <c r="H232" s="181">
        <v>115736.0</v>
      </c>
      <c r="I232" s="15"/>
      <c r="J232" s="174" t="s">
        <v>221</v>
      </c>
      <c r="K232" s="188" t="s">
        <v>209</v>
      </c>
      <c r="L232" s="188" t="s">
        <v>209</v>
      </c>
      <c r="M232" s="188" t="s">
        <v>209</v>
      </c>
      <c r="N232" s="188" t="s">
        <v>209</v>
      </c>
      <c r="O232" s="172">
        <v>3661.0</v>
      </c>
      <c r="P232" s="173">
        <v>1394.0</v>
      </c>
      <c r="Q232" s="15"/>
      <c r="R232" s="174" t="s">
        <v>222</v>
      </c>
      <c r="S232" s="172">
        <v>2938.0</v>
      </c>
      <c r="T232" s="172">
        <v>2659.0</v>
      </c>
      <c r="U232" s="172">
        <v>2776.0</v>
      </c>
      <c r="V232" s="172">
        <v>3850.0</v>
      </c>
      <c r="W232" s="172">
        <v>3034.0</v>
      </c>
      <c r="X232" s="173">
        <v>3548.0</v>
      </c>
      <c r="Y232" s="15"/>
      <c r="Z232" s="174" t="s">
        <v>250</v>
      </c>
      <c r="AA232" s="188">
        <v>0.67</v>
      </c>
      <c r="AB232" s="188">
        <v>0.81</v>
      </c>
      <c r="AC232" s="188" t="s">
        <v>209</v>
      </c>
      <c r="AD232" s="188" t="s">
        <v>209</v>
      </c>
      <c r="AE232" s="188" t="s">
        <v>209</v>
      </c>
      <c r="AF232" s="189" t="s">
        <v>209</v>
      </c>
      <c r="AG232" s="165"/>
      <c r="AH232" s="15" t="s">
        <v>442</v>
      </c>
      <c r="AI232" s="156">
        <v>1.33979150836E11</v>
      </c>
      <c r="AJ232" s="156">
        <v>6.471583652E10</v>
      </c>
      <c r="AK232" s="156">
        <v>4.0652744355E10</v>
      </c>
      <c r="AL232" s="156">
        <v>2.2711063007E10</v>
      </c>
      <c r="AM232" s="156">
        <v>4.0652744355E10</v>
      </c>
      <c r="AN232" s="156">
        <v>2.2711063007E10</v>
      </c>
      <c r="AO232" s="165"/>
      <c r="AP232" s="165"/>
      <c r="AQ232" s="165"/>
      <c r="AR232" s="165"/>
      <c r="AS232" s="165"/>
      <c r="AT232" s="165"/>
      <c r="AU232" s="165"/>
      <c r="AV232" s="165"/>
      <c r="AW232" s="165"/>
      <c r="AX232" s="179"/>
      <c r="AY232" s="179"/>
      <c r="AZ232" s="165"/>
      <c r="BA232" s="165"/>
      <c r="BB232" s="165"/>
      <c r="BC232" s="165"/>
      <c r="BD232" s="165"/>
      <c r="BE232" s="165"/>
      <c r="BF232" s="165"/>
      <c r="BG232" s="165"/>
      <c r="BH232" s="165"/>
      <c r="BI232" s="165"/>
      <c r="BJ232" s="165"/>
      <c r="BK232" s="165"/>
      <c r="BL232" s="165"/>
      <c r="BM232" s="165"/>
      <c r="BN232" s="165"/>
      <c r="BO232" s="165"/>
      <c r="BP232" s="165"/>
      <c r="BQ232" s="165"/>
      <c r="BR232" s="165"/>
      <c r="BS232" s="165"/>
      <c r="BT232" s="165"/>
      <c r="BU232" s="165"/>
      <c r="BV232" s="165"/>
      <c r="BW232" s="165"/>
      <c r="BX232" s="165"/>
      <c r="BY232" s="165"/>
      <c r="BZ232" s="165"/>
      <c r="CA232" s="165"/>
      <c r="CB232" s="165"/>
      <c r="CC232" s="165"/>
      <c r="CD232" s="165"/>
      <c r="CE232" s="165"/>
      <c r="CF232" s="165"/>
      <c r="CG232" s="165"/>
      <c r="CH232" s="165"/>
      <c r="CI232" s="165"/>
      <c r="CJ232" s="165"/>
      <c r="CK232" s="165"/>
      <c r="CL232" s="165"/>
      <c r="CM232" s="165"/>
      <c r="CN232" s="165"/>
      <c r="CO232" s="165"/>
      <c r="CP232" s="165"/>
      <c r="CQ232" s="165"/>
      <c r="CR232" s="165"/>
      <c r="CS232" s="165"/>
      <c r="CT232" s="165"/>
      <c r="CU232" s="165"/>
      <c r="CV232" s="165"/>
      <c r="CW232" s="165"/>
      <c r="CX232" s="165"/>
      <c r="CY232" s="165"/>
      <c r="CZ232" s="165"/>
      <c r="DA232" s="165"/>
      <c r="DB232" s="165"/>
      <c r="DC232" s="165"/>
      <c r="DD232" s="165"/>
    </row>
    <row r="233" outlineLevel="1">
      <c r="A233" s="15"/>
      <c r="B233" s="174" t="s">
        <v>234</v>
      </c>
      <c r="C233" s="172">
        <v>-93122.0</v>
      </c>
      <c r="D233" s="172">
        <v>-82309.0</v>
      </c>
      <c r="E233" s="172">
        <v>-69114.0</v>
      </c>
      <c r="F233" s="172">
        <v>-43992.0</v>
      </c>
      <c r="G233" s="172">
        <v>-16823.0</v>
      </c>
      <c r="H233" s="173">
        <v>-4881.0</v>
      </c>
      <c r="I233" s="15"/>
      <c r="J233" s="174" t="s">
        <v>228</v>
      </c>
      <c r="K233" s="172">
        <v>148392.0</v>
      </c>
      <c r="L233" s="172">
        <v>131078.0</v>
      </c>
      <c r="M233" s="172">
        <v>102633.0</v>
      </c>
      <c r="N233" s="172">
        <v>68301.0</v>
      </c>
      <c r="O233" s="172">
        <v>24079.0</v>
      </c>
      <c r="P233" s="173">
        <v>7364.0</v>
      </c>
      <c r="Q233" s="15"/>
      <c r="R233" s="174" t="s">
        <v>443</v>
      </c>
      <c r="S233" s="188" t="s">
        <v>209</v>
      </c>
      <c r="T233" s="188" t="s">
        <v>209</v>
      </c>
      <c r="U233" s="188" t="s">
        <v>209</v>
      </c>
      <c r="V233" s="172">
        <v>85964.0</v>
      </c>
      <c r="W233" s="172">
        <v>-44672.0</v>
      </c>
      <c r="X233" s="189" t="s">
        <v>209</v>
      </c>
      <c r="Y233" s="15"/>
      <c r="Z233" s="174" t="s">
        <v>257</v>
      </c>
      <c r="AA233" s="188">
        <v>5.99</v>
      </c>
      <c r="AB233" s="188">
        <v>7.75</v>
      </c>
      <c r="AC233" s="188" t="s">
        <v>209</v>
      </c>
      <c r="AD233" s="188" t="s">
        <v>209</v>
      </c>
      <c r="AE233" s="188" t="s">
        <v>209</v>
      </c>
      <c r="AF233" s="189" t="s">
        <v>209</v>
      </c>
      <c r="AG233" s="165"/>
      <c r="AH233" s="15" t="s">
        <v>444</v>
      </c>
      <c r="AI233" s="156">
        <v>5.2290500019E10</v>
      </c>
      <c r="AJ233" s="156">
        <v>3.9372516512E10</v>
      </c>
      <c r="AK233" s="156">
        <v>2.3417212861E10</v>
      </c>
      <c r="AL233" s="156">
        <v>1.3206068628E10</v>
      </c>
      <c r="AM233" s="156">
        <v>2.3417212861E10</v>
      </c>
      <c r="AN233" s="156">
        <v>1.3206068628E10</v>
      </c>
      <c r="AO233" s="165"/>
      <c r="AP233" s="165"/>
      <c r="AQ233" s="165"/>
      <c r="AR233" s="165"/>
      <c r="AS233" s="165"/>
      <c r="AT233" s="165"/>
      <c r="AU233" s="165"/>
      <c r="AV233" s="165"/>
      <c r="AW233" s="165"/>
      <c r="AX233" s="179"/>
      <c r="AY233" s="179"/>
      <c r="AZ233" s="165"/>
      <c r="BA233" s="165"/>
      <c r="BB233" s="165"/>
      <c r="BC233" s="165"/>
      <c r="BD233" s="165"/>
      <c r="BE233" s="165"/>
      <c r="BF233" s="165"/>
      <c r="BG233" s="165"/>
      <c r="BH233" s="165"/>
      <c r="BI233" s="165"/>
      <c r="BJ233" s="165"/>
      <c r="BK233" s="165"/>
      <c r="BL233" s="165"/>
      <c r="BM233" s="165"/>
      <c r="BN233" s="165"/>
      <c r="BO233" s="165"/>
      <c r="BP233" s="165"/>
      <c r="BQ233" s="165"/>
      <c r="BR233" s="165"/>
      <c r="BS233" s="165"/>
      <c r="BT233" s="165"/>
      <c r="BU233" s="165"/>
      <c r="BV233" s="165"/>
      <c r="BW233" s="165"/>
      <c r="BX233" s="165"/>
      <c r="BY233" s="165"/>
      <c r="BZ233" s="165"/>
      <c r="CA233" s="165"/>
      <c r="CB233" s="165"/>
      <c r="CC233" s="165"/>
      <c r="CD233" s="165"/>
      <c r="CE233" s="165"/>
      <c r="CF233" s="165"/>
      <c r="CG233" s="165"/>
      <c r="CH233" s="165"/>
      <c r="CI233" s="165"/>
      <c r="CJ233" s="165"/>
      <c r="CK233" s="165"/>
      <c r="CL233" s="165"/>
      <c r="CM233" s="165"/>
      <c r="CN233" s="165"/>
      <c r="CO233" s="165"/>
      <c r="CP233" s="165"/>
      <c r="CQ233" s="165"/>
      <c r="CR233" s="165"/>
      <c r="CS233" s="165"/>
      <c r="CT233" s="165"/>
      <c r="CU233" s="165"/>
      <c r="CV233" s="165"/>
      <c r="CW233" s="165"/>
      <c r="CX233" s="165"/>
      <c r="CY233" s="165"/>
      <c r="CZ233" s="165"/>
      <c r="DA233" s="165"/>
      <c r="DB233" s="165"/>
      <c r="DC233" s="165"/>
      <c r="DD233" s="165"/>
    </row>
    <row r="234" outlineLevel="1">
      <c r="A234" s="15"/>
      <c r="B234" s="174" t="s">
        <v>241</v>
      </c>
      <c r="C234" s="188" t="s">
        <v>209</v>
      </c>
      <c r="D234" s="188">
        <v>793.0</v>
      </c>
      <c r="E234" s="188">
        <v>278.0</v>
      </c>
      <c r="F234" s="188">
        <v>229.0</v>
      </c>
      <c r="G234" s="188">
        <v>78.0</v>
      </c>
      <c r="H234" s="189">
        <v>92.0</v>
      </c>
      <c r="I234" s="15"/>
      <c r="J234" s="174" t="s">
        <v>235</v>
      </c>
      <c r="K234" s="180">
        <v>3064346.0</v>
      </c>
      <c r="L234" s="180">
        <v>3180012.0</v>
      </c>
      <c r="M234" s="180">
        <v>2077520.0</v>
      </c>
      <c r="N234" s="180">
        <v>1766263.0</v>
      </c>
      <c r="O234" s="180">
        <v>1861065.0</v>
      </c>
      <c r="P234" s="181">
        <v>833741.0</v>
      </c>
      <c r="Q234" s="15"/>
      <c r="R234" s="174" t="s">
        <v>445</v>
      </c>
      <c r="S234" s="188" t="s">
        <v>209</v>
      </c>
      <c r="T234" s="188" t="s">
        <v>209</v>
      </c>
      <c r="U234" s="172">
        <v>30440.0</v>
      </c>
      <c r="V234" s="188">
        <v>-280.0</v>
      </c>
      <c r="W234" s="188" t="s">
        <v>209</v>
      </c>
      <c r="X234" s="189" t="s">
        <v>209</v>
      </c>
      <c r="Y234" s="15"/>
      <c r="Z234" s="174" t="s">
        <v>264</v>
      </c>
      <c r="AA234" s="188">
        <v>6.72</v>
      </c>
      <c r="AB234" s="188">
        <v>8.35</v>
      </c>
      <c r="AC234" s="188" t="s">
        <v>209</v>
      </c>
      <c r="AD234" s="188" t="s">
        <v>209</v>
      </c>
      <c r="AE234" s="188" t="s">
        <v>209</v>
      </c>
      <c r="AF234" s="189" t="s">
        <v>209</v>
      </c>
      <c r="AG234" s="165"/>
      <c r="AH234" s="15" t="s">
        <v>446</v>
      </c>
      <c r="AI234" s="156">
        <v>-6.5981350095E10</v>
      </c>
      <c r="AJ234" s="156">
        <v>-5.1261256691E10</v>
      </c>
      <c r="AK234" s="156">
        <v>-2.5049377223E10</v>
      </c>
      <c r="AL234" s="156">
        <v>-8.373025534E9</v>
      </c>
      <c r="AM234" s="156">
        <v>-2.5049377223E10</v>
      </c>
      <c r="AN234" s="156">
        <v>-8.373025534E9</v>
      </c>
      <c r="AO234" s="165"/>
      <c r="AP234" s="165"/>
      <c r="AQ234" s="165"/>
      <c r="AR234" s="165"/>
      <c r="AS234" s="165"/>
      <c r="AT234" s="165"/>
      <c r="AU234" s="165"/>
      <c r="AV234" s="165"/>
      <c r="AW234" s="165"/>
      <c r="AX234" s="165"/>
      <c r="AY234" s="165"/>
      <c r="AZ234" s="165"/>
      <c r="BA234" s="165"/>
      <c r="BB234" s="165"/>
      <c r="BC234" s="165"/>
      <c r="BD234" s="165"/>
      <c r="BE234" s="165"/>
      <c r="BF234" s="165"/>
      <c r="BG234" s="165"/>
      <c r="BH234" s="165"/>
      <c r="BI234" s="165"/>
      <c r="BJ234" s="165"/>
      <c r="BK234" s="165"/>
      <c r="BL234" s="165"/>
      <c r="BM234" s="165"/>
      <c r="BN234" s="165"/>
      <c r="BO234" s="165"/>
      <c r="BP234" s="165"/>
      <c r="BQ234" s="165"/>
      <c r="BR234" s="165"/>
      <c r="BS234" s="165"/>
      <c r="BT234" s="165"/>
      <c r="BU234" s="165"/>
      <c r="BV234" s="165"/>
      <c r="BW234" s="165"/>
      <c r="BX234" s="165"/>
      <c r="BY234" s="165"/>
      <c r="BZ234" s="165"/>
      <c r="CA234" s="165"/>
      <c r="CB234" s="165"/>
      <c r="CC234" s="165"/>
      <c r="CD234" s="165"/>
      <c r="CE234" s="165"/>
      <c r="CF234" s="165"/>
      <c r="CG234" s="165"/>
      <c r="CH234" s="165"/>
      <c r="CI234" s="165"/>
      <c r="CJ234" s="165"/>
      <c r="CK234" s="165"/>
      <c r="CL234" s="165"/>
      <c r="CM234" s="165"/>
      <c r="CN234" s="165"/>
      <c r="CO234" s="165"/>
      <c r="CP234" s="165"/>
      <c r="CQ234" s="165"/>
      <c r="CR234" s="165"/>
      <c r="CS234" s="165"/>
      <c r="CT234" s="165"/>
      <c r="CU234" s="165"/>
      <c r="CV234" s="165"/>
      <c r="CW234" s="165"/>
      <c r="CX234" s="165"/>
      <c r="CY234" s="165"/>
      <c r="CZ234" s="165"/>
      <c r="DA234" s="165"/>
      <c r="DB234" s="165"/>
      <c r="DC234" s="165"/>
      <c r="DD234" s="165"/>
    </row>
    <row r="235" outlineLevel="1">
      <c r="A235" s="15"/>
      <c r="B235" s="174" t="s">
        <v>247</v>
      </c>
      <c r="C235" s="172">
        <v>-26701.0</v>
      </c>
      <c r="D235" s="172">
        <v>-27549.0</v>
      </c>
      <c r="E235" s="172">
        <v>-17268.0</v>
      </c>
      <c r="F235" s="172">
        <v>3945.0</v>
      </c>
      <c r="G235" s="172">
        <v>-15081.0</v>
      </c>
      <c r="H235" s="173">
        <v>-1946.0</v>
      </c>
      <c r="I235" s="15"/>
      <c r="J235" s="174" t="s">
        <v>242</v>
      </c>
      <c r="K235" s="172">
        <v>585147.0</v>
      </c>
      <c r="L235" s="172">
        <v>584544.0</v>
      </c>
      <c r="M235" s="172">
        <v>577441.0</v>
      </c>
      <c r="N235" s="172">
        <v>442584.0</v>
      </c>
      <c r="O235" s="172">
        <v>183918.0</v>
      </c>
      <c r="P235" s="173">
        <v>79667.0</v>
      </c>
      <c r="Q235" s="15"/>
      <c r="R235" s="174" t="s">
        <v>229</v>
      </c>
      <c r="S235" s="188" t="s">
        <v>209</v>
      </c>
      <c r="T235" s="188" t="s">
        <v>209</v>
      </c>
      <c r="U235" s="188" t="s">
        <v>209</v>
      </c>
      <c r="V235" s="188" t="s">
        <v>209</v>
      </c>
      <c r="W235" s="172">
        <v>-30200.0</v>
      </c>
      <c r="X235" s="189" t="s">
        <v>209</v>
      </c>
      <c r="Y235" s="15"/>
      <c r="Z235" s="174" t="s">
        <v>277</v>
      </c>
      <c r="AA235" s="188">
        <v>1.05</v>
      </c>
      <c r="AB235" s="188">
        <v>1.03</v>
      </c>
      <c r="AC235" s="188">
        <v>1.28</v>
      </c>
      <c r="AD235" s="188">
        <v>1.14</v>
      </c>
      <c r="AE235" s="188">
        <v>1.45</v>
      </c>
      <c r="AF235" s="189">
        <v>0.8</v>
      </c>
      <c r="AG235" s="165"/>
      <c r="AH235" s="15" t="s">
        <v>447</v>
      </c>
      <c r="AI235" s="156">
        <v>1.2028830076E11</v>
      </c>
      <c r="AJ235" s="156">
        <v>5.2827096341E10</v>
      </c>
      <c r="AK235" s="156">
        <v>3.9020579993E10</v>
      </c>
      <c r="AL235" s="156">
        <v>2.7544106101E10</v>
      </c>
      <c r="AM235" s="156">
        <v>3.9020579993E10</v>
      </c>
      <c r="AN235" s="156">
        <v>2.7544106101E10</v>
      </c>
      <c r="AO235" s="165"/>
      <c r="AP235" s="165"/>
      <c r="AQ235" s="165"/>
      <c r="AR235" s="165"/>
      <c r="AS235" s="165"/>
      <c r="AT235" s="165"/>
      <c r="AU235" s="165"/>
      <c r="AV235" s="165"/>
      <c r="AW235" s="165"/>
      <c r="AX235" s="165"/>
      <c r="AY235" s="165"/>
      <c r="AZ235" s="165"/>
      <c r="BA235" s="165"/>
      <c r="BB235" s="165"/>
      <c r="BC235" s="165"/>
      <c r="BD235" s="165"/>
      <c r="BE235" s="165"/>
      <c r="BF235" s="165"/>
      <c r="BG235" s="165"/>
      <c r="BH235" s="165"/>
      <c r="BI235" s="165"/>
      <c r="BJ235" s="165"/>
      <c r="BK235" s="165"/>
      <c r="BL235" s="165"/>
      <c r="BM235" s="165"/>
      <c r="BN235" s="165"/>
      <c r="BO235" s="165"/>
      <c r="BP235" s="165"/>
      <c r="BQ235" s="165"/>
      <c r="BR235" s="165"/>
      <c r="BS235" s="165"/>
      <c r="BT235" s="165"/>
      <c r="BU235" s="165"/>
      <c r="BV235" s="165"/>
      <c r="BW235" s="165"/>
      <c r="BX235" s="165"/>
      <c r="BY235" s="165"/>
      <c r="BZ235" s="165"/>
      <c r="CA235" s="165"/>
      <c r="CB235" s="165"/>
      <c r="CC235" s="165"/>
      <c r="CD235" s="165"/>
      <c r="CE235" s="165"/>
      <c r="CF235" s="165"/>
      <c r="CG235" s="165"/>
      <c r="CH235" s="165"/>
      <c r="CI235" s="165"/>
      <c r="CJ235" s="165"/>
      <c r="CK235" s="165"/>
      <c r="CL235" s="165"/>
      <c r="CM235" s="165"/>
      <c r="CN235" s="165"/>
      <c r="CO235" s="165"/>
      <c r="CP235" s="165"/>
      <c r="CQ235" s="165"/>
      <c r="CR235" s="165"/>
      <c r="CS235" s="165"/>
      <c r="CT235" s="165"/>
      <c r="CU235" s="165"/>
      <c r="CV235" s="165"/>
      <c r="CW235" s="165"/>
      <c r="CX235" s="165"/>
      <c r="CY235" s="165"/>
      <c r="CZ235" s="165"/>
      <c r="DA235" s="165"/>
      <c r="DB235" s="165"/>
      <c r="DC235" s="165"/>
      <c r="DD235" s="165"/>
    </row>
    <row r="236" outlineLevel="1">
      <c r="A236" s="15"/>
      <c r="B236" s="174" t="s">
        <v>254</v>
      </c>
      <c r="C236" s="172">
        <v>3643.0</v>
      </c>
      <c r="D236" s="172">
        <v>3239.0</v>
      </c>
      <c r="E236" s="172">
        <v>5454.0</v>
      </c>
      <c r="F236" s="172">
        <v>-2409.0</v>
      </c>
      <c r="G236" s="172">
        <v>-5305.0</v>
      </c>
      <c r="H236" s="189">
        <v>-357.0</v>
      </c>
      <c r="I236" s="15"/>
      <c r="J236" s="174" t="s">
        <v>448</v>
      </c>
      <c r="K236" s="188" t="s">
        <v>209</v>
      </c>
      <c r="L236" s="188" t="s">
        <v>209</v>
      </c>
      <c r="M236" s="172">
        <v>2268.0</v>
      </c>
      <c r="N236" s="172">
        <v>2268.0</v>
      </c>
      <c r="O236" s="172">
        <v>2268.0</v>
      </c>
      <c r="P236" s="189" t="s">
        <v>209</v>
      </c>
      <c r="Q236" s="15"/>
      <c r="R236" s="174" t="s">
        <v>449</v>
      </c>
      <c r="S236" s="188" t="s">
        <v>209</v>
      </c>
      <c r="T236" s="188" t="s">
        <v>209</v>
      </c>
      <c r="U236" s="188" t="s">
        <v>209</v>
      </c>
      <c r="V236" s="188">
        <v>-824.0</v>
      </c>
      <c r="W236" s="188">
        <v>-20.0</v>
      </c>
      <c r="X236" s="189">
        <v>-20.0</v>
      </c>
      <c r="Y236" s="15"/>
      <c r="Z236" s="174" t="s">
        <v>284</v>
      </c>
      <c r="AA236" s="188">
        <v>2.42</v>
      </c>
      <c r="AB236" s="188">
        <v>2.44</v>
      </c>
      <c r="AC236" s="188">
        <v>3.07</v>
      </c>
      <c r="AD236" s="188">
        <v>5.36</v>
      </c>
      <c r="AE236" s="188">
        <v>5.13</v>
      </c>
      <c r="AF236" s="189">
        <v>1.52</v>
      </c>
      <c r="AG236" s="165"/>
      <c r="AH236" s="15" t="s">
        <v>450</v>
      </c>
      <c r="AI236" s="156">
        <v>5.305406309E9</v>
      </c>
      <c r="AJ236" s="156">
        <v>1.388317744E9</v>
      </c>
      <c r="AK236" s="156">
        <v>2.10130036E8</v>
      </c>
      <c r="AL236" s="156">
        <v>1.1254861E7</v>
      </c>
      <c r="AM236" s="156">
        <v>2.10130036E8</v>
      </c>
      <c r="AN236" s="156">
        <v>1.1254861E7</v>
      </c>
      <c r="AO236" s="165"/>
      <c r="AP236" s="165"/>
      <c r="AQ236" s="165"/>
      <c r="AR236" s="165"/>
      <c r="AS236" s="165"/>
      <c r="AT236" s="165"/>
      <c r="AU236" s="165"/>
      <c r="AV236" s="165"/>
      <c r="AW236" s="165"/>
      <c r="AX236" s="179"/>
      <c r="AY236" s="179"/>
      <c r="AZ236" s="165"/>
      <c r="BA236" s="165"/>
      <c r="BB236" s="165"/>
      <c r="BC236" s="165"/>
      <c r="BD236" s="165"/>
      <c r="BE236" s="165"/>
      <c r="BF236" s="165"/>
      <c r="BG236" s="165"/>
      <c r="BH236" s="165"/>
      <c r="BI236" s="165"/>
      <c r="BJ236" s="165"/>
      <c r="BK236" s="165"/>
      <c r="BL236" s="165"/>
      <c r="BM236" s="165"/>
      <c r="BN236" s="165"/>
      <c r="BO236" s="165"/>
      <c r="BP236" s="165"/>
      <c r="BQ236" s="165"/>
      <c r="BR236" s="165"/>
      <c r="BS236" s="165"/>
      <c r="BT236" s="165"/>
      <c r="BU236" s="165"/>
      <c r="BV236" s="165"/>
      <c r="BW236" s="165"/>
      <c r="BX236" s="165"/>
      <c r="BY236" s="165"/>
      <c r="BZ236" s="165"/>
      <c r="CA236" s="165"/>
      <c r="CB236" s="165"/>
      <c r="CC236" s="165"/>
      <c r="CD236" s="165"/>
      <c r="CE236" s="165"/>
      <c r="CF236" s="165"/>
      <c r="CG236" s="165"/>
      <c r="CH236" s="165"/>
      <c r="CI236" s="165"/>
      <c r="CJ236" s="165"/>
      <c r="CK236" s="165"/>
      <c r="CL236" s="165"/>
      <c r="CM236" s="165"/>
      <c r="CN236" s="165"/>
      <c r="CO236" s="165"/>
      <c r="CP236" s="165"/>
      <c r="CQ236" s="165"/>
      <c r="CR236" s="165"/>
      <c r="CS236" s="165"/>
      <c r="CT236" s="165"/>
      <c r="CU236" s="165"/>
      <c r="CV236" s="165"/>
      <c r="CW236" s="165"/>
      <c r="CX236" s="165"/>
      <c r="CY236" s="165"/>
      <c r="CZ236" s="165"/>
      <c r="DA236" s="165"/>
      <c r="DB236" s="165"/>
      <c r="DC236" s="165"/>
      <c r="DD236" s="165"/>
    </row>
    <row r="237" outlineLevel="1">
      <c r="A237" s="15"/>
      <c r="B237" s="174" t="s">
        <v>261</v>
      </c>
      <c r="C237" s="172">
        <v>326128.0</v>
      </c>
      <c r="D237" s="172">
        <v>295826.0</v>
      </c>
      <c r="E237" s="172">
        <v>198175.0</v>
      </c>
      <c r="F237" s="172">
        <v>62241.0</v>
      </c>
      <c r="G237" s="172">
        <v>85400.0</v>
      </c>
      <c r="H237" s="173">
        <v>108644.0</v>
      </c>
      <c r="I237" s="15"/>
      <c r="J237" s="174" t="s">
        <v>451</v>
      </c>
      <c r="K237" s="172">
        <v>2048.0</v>
      </c>
      <c r="L237" s="172">
        <v>2272.0</v>
      </c>
      <c r="M237" s="172">
        <v>3940.0</v>
      </c>
      <c r="N237" s="172">
        <v>5398.0</v>
      </c>
      <c r="O237" s="172">
        <v>6938.0</v>
      </c>
      <c r="P237" s="189" t="s">
        <v>209</v>
      </c>
      <c r="Q237" s="15"/>
      <c r="R237" s="174" t="s">
        <v>236</v>
      </c>
      <c r="S237" s="180">
        <v>-104916.0</v>
      </c>
      <c r="T237" s="180">
        <v>-96430.0</v>
      </c>
      <c r="U237" s="180">
        <v>-130153.0</v>
      </c>
      <c r="V237" s="180">
        <v>4812.0</v>
      </c>
      <c r="W237" s="180">
        <v>-108207.0</v>
      </c>
      <c r="X237" s="183">
        <v>408.0</v>
      </c>
      <c r="Y237" s="15"/>
      <c r="Z237" s="174" t="s">
        <v>289</v>
      </c>
      <c r="AA237" s="188" t="s">
        <v>209</v>
      </c>
      <c r="AB237" s="188" t="s">
        <v>209</v>
      </c>
      <c r="AC237" s="188" t="s">
        <v>209</v>
      </c>
      <c r="AD237" s="188">
        <v>17.91</v>
      </c>
      <c r="AE237" s="188">
        <v>18.34</v>
      </c>
      <c r="AF237" s="189" t="s">
        <v>209</v>
      </c>
      <c r="AG237" s="165"/>
      <c r="AH237" s="15" t="s">
        <v>452</v>
      </c>
      <c r="AI237" s="156">
        <v>2.439534758E9</v>
      </c>
      <c r="AJ237" s="156">
        <v>2.037547296E9</v>
      </c>
      <c r="AK237" s="156">
        <v>1.944653032E9</v>
      </c>
      <c r="AL237" s="156">
        <v>1.471798379E9</v>
      </c>
      <c r="AM237" s="156">
        <v>1.944653032E9</v>
      </c>
      <c r="AN237" s="156">
        <v>1.471798379E9</v>
      </c>
      <c r="AO237" s="165"/>
      <c r="AP237" s="165"/>
      <c r="AQ237" s="165"/>
      <c r="AR237" s="165"/>
      <c r="AS237" s="165"/>
      <c r="AT237" s="165"/>
      <c r="AU237" s="165"/>
      <c r="AV237" s="165"/>
      <c r="AW237" s="165"/>
      <c r="AX237" s="165"/>
      <c r="AY237" s="165"/>
      <c r="AZ237" s="165"/>
      <c r="BA237" s="165"/>
      <c r="BB237" s="165"/>
      <c r="BC237" s="165"/>
      <c r="BD237" s="165"/>
      <c r="BE237" s="165"/>
      <c r="BF237" s="165"/>
      <c r="BG237" s="165"/>
      <c r="BH237" s="165"/>
      <c r="BI237" s="165"/>
      <c r="BJ237" s="165"/>
      <c r="BK237" s="165"/>
      <c r="BL237" s="165"/>
      <c r="BM237" s="165"/>
      <c r="BN237" s="165"/>
      <c r="BO237" s="165"/>
      <c r="BP237" s="165"/>
      <c r="BQ237" s="165"/>
      <c r="BR237" s="165"/>
      <c r="BS237" s="165"/>
      <c r="BT237" s="165"/>
      <c r="BU237" s="165"/>
      <c r="BV237" s="165"/>
      <c r="BW237" s="165"/>
      <c r="BX237" s="165"/>
      <c r="BY237" s="165"/>
      <c r="BZ237" s="165"/>
      <c r="CA237" s="165"/>
      <c r="CB237" s="165"/>
      <c r="CC237" s="165"/>
      <c r="CD237" s="165"/>
      <c r="CE237" s="165"/>
      <c r="CF237" s="165"/>
      <c r="CG237" s="165"/>
      <c r="CH237" s="165"/>
      <c r="CI237" s="165"/>
      <c r="CJ237" s="165"/>
      <c r="CK237" s="165"/>
      <c r="CL237" s="165"/>
      <c r="CM237" s="165"/>
      <c r="CN237" s="165"/>
      <c r="CO237" s="165"/>
      <c r="CP237" s="165"/>
      <c r="CQ237" s="165"/>
      <c r="CR237" s="165"/>
      <c r="CS237" s="165"/>
      <c r="CT237" s="165"/>
      <c r="CU237" s="165"/>
      <c r="CV237" s="165"/>
      <c r="CW237" s="165"/>
      <c r="CX237" s="165"/>
      <c r="CY237" s="165"/>
      <c r="CZ237" s="165"/>
      <c r="DA237" s="165"/>
      <c r="DB237" s="165"/>
      <c r="DC237" s="165"/>
      <c r="DD237" s="165"/>
    </row>
    <row r="238" outlineLevel="1">
      <c r="A238" s="15"/>
      <c r="B238" s="174" t="s">
        <v>268</v>
      </c>
      <c r="C238" s="188" t="s">
        <v>209</v>
      </c>
      <c r="D238" s="188" t="s">
        <v>209</v>
      </c>
      <c r="E238" s="172">
        <v>14205.0</v>
      </c>
      <c r="F238" s="188" t="s">
        <v>209</v>
      </c>
      <c r="G238" s="188" t="s">
        <v>209</v>
      </c>
      <c r="H238" s="189" t="s">
        <v>209</v>
      </c>
      <c r="I238" s="15"/>
      <c r="J238" s="174" t="s">
        <v>255</v>
      </c>
      <c r="K238" s="172">
        <v>66018.0</v>
      </c>
      <c r="L238" s="172">
        <v>65545.0</v>
      </c>
      <c r="M238" s="172">
        <v>71810.0</v>
      </c>
      <c r="N238" s="172">
        <v>58940.0</v>
      </c>
      <c r="O238" s="172">
        <v>47377.0</v>
      </c>
      <c r="P238" s="173">
        <v>38110.0</v>
      </c>
      <c r="Q238" s="15"/>
      <c r="R238" s="174" t="s">
        <v>249</v>
      </c>
      <c r="S238" s="188" t="s">
        <v>209</v>
      </c>
      <c r="T238" s="172">
        <v>2586692.0</v>
      </c>
      <c r="U238" s="172">
        <v>2339578.0</v>
      </c>
      <c r="V238" s="172">
        <v>2065642.0</v>
      </c>
      <c r="W238" s="172">
        <v>453528.0</v>
      </c>
      <c r="X238" s="173">
        <v>103485.0</v>
      </c>
      <c r="Y238" s="15"/>
      <c r="Z238" s="174" t="s">
        <v>294</v>
      </c>
      <c r="AA238" s="188">
        <v>1.01</v>
      </c>
      <c r="AB238" s="188">
        <v>0.91</v>
      </c>
      <c r="AC238" s="188">
        <v>1.2</v>
      </c>
      <c r="AD238" s="188">
        <v>1.08</v>
      </c>
      <c r="AE238" s="188">
        <v>1.41</v>
      </c>
      <c r="AF238" s="189">
        <v>0.74</v>
      </c>
      <c r="AG238" s="165"/>
      <c r="AH238" s="15" t="s">
        <v>453</v>
      </c>
      <c r="AI238" s="156">
        <v>2.67819105E9</v>
      </c>
      <c r="AJ238" s="156">
        <v>8.88941527E8</v>
      </c>
      <c r="AK238" s="156">
        <v>5.90148429E8</v>
      </c>
      <c r="AL238" s="156">
        <v>8359422.0</v>
      </c>
      <c r="AM238" s="156">
        <v>5.90148429E8</v>
      </c>
      <c r="AN238" s="156">
        <v>8359422.0</v>
      </c>
      <c r="AO238" s="165"/>
      <c r="AP238" s="165"/>
      <c r="AQ238" s="165"/>
      <c r="AR238" s="165"/>
      <c r="AS238" s="165"/>
      <c r="AT238" s="165"/>
      <c r="AU238" s="165"/>
      <c r="AV238" s="165"/>
      <c r="AW238" s="165"/>
      <c r="AX238" s="272"/>
      <c r="AY238" s="272"/>
      <c r="AZ238" s="165"/>
      <c r="BA238" s="165"/>
      <c r="BB238" s="165"/>
      <c r="BC238" s="165"/>
      <c r="BD238" s="165"/>
      <c r="BE238" s="165"/>
      <c r="BF238" s="165"/>
      <c r="BG238" s="165"/>
      <c r="BH238" s="165"/>
      <c r="BI238" s="165"/>
      <c r="BJ238" s="165"/>
      <c r="BK238" s="165"/>
      <c r="BL238" s="165"/>
      <c r="BM238" s="165"/>
      <c r="BN238" s="165"/>
      <c r="BO238" s="165"/>
      <c r="BP238" s="165"/>
      <c r="BQ238" s="165"/>
      <c r="BR238" s="165"/>
      <c r="BS238" s="165"/>
      <c r="BT238" s="165"/>
      <c r="BU238" s="165"/>
      <c r="BV238" s="165"/>
      <c r="BW238" s="165"/>
      <c r="BX238" s="165"/>
      <c r="BY238" s="165"/>
      <c r="BZ238" s="165"/>
      <c r="CA238" s="165"/>
      <c r="CB238" s="165"/>
      <c r="CC238" s="165"/>
      <c r="CD238" s="165"/>
      <c r="CE238" s="165"/>
      <c r="CF238" s="165"/>
      <c r="CG238" s="165"/>
      <c r="CH238" s="165"/>
      <c r="CI238" s="165"/>
      <c r="CJ238" s="165"/>
      <c r="CK238" s="165"/>
      <c r="CL238" s="165"/>
      <c r="CM238" s="165"/>
      <c r="CN238" s="165"/>
      <c r="CO238" s="165"/>
      <c r="CP238" s="165"/>
      <c r="CQ238" s="165"/>
      <c r="CR238" s="165"/>
      <c r="CS238" s="165"/>
      <c r="CT238" s="165"/>
      <c r="CU238" s="165"/>
      <c r="CV238" s="165"/>
      <c r="CW238" s="165"/>
      <c r="CX238" s="165"/>
      <c r="CY238" s="165"/>
      <c r="CZ238" s="165"/>
      <c r="DA238" s="165"/>
      <c r="DB238" s="165"/>
      <c r="DC238" s="165"/>
      <c r="DD238" s="165"/>
    </row>
    <row r="239" outlineLevel="1">
      <c r="A239" s="15"/>
      <c r="B239" s="174" t="s">
        <v>274</v>
      </c>
      <c r="C239" s="188" t="s">
        <v>209</v>
      </c>
      <c r="D239" s="188" t="s">
        <v>209</v>
      </c>
      <c r="E239" s="188" t="s">
        <v>209</v>
      </c>
      <c r="F239" s="188" t="s">
        <v>209</v>
      </c>
      <c r="G239" s="172">
        <v>82787.0</v>
      </c>
      <c r="H239" s="189" t="s">
        <v>209</v>
      </c>
      <c r="I239" s="15"/>
      <c r="J239" s="174" t="s">
        <v>454</v>
      </c>
      <c r="K239" s="172">
        <v>269842.0</v>
      </c>
      <c r="L239" s="172">
        <v>208612.0</v>
      </c>
      <c r="M239" s="172">
        <v>177404.0</v>
      </c>
      <c r="N239" s="172">
        <v>144704.0</v>
      </c>
      <c r="O239" s="172">
        <v>89197.0</v>
      </c>
      <c r="P239" s="173">
        <v>39816.0</v>
      </c>
      <c r="Q239" s="15"/>
      <c r="R239" s="174" t="s">
        <v>263</v>
      </c>
      <c r="S239" s="188" t="s">
        <v>209</v>
      </c>
      <c r="T239" s="188" t="s">
        <v>209</v>
      </c>
      <c r="U239" s="172">
        <v>-19874.0</v>
      </c>
      <c r="V239" s="172">
        <v>-75266.0</v>
      </c>
      <c r="W239" s="188" t="s">
        <v>209</v>
      </c>
      <c r="X239" s="189" t="s">
        <v>209</v>
      </c>
      <c r="Y239" s="15"/>
      <c r="Z239" s="174" t="s">
        <v>300</v>
      </c>
      <c r="AA239" s="188">
        <v>2.44</v>
      </c>
      <c r="AB239" s="188">
        <v>2.29</v>
      </c>
      <c r="AC239" s="188">
        <v>3.09</v>
      </c>
      <c r="AD239" s="188">
        <v>6.34</v>
      </c>
      <c r="AE239" s="188">
        <v>5.73</v>
      </c>
      <c r="AF239" s="189">
        <v>1.68</v>
      </c>
      <c r="AG239" s="165"/>
      <c r="AH239" s="15" t="s">
        <v>455</v>
      </c>
      <c r="AI239" s="156">
        <v>4.790672365E9</v>
      </c>
      <c r="AJ239" s="156">
        <v>1.556551198E9</v>
      </c>
      <c r="AK239" s="156">
        <v>4.49071249E8</v>
      </c>
      <c r="AL239" s="156">
        <v>5594658.0</v>
      </c>
      <c r="AM239" s="156">
        <v>4.49071249E8</v>
      </c>
      <c r="AN239" s="156">
        <v>5594658.0</v>
      </c>
      <c r="AO239" s="165"/>
      <c r="AP239" s="165"/>
      <c r="AQ239" s="165"/>
      <c r="AR239" s="165"/>
      <c r="AS239" s="165"/>
      <c r="AT239" s="165"/>
      <c r="AU239" s="165"/>
      <c r="AV239" s="165"/>
      <c r="AW239" s="165"/>
      <c r="AX239" s="15"/>
      <c r="AY239" s="15"/>
      <c r="AZ239" s="165"/>
      <c r="BA239" s="165"/>
      <c r="BB239" s="165"/>
      <c r="BC239" s="165"/>
      <c r="BD239" s="165"/>
      <c r="BE239" s="165"/>
      <c r="BF239" s="165"/>
      <c r="BG239" s="165"/>
      <c r="BH239" s="165"/>
      <c r="BI239" s="165"/>
      <c r="BJ239" s="165"/>
      <c r="BK239" s="165"/>
      <c r="BL239" s="165"/>
      <c r="BM239" s="165"/>
      <c r="BN239" s="165"/>
      <c r="BO239" s="165"/>
      <c r="BP239" s="165"/>
      <c r="BQ239" s="165"/>
      <c r="BR239" s="165"/>
      <c r="BS239" s="165"/>
      <c r="BT239" s="165"/>
      <c r="BU239" s="165"/>
      <c r="BV239" s="165"/>
      <c r="BW239" s="165"/>
      <c r="BX239" s="165"/>
      <c r="BY239" s="165"/>
      <c r="BZ239" s="165"/>
      <c r="CA239" s="165"/>
      <c r="CB239" s="165"/>
      <c r="CC239" s="165"/>
      <c r="CD239" s="165"/>
      <c r="CE239" s="165"/>
      <c r="CF239" s="165"/>
      <c r="CG239" s="165"/>
      <c r="CH239" s="165"/>
      <c r="CI239" s="165"/>
      <c r="CJ239" s="165"/>
      <c r="CK239" s="165"/>
      <c r="CL239" s="165"/>
      <c r="CM239" s="165"/>
      <c r="CN239" s="165"/>
      <c r="CO239" s="165"/>
      <c r="CP239" s="165"/>
      <c r="CQ239" s="165"/>
      <c r="CR239" s="165"/>
      <c r="CS239" s="165"/>
      <c r="CT239" s="165"/>
      <c r="CU239" s="165"/>
      <c r="CV239" s="165"/>
      <c r="CW239" s="165"/>
      <c r="CX239" s="165"/>
      <c r="CY239" s="165"/>
      <c r="CZ239" s="165"/>
      <c r="DA239" s="165"/>
      <c r="DB239" s="165"/>
      <c r="DC239" s="165"/>
      <c r="DD239" s="165"/>
    </row>
    <row r="240" outlineLevel="1">
      <c r="A240" s="15"/>
      <c r="B240" s="174" t="s">
        <v>281</v>
      </c>
      <c r="C240" s="180">
        <v>326128.0</v>
      </c>
      <c r="D240" s="180">
        <v>295826.0</v>
      </c>
      <c r="E240" s="180">
        <v>212380.0</v>
      </c>
      <c r="F240" s="180">
        <v>62241.0</v>
      </c>
      <c r="G240" s="180">
        <v>168187.0</v>
      </c>
      <c r="H240" s="181">
        <v>108644.0</v>
      </c>
      <c r="I240" s="15"/>
      <c r="J240" s="193" t="s">
        <v>262</v>
      </c>
      <c r="K240" s="194">
        <v>3987401.0</v>
      </c>
      <c r="L240" s="194">
        <v>4040985.0</v>
      </c>
      <c r="M240" s="194">
        <v>2910383.0</v>
      </c>
      <c r="N240" s="194">
        <v>2420157.0</v>
      </c>
      <c r="O240" s="194">
        <v>2190763.0</v>
      </c>
      <c r="P240" s="195">
        <v>991334.0</v>
      </c>
      <c r="Q240" s="15"/>
      <c r="R240" s="174" t="s">
        <v>270</v>
      </c>
      <c r="S240" s="188" t="s">
        <v>209</v>
      </c>
      <c r="T240" s="172">
        <v>-2448814.0</v>
      </c>
      <c r="U240" s="172">
        <v>-2149718.0</v>
      </c>
      <c r="V240" s="172">
        <v>-2169677.0</v>
      </c>
      <c r="W240" s="172">
        <v>-398809.0</v>
      </c>
      <c r="X240" s="173">
        <v>-46156.0</v>
      </c>
      <c r="Y240" s="15"/>
      <c r="Z240" s="174" t="s">
        <v>304</v>
      </c>
      <c r="AA240" s="182">
        <v>-94.26</v>
      </c>
      <c r="AB240" s="182">
        <v>-7.98</v>
      </c>
      <c r="AC240" s="182">
        <v>-27.55</v>
      </c>
      <c r="AD240" s="182">
        <v>16.95</v>
      </c>
      <c r="AE240" s="182">
        <v>17.79</v>
      </c>
      <c r="AF240" s="183">
        <v>-2.46</v>
      </c>
      <c r="AG240" s="165"/>
      <c r="AH240" s="15" t="s">
        <v>456</v>
      </c>
      <c r="AI240" s="156">
        <v>4.084299498E9</v>
      </c>
      <c r="AJ240" s="156">
        <v>1.806574415E9</v>
      </c>
      <c r="AK240" s="156">
        <v>2.40137782E8</v>
      </c>
      <c r="AL240" s="156">
        <v>0.0</v>
      </c>
      <c r="AM240" s="156">
        <v>2.40137782E8</v>
      </c>
      <c r="AN240" s="156">
        <v>0.0</v>
      </c>
      <c r="AO240" s="165"/>
      <c r="AP240" s="165"/>
      <c r="AQ240" s="165"/>
      <c r="AR240" s="165"/>
      <c r="AS240" s="165"/>
      <c r="AT240" s="165"/>
      <c r="AU240" s="165"/>
      <c r="AV240" s="165"/>
      <c r="AW240" s="165"/>
      <c r="AX240" s="15"/>
      <c r="AY240" s="15"/>
      <c r="AZ240" s="165"/>
      <c r="BA240" s="165"/>
      <c r="BB240" s="165"/>
      <c r="BC240" s="165"/>
      <c r="BD240" s="165"/>
      <c r="BE240" s="165"/>
      <c r="BF240" s="165"/>
      <c r="BG240" s="165"/>
      <c r="BH240" s="165"/>
      <c r="BI240" s="165"/>
      <c r="BJ240" s="165"/>
      <c r="BK240" s="165"/>
      <c r="BL240" s="165"/>
      <c r="BM240" s="165"/>
      <c r="BN240" s="165"/>
      <c r="BO240" s="165"/>
      <c r="BP240" s="165"/>
      <c r="BQ240" s="165"/>
      <c r="BR240" s="165"/>
      <c r="BS240" s="165"/>
      <c r="BT240" s="165"/>
      <c r="BU240" s="165"/>
      <c r="BV240" s="165"/>
      <c r="BW240" s="165"/>
      <c r="BX240" s="165"/>
      <c r="BY240" s="165"/>
      <c r="BZ240" s="165"/>
      <c r="CA240" s="165"/>
      <c r="CB240" s="165"/>
      <c r="CC240" s="165"/>
      <c r="CD240" s="165"/>
      <c r="CE240" s="165"/>
      <c r="CF240" s="165"/>
      <c r="CG240" s="165"/>
      <c r="CH240" s="165"/>
      <c r="CI240" s="165"/>
      <c r="CJ240" s="165"/>
      <c r="CK240" s="165"/>
      <c r="CL240" s="165"/>
      <c r="CM240" s="165"/>
      <c r="CN240" s="165"/>
      <c r="CO240" s="165"/>
      <c r="CP240" s="165"/>
      <c r="CQ240" s="165"/>
      <c r="CR240" s="165"/>
      <c r="CS240" s="165"/>
      <c r="CT240" s="165"/>
      <c r="CU240" s="165"/>
      <c r="CV240" s="165"/>
      <c r="CW240" s="165"/>
      <c r="CX240" s="165"/>
      <c r="CY240" s="165"/>
      <c r="CZ240" s="165"/>
      <c r="DA240" s="165"/>
      <c r="DB240" s="165"/>
      <c r="DC240" s="165"/>
      <c r="DD240" s="165"/>
    </row>
    <row r="241" outlineLevel="1">
      <c r="A241" s="15"/>
      <c r="B241" s="174" t="s">
        <v>286</v>
      </c>
      <c r="C241" s="172">
        <v>78185.0</v>
      </c>
      <c r="D241" s="172">
        <v>71741.0</v>
      </c>
      <c r="E241" s="172">
        <v>30494.0</v>
      </c>
      <c r="F241" s="172">
        <v>42352.0</v>
      </c>
      <c r="G241" s="172">
        <v>23950.0</v>
      </c>
      <c r="H241" s="173">
        <v>27570.0</v>
      </c>
      <c r="I241" s="15"/>
      <c r="J241" s="174" t="s">
        <v>269</v>
      </c>
      <c r="K241" s="172">
        <v>1139047.0</v>
      </c>
      <c r="L241" s="172">
        <v>1326599.0</v>
      </c>
      <c r="M241" s="172">
        <v>759644.0</v>
      </c>
      <c r="N241" s="172">
        <v>554994.0</v>
      </c>
      <c r="O241" s="172">
        <v>573446.0</v>
      </c>
      <c r="P241" s="173">
        <v>280592.0</v>
      </c>
      <c r="Q241" s="15"/>
      <c r="R241" s="174" t="s">
        <v>276</v>
      </c>
      <c r="S241" s="172">
        <v>-2182563.0</v>
      </c>
      <c r="T241" s="172">
        <v>-2448814.0</v>
      </c>
      <c r="U241" s="172">
        <v>-2169592.0</v>
      </c>
      <c r="V241" s="172">
        <v>-2244943.0</v>
      </c>
      <c r="W241" s="172">
        <v>-398809.0</v>
      </c>
      <c r="X241" s="173">
        <v>-46156.0</v>
      </c>
      <c r="Y241" s="15"/>
      <c r="Z241" s="174" t="s">
        <v>309</v>
      </c>
      <c r="AA241" s="188">
        <v>1.28</v>
      </c>
      <c r="AB241" s="188">
        <v>1.19</v>
      </c>
      <c r="AC241" s="188">
        <v>1.27</v>
      </c>
      <c r="AD241" s="188">
        <v>1.32</v>
      </c>
      <c r="AE241" s="188">
        <v>1.06</v>
      </c>
      <c r="AF241" s="189" t="s">
        <v>209</v>
      </c>
      <c r="AG241" s="165"/>
      <c r="AH241" s="15" t="s">
        <v>457</v>
      </c>
      <c r="AI241" s="156">
        <v>1.929810398E10</v>
      </c>
      <c r="AJ241" s="156">
        <v>7.67793218E9</v>
      </c>
      <c r="AK241" s="156">
        <v>3.434140528E9</v>
      </c>
      <c r="AL241" s="156">
        <v>1.49700732E9</v>
      </c>
      <c r="AM241" s="156">
        <v>3.434140528E9</v>
      </c>
      <c r="AN241" s="156">
        <v>1.49700732E9</v>
      </c>
      <c r="AO241" s="165"/>
      <c r="AP241" s="165"/>
      <c r="AQ241" s="165"/>
      <c r="AR241" s="165"/>
      <c r="AS241" s="165"/>
      <c r="AT241" s="165"/>
      <c r="AU241" s="165"/>
      <c r="AV241" s="165"/>
      <c r="AW241" s="165"/>
      <c r="AX241" s="15"/>
      <c r="AY241" s="15"/>
      <c r="AZ241" s="165"/>
      <c r="BA241" s="165"/>
      <c r="BB241" s="165"/>
      <c r="BC241" s="165"/>
      <c r="BD241" s="165"/>
      <c r="BE241" s="165"/>
      <c r="BF241" s="165"/>
      <c r="BG241" s="165"/>
      <c r="BH241" s="165"/>
      <c r="BI241" s="165"/>
      <c r="BJ241" s="165"/>
      <c r="BK241" s="165"/>
      <c r="BL241" s="165"/>
      <c r="BM241" s="165"/>
      <c r="BN241" s="165"/>
      <c r="BO241" s="165"/>
      <c r="BP241" s="165"/>
      <c r="BQ241" s="165"/>
      <c r="BR241" s="165"/>
      <c r="BS241" s="165"/>
      <c r="BT241" s="165"/>
      <c r="BU241" s="165"/>
      <c r="BV241" s="165"/>
      <c r="BW241" s="165"/>
      <c r="BX241" s="165"/>
      <c r="BY241" s="165"/>
      <c r="BZ241" s="165"/>
      <c r="CA241" s="165"/>
      <c r="CB241" s="165"/>
      <c r="CC241" s="165"/>
      <c r="CD241" s="165"/>
      <c r="CE241" s="165"/>
      <c r="CF241" s="165"/>
      <c r="CG241" s="165"/>
      <c r="CH241" s="165"/>
      <c r="CI241" s="165"/>
      <c r="CJ241" s="165"/>
      <c r="CK241" s="165"/>
      <c r="CL241" s="165"/>
      <c r="CM241" s="165"/>
      <c r="CN241" s="165"/>
      <c r="CO241" s="165"/>
      <c r="CP241" s="165"/>
      <c r="CQ241" s="165"/>
      <c r="CR241" s="165"/>
      <c r="CS241" s="165"/>
      <c r="CT241" s="165"/>
      <c r="CU241" s="165"/>
      <c r="CV241" s="165"/>
      <c r="CW241" s="165"/>
      <c r="CX241" s="165"/>
      <c r="CY241" s="165"/>
      <c r="CZ241" s="165"/>
      <c r="DA241" s="165"/>
      <c r="DB241" s="165"/>
      <c r="DC241" s="165"/>
      <c r="DD241" s="165"/>
    </row>
    <row r="242" outlineLevel="1">
      <c r="A242" s="15"/>
      <c r="B242" s="174" t="s">
        <v>291</v>
      </c>
      <c r="C242" s="172">
        <v>247943.0</v>
      </c>
      <c r="D242" s="172">
        <v>224085.0</v>
      </c>
      <c r="E242" s="172">
        <v>181886.0</v>
      </c>
      <c r="F242" s="172">
        <v>19889.0</v>
      </c>
      <c r="G242" s="172">
        <v>144237.0</v>
      </c>
      <c r="H242" s="173">
        <v>81074.0</v>
      </c>
      <c r="I242" s="15"/>
      <c r="J242" s="174" t="s">
        <v>275</v>
      </c>
      <c r="K242" s="172">
        <v>115765.0</v>
      </c>
      <c r="L242" s="172">
        <v>118965.0</v>
      </c>
      <c r="M242" s="172">
        <v>112619.0</v>
      </c>
      <c r="N242" s="172">
        <v>110074.0</v>
      </c>
      <c r="O242" s="172">
        <v>85573.0</v>
      </c>
      <c r="P242" s="173">
        <v>66110.0</v>
      </c>
      <c r="Q242" s="15"/>
      <c r="R242" s="174" t="s">
        <v>283</v>
      </c>
      <c r="S242" s="172">
        <v>156215.0</v>
      </c>
      <c r="T242" s="172">
        <v>137878.0</v>
      </c>
      <c r="U242" s="172">
        <v>169986.0</v>
      </c>
      <c r="V242" s="172">
        <v>-179301.0</v>
      </c>
      <c r="W242" s="172">
        <v>54719.0</v>
      </c>
      <c r="X242" s="173">
        <v>57329.0</v>
      </c>
      <c r="Y242" s="15"/>
      <c r="Z242" s="174" t="s">
        <v>20</v>
      </c>
      <c r="AA242" s="188">
        <v>2.48</v>
      </c>
      <c r="AB242" s="188">
        <v>2.37</v>
      </c>
      <c r="AC242" s="188">
        <v>2.58</v>
      </c>
      <c r="AD242" s="188">
        <v>2.46</v>
      </c>
      <c r="AE242" s="188">
        <v>2.16</v>
      </c>
      <c r="AF242" s="189" t="s">
        <v>209</v>
      </c>
      <c r="AG242" s="165"/>
      <c r="AH242" s="138" t="s">
        <v>458</v>
      </c>
      <c r="AI242" s="15"/>
      <c r="AJ242" s="15"/>
      <c r="AK242" s="15"/>
      <c r="AL242" s="15"/>
      <c r="AM242" s="15"/>
      <c r="AN242" s="15"/>
      <c r="AO242" s="165"/>
      <c r="AP242" s="165"/>
      <c r="AQ242" s="179"/>
      <c r="AR242" s="179"/>
      <c r="AS242" s="179"/>
      <c r="AT242" s="179"/>
      <c r="AU242" s="179"/>
      <c r="AV242" s="179"/>
      <c r="AW242" s="179"/>
      <c r="AX242" s="15"/>
      <c r="AY242" s="15"/>
      <c r="AZ242" s="165"/>
      <c r="BA242" s="165"/>
      <c r="BB242" s="165"/>
      <c r="BC242" s="165"/>
      <c r="BD242" s="165"/>
      <c r="BE242" s="165"/>
      <c r="BF242" s="165"/>
      <c r="BG242" s="165"/>
      <c r="BH242" s="165"/>
      <c r="BI242" s="165"/>
      <c r="BJ242" s="165"/>
      <c r="BK242" s="165"/>
      <c r="BL242" s="165"/>
      <c r="BM242" s="165"/>
      <c r="BN242" s="165"/>
      <c r="BO242" s="165"/>
      <c r="BP242" s="165"/>
      <c r="BQ242" s="165"/>
      <c r="BR242" s="165"/>
      <c r="BS242" s="165"/>
      <c r="BT242" s="165"/>
      <c r="BU242" s="165"/>
      <c r="BV242" s="165"/>
      <c r="BW242" s="165"/>
      <c r="BX242" s="165"/>
      <c r="BY242" s="165"/>
      <c r="BZ242" s="165"/>
      <c r="CA242" s="165"/>
      <c r="CB242" s="165"/>
      <c r="CC242" s="165"/>
      <c r="CD242" s="165"/>
      <c r="CE242" s="165"/>
      <c r="CF242" s="165"/>
      <c r="CG242" s="165"/>
      <c r="CH242" s="165"/>
      <c r="CI242" s="165"/>
      <c r="CJ242" s="165"/>
      <c r="CK242" s="165"/>
      <c r="CL242" s="165"/>
      <c r="CM242" s="165"/>
      <c r="CN242" s="165"/>
      <c r="CO242" s="165"/>
      <c r="CP242" s="165"/>
      <c r="CQ242" s="165"/>
      <c r="CR242" s="165"/>
      <c r="CS242" s="165"/>
      <c r="CT242" s="165"/>
      <c r="CU242" s="165"/>
      <c r="CV242" s="165"/>
      <c r="CW242" s="165"/>
      <c r="CX242" s="165"/>
      <c r="CY242" s="165"/>
      <c r="CZ242" s="165"/>
      <c r="DA242" s="165"/>
      <c r="DB242" s="165"/>
      <c r="DC242" s="165"/>
      <c r="DD242" s="165"/>
    </row>
    <row r="243" outlineLevel="1">
      <c r="A243" s="15"/>
      <c r="B243" s="174" t="s">
        <v>297</v>
      </c>
      <c r="C243" s="172">
        <v>-5605.0</v>
      </c>
      <c r="D243" s="172">
        <v>-5236.0</v>
      </c>
      <c r="E243" s="172">
        <v>-3200.0</v>
      </c>
      <c r="F243" s="172">
        <v>-4653.0</v>
      </c>
      <c r="G243" s="172">
        <v>-1936.0</v>
      </c>
      <c r="H243" s="189">
        <v>-37.0</v>
      </c>
      <c r="I243" s="15"/>
      <c r="J243" s="174" t="s">
        <v>282</v>
      </c>
      <c r="K243" s="172">
        <v>1051773.0</v>
      </c>
      <c r="L243" s="172">
        <v>941959.0</v>
      </c>
      <c r="M243" s="172">
        <v>818980.0</v>
      </c>
      <c r="N243" s="172">
        <v>95624.0</v>
      </c>
      <c r="O243" s="172">
        <v>673449.0</v>
      </c>
      <c r="P243" s="173">
        <v>175922.0</v>
      </c>
      <c r="Q243" s="15"/>
      <c r="R243" s="174" t="s">
        <v>459</v>
      </c>
      <c r="S243" s="188" t="s">
        <v>209</v>
      </c>
      <c r="T243" s="172">
        <v>189867.0</v>
      </c>
      <c r="U243" s="172">
        <v>241850.0</v>
      </c>
      <c r="V243" s="172">
        <v>92000.0</v>
      </c>
      <c r="W243" s="172">
        <v>30600.0</v>
      </c>
      <c r="X243" s="173">
        <v>115550.0</v>
      </c>
      <c r="Y243" s="15"/>
      <c r="Z243" s="174" t="s">
        <v>17</v>
      </c>
      <c r="AA243" s="188">
        <v>0.48</v>
      </c>
      <c r="AB243" s="188">
        <v>0.51</v>
      </c>
      <c r="AC243" s="188">
        <v>0.52</v>
      </c>
      <c r="AD243" s="188">
        <v>0.48</v>
      </c>
      <c r="AE243" s="188">
        <v>0.59</v>
      </c>
      <c r="AF243" s="189">
        <v>0.85</v>
      </c>
      <c r="AG243" s="165"/>
      <c r="AH243" s="15" t="s">
        <v>460</v>
      </c>
      <c r="AI243" s="156">
        <v>2.912067377E9</v>
      </c>
      <c r="AJ243" s="156">
        <v>9.52420174E8</v>
      </c>
      <c r="AK243" s="156">
        <v>3.12754339E8</v>
      </c>
      <c r="AL243" s="156">
        <v>1.01395512E8</v>
      </c>
      <c r="AM243" s="156">
        <v>3.12754339E8</v>
      </c>
      <c r="AN243" s="156">
        <v>1.01395512E8</v>
      </c>
      <c r="AO243" s="165"/>
      <c r="AP243" s="165"/>
      <c r="AQ243" s="179"/>
      <c r="AR243" s="179"/>
      <c r="AS243" s="179"/>
      <c r="AT243" s="179"/>
      <c r="AU243" s="179"/>
      <c r="AV243" s="179"/>
      <c r="AW243" s="179"/>
      <c r="AX243" s="15"/>
      <c r="AY243" s="15"/>
      <c r="AZ243" s="165"/>
      <c r="BA243" s="165"/>
      <c r="BB243" s="165"/>
      <c r="BC243" s="165"/>
      <c r="BD243" s="165"/>
      <c r="BE243" s="165"/>
      <c r="BF243" s="165"/>
      <c r="BG243" s="165"/>
      <c r="BH243" s="165"/>
      <c r="BI243" s="165"/>
      <c r="BJ243" s="165"/>
      <c r="BK243" s="165"/>
      <c r="BL243" s="165"/>
      <c r="BM243" s="165"/>
      <c r="BN243" s="165"/>
      <c r="BO243" s="165"/>
      <c r="BP243" s="165"/>
      <c r="BQ243" s="165"/>
      <c r="BR243" s="165"/>
      <c r="BS243" s="165"/>
      <c r="BT243" s="165"/>
      <c r="BU243" s="165"/>
      <c r="BV243" s="165"/>
      <c r="BW243" s="165"/>
      <c r="BX243" s="165"/>
      <c r="BY243" s="165"/>
      <c r="BZ243" s="165"/>
      <c r="CA243" s="165"/>
      <c r="CB243" s="165"/>
      <c r="CC243" s="165"/>
      <c r="CD243" s="165"/>
      <c r="CE243" s="165"/>
      <c r="CF243" s="165"/>
      <c r="CG243" s="165"/>
      <c r="CH243" s="165"/>
      <c r="CI243" s="165"/>
      <c r="CJ243" s="165"/>
      <c r="CK243" s="165"/>
      <c r="CL243" s="165"/>
      <c r="CM243" s="165"/>
      <c r="CN243" s="165"/>
      <c r="CO243" s="165"/>
      <c r="CP243" s="165"/>
      <c r="CQ243" s="165"/>
      <c r="CR243" s="165"/>
      <c r="CS243" s="165"/>
      <c r="CT243" s="165"/>
      <c r="CU243" s="165"/>
      <c r="CV243" s="165"/>
      <c r="CW243" s="165"/>
      <c r="CX243" s="165"/>
      <c r="CY243" s="165"/>
      <c r="CZ243" s="165"/>
      <c r="DA243" s="165"/>
      <c r="DB243" s="165"/>
      <c r="DC243" s="165"/>
      <c r="DD243" s="165"/>
    </row>
    <row r="244" outlineLevel="1">
      <c r="A244" s="15"/>
      <c r="B244" s="174" t="s">
        <v>185</v>
      </c>
      <c r="C244" s="172">
        <v>242338.0</v>
      </c>
      <c r="D244" s="172">
        <v>218849.0</v>
      </c>
      <c r="E244" s="172">
        <v>178686.0</v>
      </c>
      <c r="F244" s="172">
        <v>15236.0</v>
      </c>
      <c r="G244" s="172">
        <v>142301.0</v>
      </c>
      <c r="H244" s="173">
        <v>81037.0</v>
      </c>
      <c r="I244" s="15"/>
      <c r="J244" s="174" t="s">
        <v>287</v>
      </c>
      <c r="K244" s="172">
        <v>22561.0</v>
      </c>
      <c r="L244" s="172">
        <v>51103.0</v>
      </c>
      <c r="M244" s="172">
        <v>109033.0</v>
      </c>
      <c r="N244" s="172">
        <v>605027.0</v>
      </c>
      <c r="O244" s="172">
        <v>4000.0</v>
      </c>
      <c r="P244" s="173">
        <v>4000.0</v>
      </c>
      <c r="Q244" s="15"/>
      <c r="R244" s="174" t="s">
        <v>288</v>
      </c>
      <c r="S244" s="172">
        <v>-105139.0</v>
      </c>
      <c r="T244" s="172">
        <v>-105139.0</v>
      </c>
      <c r="U244" s="172">
        <v>-302000.0</v>
      </c>
      <c r="V244" s="188" t="s">
        <v>209</v>
      </c>
      <c r="W244" s="188" t="s">
        <v>209</v>
      </c>
      <c r="X244" s="173">
        <v>-150000.0</v>
      </c>
      <c r="Y244" s="15"/>
      <c r="Z244" s="174" t="s">
        <v>14</v>
      </c>
      <c r="AA244" s="182">
        <v>1.14</v>
      </c>
      <c r="AB244" s="182">
        <v>1.14</v>
      </c>
      <c r="AC244" s="182">
        <v>1.02</v>
      </c>
      <c r="AD244" s="182">
        <v>1.15</v>
      </c>
      <c r="AE244" s="182">
        <v>1.22</v>
      </c>
      <c r="AF244" s="183">
        <v>1.27</v>
      </c>
      <c r="AG244" s="165"/>
      <c r="AH244" s="15" t="s">
        <v>461</v>
      </c>
      <c r="AI244" s="156">
        <v>8.18409598E8</v>
      </c>
      <c r="AJ244" s="156">
        <v>1.16536792E8</v>
      </c>
      <c r="AK244" s="156">
        <v>5.5328222E7</v>
      </c>
      <c r="AL244" s="156">
        <v>1.472281228E9</v>
      </c>
      <c r="AM244" s="156">
        <v>5.5328222E7</v>
      </c>
      <c r="AN244" s="156">
        <v>1.472281228E9</v>
      </c>
      <c r="AO244" s="165"/>
      <c r="AP244" s="165"/>
      <c r="AQ244" s="165"/>
      <c r="AR244" s="165"/>
      <c r="AS244" s="165"/>
      <c r="AT244" s="165"/>
      <c r="AU244" s="165"/>
      <c r="AV244" s="165"/>
      <c r="AW244" s="165"/>
      <c r="AX244" s="15"/>
      <c r="AY244" s="15"/>
      <c r="AZ244" s="165"/>
      <c r="BA244" s="165"/>
      <c r="BB244" s="165"/>
      <c r="BC244" s="165"/>
      <c r="BD244" s="165"/>
      <c r="BE244" s="165"/>
      <c r="BF244" s="165"/>
      <c r="BG244" s="165"/>
      <c r="BH244" s="165"/>
      <c r="BI244" s="165"/>
      <c r="BJ244" s="165"/>
      <c r="BK244" s="165"/>
      <c r="BL244" s="165"/>
      <c r="BM244" s="165"/>
      <c r="BN244" s="165"/>
      <c r="BO244" s="165"/>
      <c r="BP244" s="165"/>
      <c r="BQ244" s="165"/>
      <c r="BR244" s="165"/>
      <c r="BS244" s="165"/>
      <c r="BT244" s="165"/>
      <c r="BU244" s="165"/>
      <c r="BV244" s="165"/>
      <c r="BW244" s="165"/>
      <c r="BX244" s="165"/>
      <c r="BY244" s="165"/>
      <c r="BZ244" s="165"/>
      <c r="CA244" s="165"/>
      <c r="CB244" s="165"/>
      <c r="CC244" s="165"/>
      <c r="CD244" s="165"/>
      <c r="CE244" s="165"/>
      <c r="CF244" s="165"/>
      <c r="CG244" s="165"/>
      <c r="CH244" s="165"/>
      <c r="CI244" s="165"/>
      <c r="CJ244" s="165"/>
      <c r="CK244" s="165"/>
      <c r="CL244" s="165"/>
      <c r="CM244" s="165"/>
      <c r="CN244" s="165"/>
      <c r="CO244" s="165"/>
      <c r="CP244" s="165"/>
      <c r="CQ244" s="165"/>
      <c r="CR244" s="165"/>
      <c r="CS244" s="165"/>
      <c r="CT244" s="165"/>
      <c r="CU244" s="165"/>
      <c r="CV244" s="165"/>
      <c r="CW244" s="165"/>
      <c r="CX244" s="165"/>
      <c r="CY244" s="165"/>
      <c r="CZ244" s="165"/>
      <c r="DA244" s="165"/>
      <c r="DB244" s="165"/>
      <c r="DC244" s="165"/>
      <c r="DD244" s="165"/>
    </row>
    <row r="245" outlineLevel="1">
      <c r="A245" s="15"/>
      <c r="B245" s="174" t="s">
        <v>306</v>
      </c>
      <c r="C245" s="172">
        <v>242338.0</v>
      </c>
      <c r="D245" s="172">
        <v>218849.0</v>
      </c>
      <c r="E245" s="172">
        <v>178686.0</v>
      </c>
      <c r="F245" s="172">
        <v>15236.0</v>
      </c>
      <c r="G245" s="172">
        <v>142301.0</v>
      </c>
      <c r="H245" s="173">
        <v>81037.0</v>
      </c>
      <c r="I245" s="15"/>
      <c r="J245" s="174" t="s">
        <v>292</v>
      </c>
      <c r="K245" s="172">
        <v>19441.0</v>
      </c>
      <c r="L245" s="172">
        <v>20378.0</v>
      </c>
      <c r="M245" s="172">
        <v>19275.0</v>
      </c>
      <c r="N245" s="172">
        <v>16194.0</v>
      </c>
      <c r="O245" s="172">
        <v>25596.0</v>
      </c>
      <c r="P245" s="173">
        <v>19465.0</v>
      </c>
      <c r="Q245" s="15"/>
      <c r="R245" s="174" t="s">
        <v>417</v>
      </c>
      <c r="S245" s="188" t="s">
        <v>209</v>
      </c>
      <c r="T245" s="188" t="s">
        <v>209</v>
      </c>
      <c r="U245" s="172">
        <v>-75289.0</v>
      </c>
      <c r="V245" s="172">
        <v>-1186.0</v>
      </c>
      <c r="W245" s="172">
        <v>-32492.0</v>
      </c>
      <c r="X245" s="189" t="s">
        <v>209</v>
      </c>
      <c r="Y245" s="15"/>
      <c r="Z245" s="174" t="s">
        <v>330</v>
      </c>
      <c r="AA245" s="199">
        <v>0.2315</v>
      </c>
      <c r="AB245" s="199">
        <v>0.2393</v>
      </c>
      <c r="AC245" s="199">
        <v>0.242</v>
      </c>
      <c r="AD245" s="199">
        <v>0.0316</v>
      </c>
      <c r="AE245" s="199">
        <v>0.3527</v>
      </c>
      <c r="AF245" s="189" t="s">
        <v>209</v>
      </c>
      <c r="AG245" s="165"/>
      <c r="AH245" s="15" t="s">
        <v>462</v>
      </c>
      <c r="AI245" s="156">
        <v>1.201205483E10</v>
      </c>
      <c r="AJ245" s="156">
        <v>3.899310769E9</v>
      </c>
      <c r="AK245" s="156">
        <v>2.108708775E9</v>
      </c>
      <c r="AL245" s="156">
        <v>1.479968E8</v>
      </c>
      <c r="AM245" s="156">
        <v>2.108708775E9</v>
      </c>
      <c r="AN245" s="156">
        <v>1.479968E8</v>
      </c>
      <c r="AO245" s="165"/>
      <c r="AP245" s="165"/>
      <c r="AQ245" s="165"/>
      <c r="AR245" s="165"/>
      <c r="AS245" s="165"/>
      <c r="AT245" s="165"/>
      <c r="AU245" s="165"/>
      <c r="AV245" s="165"/>
      <c r="AW245" s="165"/>
      <c r="AX245" s="15"/>
      <c r="AY245" s="15"/>
      <c r="AZ245" s="165"/>
      <c r="BA245" s="165"/>
      <c r="BB245" s="165"/>
      <c r="BC245" s="165"/>
      <c r="BD245" s="165"/>
      <c r="BE245" s="165"/>
      <c r="BF245" s="165"/>
      <c r="BG245" s="165"/>
      <c r="BH245" s="165"/>
      <c r="BI245" s="165"/>
      <c r="BJ245" s="165"/>
      <c r="BK245" s="165"/>
      <c r="BL245" s="165"/>
      <c r="BM245" s="165"/>
      <c r="BN245" s="165"/>
      <c r="BO245" s="165"/>
      <c r="BP245" s="165"/>
      <c r="BQ245" s="165"/>
      <c r="BR245" s="165"/>
      <c r="BS245" s="165"/>
      <c r="BT245" s="165"/>
      <c r="BU245" s="165"/>
      <c r="BV245" s="165"/>
      <c r="BW245" s="165"/>
      <c r="BX245" s="165"/>
      <c r="BY245" s="165"/>
      <c r="BZ245" s="165"/>
      <c r="CA245" s="165"/>
      <c r="CB245" s="165"/>
      <c r="CC245" s="165"/>
      <c r="CD245" s="165"/>
      <c r="CE245" s="165"/>
      <c r="CF245" s="165"/>
      <c r="CG245" s="165"/>
      <c r="CH245" s="165"/>
      <c r="CI245" s="165"/>
      <c r="CJ245" s="165"/>
      <c r="CK245" s="165"/>
      <c r="CL245" s="165"/>
      <c r="CM245" s="165"/>
      <c r="CN245" s="165"/>
      <c r="CO245" s="165"/>
      <c r="CP245" s="165"/>
      <c r="CQ245" s="165"/>
      <c r="CR245" s="165"/>
      <c r="CS245" s="165"/>
      <c r="CT245" s="165"/>
      <c r="CU245" s="165"/>
      <c r="CV245" s="165"/>
      <c r="CW245" s="165"/>
      <c r="CX245" s="165"/>
      <c r="CY245" s="165"/>
      <c r="CZ245" s="165"/>
      <c r="DA245" s="165"/>
      <c r="DB245" s="165"/>
      <c r="DC245" s="165"/>
      <c r="DD245" s="165"/>
    </row>
    <row r="246" outlineLevel="1">
      <c r="A246" s="15"/>
      <c r="B246" s="157" t="s">
        <v>312</v>
      </c>
      <c r="C246" s="185">
        <v>0.288</v>
      </c>
      <c r="D246" s="185">
        <v>0.2248</v>
      </c>
      <c r="E246" s="185">
        <v>10.7279</v>
      </c>
      <c r="F246" s="184">
        <v>-0.8929</v>
      </c>
      <c r="G246" s="185">
        <v>0.756</v>
      </c>
      <c r="H246" s="187" t="s">
        <v>209</v>
      </c>
      <c r="I246" s="15"/>
      <c r="J246" s="174" t="s">
        <v>298</v>
      </c>
      <c r="K246" s="172">
        <v>21420.0</v>
      </c>
      <c r="L246" s="172">
        <v>15327.0</v>
      </c>
      <c r="M246" s="172">
        <v>16636.0</v>
      </c>
      <c r="N246" s="172">
        <v>6199.0</v>
      </c>
      <c r="O246" s="172">
        <v>49372.0</v>
      </c>
      <c r="P246" s="173">
        <v>25533.0</v>
      </c>
      <c r="Q246" s="15"/>
      <c r="R246" s="174" t="s">
        <v>293</v>
      </c>
      <c r="S246" s="180">
        <v>47268.0</v>
      </c>
      <c r="T246" s="180">
        <v>222606.0</v>
      </c>
      <c r="U246" s="180">
        <v>34547.0</v>
      </c>
      <c r="V246" s="180">
        <v>-88487.0</v>
      </c>
      <c r="W246" s="180">
        <v>52827.0</v>
      </c>
      <c r="X246" s="181">
        <v>22879.0</v>
      </c>
      <c r="Y246" s="15"/>
      <c r="Z246" s="174" t="s">
        <v>336</v>
      </c>
      <c r="AA246" s="199">
        <v>0.0794</v>
      </c>
      <c r="AB246" s="199">
        <v>0.0722</v>
      </c>
      <c r="AC246" s="199">
        <v>0.0654</v>
      </c>
      <c r="AD246" s="199">
        <v>0.0283</v>
      </c>
      <c r="AE246" s="199">
        <v>0.0481</v>
      </c>
      <c r="AF246" s="189" t="s">
        <v>209</v>
      </c>
      <c r="AG246" s="165"/>
      <c r="AH246" s="15" t="s">
        <v>463</v>
      </c>
      <c r="AI246" s="156">
        <v>1.5742531805E10</v>
      </c>
      <c r="AJ246" s="156">
        <v>4.968267735E9</v>
      </c>
      <c r="AK246" s="156">
        <v>2.476791336E9</v>
      </c>
      <c r="AL246" s="156">
        <v>1.72167354E9</v>
      </c>
      <c r="AM246" s="156">
        <v>2.476791336E9</v>
      </c>
      <c r="AN246" s="156">
        <v>1.72167354E9</v>
      </c>
      <c r="AO246" s="165"/>
      <c r="AP246" s="165"/>
      <c r="AQ246" s="179"/>
      <c r="AR246" s="179"/>
      <c r="AS246" s="179"/>
      <c r="AT246" s="179"/>
      <c r="AU246" s="179"/>
      <c r="AV246" s="179"/>
      <c r="AW246" s="179"/>
      <c r="AX246" s="15"/>
      <c r="AY246" s="15"/>
      <c r="AZ246" s="165"/>
      <c r="BA246" s="165"/>
      <c r="BB246" s="165"/>
      <c r="BC246" s="165"/>
      <c r="BD246" s="165"/>
      <c r="BE246" s="165"/>
      <c r="BF246" s="165"/>
      <c r="BG246" s="165"/>
      <c r="BH246" s="165"/>
      <c r="BI246" s="165"/>
      <c r="BJ246" s="165"/>
      <c r="BK246" s="165"/>
      <c r="BL246" s="165"/>
      <c r="BM246" s="165"/>
      <c r="BN246" s="165"/>
      <c r="BO246" s="165"/>
      <c r="BP246" s="165"/>
      <c r="BQ246" s="165"/>
      <c r="BR246" s="165"/>
      <c r="BS246" s="165"/>
      <c r="BT246" s="165"/>
      <c r="BU246" s="165"/>
      <c r="BV246" s="165"/>
      <c r="BW246" s="165"/>
      <c r="BX246" s="165"/>
      <c r="BY246" s="165"/>
      <c r="BZ246" s="165"/>
      <c r="CA246" s="165"/>
      <c r="CB246" s="165"/>
      <c r="CC246" s="165"/>
      <c r="CD246" s="165"/>
      <c r="CE246" s="165"/>
      <c r="CF246" s="165"/>
      <c r="CG246" s="165"/>
      <c r="CH246" s="165"/>
      <c r="CI246" s="165"/>
      <c r="CJ246" s="165"/>
      <c r="CK246" s="165"/>
      <c r="CL246" s="165"/>
      <c r="CM246" s="165"/>
      <c r="CN246" s="165"/>
      <c r="CO246" s="165"/>
      <c r="CP246" s="165"/>
      <c r="CQ246" s="165"/>
      <c r="CR246" s="165"/>
      <c r="CS246" s="165"/>
      <c r="CT246" s="165"/>
      <c r="CU246" s="165"/>
      <c r="CV246" s="165"/>
      <c r="CW246" s="165"/>
      <c r="CX246" s="165"/>
      <c r="CY246" s="165"/>
      <c r="CZ246" s="165"/>
      <c r="DA246" s="165"/>
      <c r="DB246" s="165"/>
      <c r="DC246" s="165"/>
      <c r="DD246" s="165"/>
    </row>
    <row r="247" outlineLevel="1">
      <c r="A247" s="15"/>
      <c r="B247" s="174" t="s">
        <v>317</v>
      </c>
      <c r="C247" s="172">
        <v>5794.0</v>
      </c>
      <c r="D247" s="172">
        <v>5765.0</v>
      </c>
      <c r="E247" s="172">
        <v>2774.0</v>
      </c>
      <c r="F247" s="172">
        <v>1662.0</v>
      </c>
      <c r="G247" s="172">
        <v>1662.0</v>
      </c>
      <c r="H247" s="173">
        <v>1356.0</v>
      </c>
      <c r="I247" s="15"/>
      <c r="J247" s="174" t="s">
        <v>302</v>
      </c>
      <c r="K247" s="172">
        <v>59143.0</v>
      </c>
      <c r="L247" s="172">
        <v>35304.0</v>
      </c>
      <c r="M247" s="172">
        <v>11589.0</v>
      </c>
      <c r="N247" s="172">
        <v>18999.0</v>
      </c>
      <c r="O247" s="172">
        <v>8035.0</v>
      </c>
      <c r="P247" s="173">
        <v>1584.0</v>
      </c>
      <c r="Q247" s="15"/>
      <c r="R247" s="174" t="s">
        <v>464</v>
      </c>
      <c r="S247" s="188">
        <v>30.0</v>
      </c>
      <c r="T247" s="188">
        <v>23.0</v>
      </c>
      <c r="U247" s="188">
        <v>26.0</v>
      </c>
      <c r="V247" s="188">
        <v>-5.0</v>
      </c>
      <c r="W247" s="188">
        <v>29.0</v>
      </c>
      <c r="X247" s="189" t="s">
        <v>209</v>
      </c>
      <c r="Y247" s="15"/>
      <c r="Z247" s="174" t="s">
        <v>342</v>
      </c>
      <c r="AA247" s="199">
        <v>0.1539</v>
      </c>
      <c r="AB247" s="199">
        <v>0.1603</v>
      </c>
      <c r="AC247" s="199">
        <v>0.1486</v>
      </c>
      <c r="AD247" s="199">
        <v>0.0239</v>
      </c>
      <c r="AE247" s="199">
        <v>0.1179</v>
      </c>
      <c r="AF247" s="200">
        <v>0.1772</v>
      </c>
      <c r="AG247" s="179"/>
      <c r="AH247" s="138" t="s">
        <v>465</v>
      </c>
      <c r="AI247" s="15"/>
      <c r="AJ247" s="15"/>
      <c r="AK247" s="15"/>
      <c r="AL247" s="15"/>
      <c r="AM247" s="15"/>
      <c r="AN247" s="15"/>
      <c r="AO247" s="179"/>
      <c r="AP247" s="179"/>
      <c r="AQ247" s="165"/>
      <c r="AR247" s="165"/>
      <c r="AS247" s="165"/>
      <c r="AT247" s="165"/>
      <c r="AU247" s="165"/>
      <c r="AV247" s="165"/>
      <c r="AW247" s="165"/>
      <c r="AX247" s="15"/>
      <c r="AY247" s="15"/>
      <c r="AZ247" s="179"/>
      <c r="BA247" s="179"/>
      <c r="BB247" s="179"/>
      <c r="BC247" s="179"/>
      <c r="BD247" s="179"/>
      <c r="BE247" s="179"/>
      <c r="BF247" s="179"/>
      <c r="BG247" s="179"/>
      <c r="BH247" s="179"/>
      <c r="BI247" s="179"/>
      <c r="BJ247" s="179"/>
      <c r="BK247" s="179"/>
      <c r="BL247" s="179"/>
      <c r="BM247" s="179"/>
      <c r="BN247" s="179"/>
      <c r="BO247" s="179"/>
      <c r="BP247" s="179"/>
      <c r="BQ247" s="179"/>
      <c r="BR247" s="179"/>
      <c r="BS247" s="179"/>
      <c r="BT247" s="179"/>
      <c r="BU247" s="179"/>
      <c r="BV247" s="179"/>
      <c r="BW247" s="179"/>
      <c r="BX247" s="179"/>
      <c r="BY247" s="179"/>
      <c r="BZ247" s="179"/>
      <c r="CA247" s="179"/>
      <c r="CB247" s="179"/>
      <c r="CC247" s="179"/>
      <c r="CD247" s="179"/>
      <c r="CE247" s="179"/>
      <c r="CF247" s="179"/>
      <c r="CG247" s="179"/>
      <c r="CH247" s="179"/>
      <c r="CI247" s="179"/>
      <c r="CJ247" s="179"/>
      <c r="CK247" s="179"/>
      <c r="CL247" s="179"/>
      <c r="CM247" s="179"/>
      <c r="CN247" s="179"/>
      <c r="CO247" s="179"/>
      <c r="CP247" s="179"/>
      <c r="CQ247" s="179"/>
      <c r="CR247" s="179"/>
      <c r="CS247" s="179"/>
      <c r="CT247" s="179"/>
      <c r="CU247" s="179"/>
      <c r="CV247" s="179"/>
      <c r="CW247" s="179"/>
      <c r="CX247" s="179"/>
      <c r="CY247" s="179"/>
      <c r="CZ247" s="179"/>
      <c r="DA247" s="179"/>
      <c r="DB247" s="179"/>
      <c r="DC247" s="179"/>
      <c r="DD247" s="179"/>
    </row>
    <row r="248" outlineLevel="1">
      <c r="A248" s="15"/>
      <c r="B248" s="174" t="s">
        <v>322</v>
      </c>
      <c r="C248" s="172">
        <v>5794.0</v>
      </c>
      <c r="D248" s="172">
        <v>5765.0</v>
      </c>
      <c r="E248" s="172">
        <v>2774.0</v>
      </c>
      <c r="F248" s="172">
        <v>1662.0</v>
      </c>
      <c r="G248" s="172">
        <v>1662.0</v>
      </c>
      <c r="H248" s="173">
        <v>1356.0</v>
      </c>
      <c r="I248" s="15"/>
      <c r="J248" s="174" t="s">
        <v>307</v>
      </c>
      <c r="K248" s="172">
        <v>256876.0</v>
      </c>
      <c r="L248" s="172">
        <v>281770.0</v>
      </c>
      <c r="M248" s="172">
        <v>178171.0</v>
      </c>
      <c r="N248" s="172">
        <v>133317.0</v>
      </c>
      <c r="O248" s="172">
        <v>111531.0</v>
      </c>
      <c r="P248" s="173">
        <v>81020.0</v>
      </c>
      <c r="Q248" s="15"/>
      <c r="R248" s="174" t="s">
        <v>299</v>
      </c>
      <c r="S248" s="180">
        <v>38061.0</v>
      </c>
      <c r="T248" s="180">
        <v>101234.0</v>
      </c>
      <c r="U248" s="180">
        <v>33897.0</v>
      </c>
      <c r="V248" s="180">
        <v>46096.0</v>
      </c>
      <c r="W248" s="180">
        <v>23568.0</v>
      </c>
      <c r="X248" s="181">
        <v>-57724.0</v>
      </c>
      <c r="Y248" s="15"/>
      <c r="Z248" s="174" t="s">
        <v>346</v>
      </c>
      <c r="AA248" s="199">
        <v>0.34</v>
      </c>
      <c r="AB248" s="199">
        <v>0.321</v>
      </c>
      <c r="AC248" s="199">
        <v>0.315</v>
      </c>
      <c r="AD248" s="199">
        <v>0.119</v>
      </c>
      <c r="AE248" s="199">
        <v>0.186</v>
      </c>
      <c r="AF248" s="200">
        <v>0.343</v>
      </c>
      <c r="AG248" s="179"/>
      <c r="AH248" s="15" t="s">
        <v>466</v>
      </c>
      <c r="AI248" s="156">
        <v>4.333371593E9</v>
      </c>
      <c r="AJ248" s="156">
        <v>3.771066285E9</v>
      </c>
      <c r="AK248" s="156">
        <v>2.719116879E9</v>
      </c>
      <c r="AL248" s="156">
        <v>1.1934452814E10</v>
      </c>
      <c r="AM248" s="156">
        <v>2.719116879E9</v>
      </c>
      <c r="AN248" s="156">
        <v>1.1934452814E10</v>
      </c>
      <c r="AO248" s="179"/>
      <c r="AP248" s="179"/>
      <c r="AQ248" s="272"/>
      <c r="AR248" s="272"/>
      <c r="AS248" s="272"/>
      <c r="AT248" s="272"/>
      <c r="AU248" s="272"/>
      <c r="AV248" s="272"/>
      <c r="AW248" s="272"/>
      <c r="AX248" s="15"/>
      <c r="AY248" s="15"/>
      <c r="AZ248" s="179"/>
      <c r="BA248" s="179"/>
      <c r="BB248" s="179"/>
      <c r="BC248" s="179"/>
      <c r="BD248" s="179"/>
      <c r="BE248" s="179"/>
      <c r="BF248" s="179"/>
      <c r="BG248" s="179"/>
      <c r="BH248" s="179"/>
      <c r="BI248" s="179"/>
      <c r="BJ248" s="179"/>
      <c r="BK248" s="179"/>
      <c r="BL248" s="179"/>
      <c r="BM248" s="179"/>
      <c r="BN248" s="179"/>
      <c r="BO248" s="179"/>
      <c r="BP248" s="179"/>
      <c r="BQ248" s="179"/>
      <c r="BR248" s="179"/>
      <c r="BS248" s="179"/>
      <c r="BT248" s="179"/>
      <c r="BU248" s="179"/>
      <c r="BV248" s="179"/>
      <c r="BW248" s="179"/>
      <c r="BX248" s="179"/>
      <c r="BY248" s="179"/>
      <c r="BZ248" s="179"/>
      <c r="CA248" s="179"/>
      <c r="CB248" s="179"/>
      <c r="CC248" s="179"/>
      <c r="CD248" s="179"/>
      <c r="CE248" s="179"/>
      <c r="CF248" s="179"/>
      <c r="CG248" s="179"/>
      <c r="CH248" s="179"/>
      <c r="CI248" s="179"/>
      <c r="CJ248" s="179"/>
      <c r="CK248" s="179"/>
      <c r="CL248" s="179"/>
      <c r="CM248" s="179"/>
      <c r="CN248" s="179"/>
      <c r="CO248" s="179"/>
      <c r="CP248" s="179"/>
      <c r="CQ248" s="179"/>
      <c r="CR248" s="179"/>
      <c r="CS248" s="179"/>
      <c r="CT248" s="179"/>
      <c r="CU248" s="179"/>
      <c r="CV248" s="179"/>
      <c r="CW248" s="179"/>
      <c r="CX248" s="179"/>
      <c r="CY248" s="179"/>
      <c r="CZ248" s="179"/>
      <c r="DA248" s="179"/>
      <c r="DB248" s="179"/>
      <c r="DC248" s="179"/>
      <c r="DD248" s="179"/>
    </row>
    <row r="249" outlineLevel="1">
      <c r="A249" s="15"/>
      <c r="B249" s="157" t="s">
        <v>421</v>
      </c>
      <c r="C249" s="176">
        <v>0.5247</v>
      </c>
      <c r="D249" s="176">
        <v>1.0779</v>
      </c>
      <c r="E249" s="176">
        <v>0.6698</v>
      </c>
      <c r="F249" s="201" t="s">
        <v>209</v>
      </c>
      <c r="G249" s="176">
        <v>0.2257</v>
      </c>
      <c r="H249" s="271" t="s">
        <v>209</v>
      </c>
      <c r="I249" s="15"/>
      <c r="J249" s="174" t="s">
        <v>313</v>
      </c>
      <c r="K249" s="180">
        <v>2686026.0</v>
      </c>
      <c r="L249" s="180">
        <v>2791405.0</v>
      </c>
      <c r="M249" s="180">
        <v>2025947.0</v>
      </c>
      <c r="N249" s="180">
        <v>1540428.0</v>
      </c>
      <c r="O249" s="180">
        <v>1531002.0</v>
      </c>
      <c r="P249" s="181">
        <v>654226.0</v>
      </c>
      <c r="Q249" s="15"/>
      <c r="R249" s="174" t="s">
        <v>303</v>
      </c>
      <c r="S249" s="172">
        <v>-12175.0</v>
      </c>
      <c r="T249" s="172">
        <v>-124054.0</v>
      </c>
      <c r="U249" s="172">
        <v>-33892.0</v>
      </c>
      <c r="V249" s="172">
        <v>45878.0</v>
      </c>
      <c r="W249" s="172">
        <v>42570.0</v>
      </c>
      <c r="X249" s="173">
        <v>-84131.0</v>
      </c>
      <c r="Y249" s="15"/>
      <c r="Z249" s="174" t="s">
        <v>350</v>
      </c>
      <c r="AA249" s="199">
        <v>0.1355</v>
      </c>
      <c r="AB249" s="199">
        <v>0.0974</v>
      </c>
      <c r="AC249" s="188" t="s">
        <v>209</v>
      </c>
      <c r="AD249" s="188" t="s">
        <v>209</v>
      </c>
      <c r="AE249" s="188" t="s">
        <v>209</v>
      </c>
      <c r="AF249" s="189" t="s">
        <v>209</v>
      </c>
      <c r="AG249" s="165"/>
      <c r="AH249" s="15" t="s">
        <v>467</v>
      </c>
      <c r="AI249" s="156">
        <v>6.59294427E8</v>
      </c>
      <c r="AJ249" s="156">
        <v>4.65430602E8</v>
      </c>
      <c r="AK249" s="156">
        <v>3.29300523E8</v>
      </c>
      <c r="AL249" s="156">
        <v>3.33719008E8</v>
      </c>
      <c r="AM249" s="156">
        <v>3.29300523E8</v>
      </c>
      <c r="AN249" s="156">
        <v>3.33719008E8</v>
      </c>
      <c r="AO249" s="165"/>
      <c r="AP249" s="16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65"/>
      <c r="BA249" s="165"/>
      <c r="BB249" s="165"/>
      <c r="BC249" s="165"/>
      <c r="BD249" s="165"/>
      <c r="BE249" s="165"/>
      <c r="BF249" s="165"/>
      <c r="BG249" s="165"/>
      <c r="BH249" s="165"/>
      <c r="BI249" s="165"/>
      <c r="BJ249" s="165"/>
      <c r="BK249" s="165"/>
      <c r="BL249" s="165"/>
      <c r="BM249" s="165"/>
      <c r="BN249" s="165"/>
      <c r="BO249" s="165"/>
      <c r="BP249" s="165"/>
      <c r="BQ249" s="165"/>
      <c r="BR249" s="165"/>
      <c r="BS249" s="165"/>
      <c r="BT249" s="165"/>
      <c r="BU249" s="165"/>
      <c r="BV249" s="165"/>
      <c r="BW249" s="165"/>
      <c r="BX249" s="165"/>
      <c r="BY249" s="165"/>
      <c r="BZ249" s="165"/>
      <c r="CA249" s="165"/>
      <c r="CB249" s="165"/>
      <c r="CC249" s="165"/>
      <c r="CD249" s="165"/>
      <c r="CE249" s="165"/>
      <c r="CF249" s="165"/>
      <c r="CG249" s="165"/>
      <c r="CH249" s="165"/>
      <c r="CI249" s="165"/>
      <c r="CJ249" s="165"/>
      <c r="CK249" s="165"/>
      <c r="CL249" s="165"/>
      <c r="CM249" s="165"/>
      <c r="CN249" s="165"/>
      <c r="CO249" s="165"/>
      <c r="CP249" s="165"/>
      <c r="CQ249" s="165"/>
      <c r="CR249" s="165"/>
      <c r="CS249" s="165"/>
      <c r="CT249" s="165"/>
      <c r="CU249" s="165"/>
      <c r="CV249" s="165"/>
      <c r="CW249" s="165"/>
      <c r="CX249" s="165"/>
      <c r="CY249" s="165"/>
      <c r="CZ249" s="165"/>
      <c r="DA249" s="165"/>
      <c r="DB249" s="165"/>
      <c r="DC249" s="165"/>
      <c r="DD249" s="165"/>
    </row>
    <row r="250" outlineLevel="1">
      <c r="A250" s="15"/>
      <c r="B250" s="174" t="s">
        <v>327</v>
      </c>
      <c r="C250" s="188">
        <v>41.82</v>
      </c>
      <c r="D250" s="188">
        <v>37.96</v>
      </c>
      <c r="E250" s="188">
        <v>64.41</v>
      </c>
      <c r="F250" s="188">
        <v>9.17</v>
      </c>
      <c r="G250" s="188">
        <v>85.65</v>
      </c>
      <c r="H250" s="189">
        <v>59.78</v>
      </c>
      <c r="I250" s="15"/>
      <c r="J250" s="174" t="s">
        <v>318</v>
      </c>
      <c r="K250" s="172">
        <v>71796.0</v>
      </c>
      <c r="L250" s="172">
        <v>72447.0</v>
      </c>
      <c r="M250" s="172">
        <v>4466.0</v>
      </c>
      <c r="N250" s="172">
        <v>48982.0</v>
      </c>
      <c r="O250" s="172">
        <v>18335.0</v>
      </c>
      <c r="P250" s="173">
        <v>13333.0</v>
      </c>
      <c r="Q250" s="15"/>
      <c r="R250" s="157" t="s">
        <v>308</v>
      </c>
      <c r="S250" s="186" t="s">
        <v>209</v>
      </c>
      <c r="T250" s="186" t="s">
        <v>209</v>
      </c>
      <c r="U250" s="186" t="s">
        <v>209</v>
      </c>
      <c r="V250" s="185">
        <v>0.0777</v>
      </c>
      <c r="W250" s="186" t="s">
        <v>209</v>
      </c>
      <c r="X250" s="187" t="s">
        <v>209</v>
      </c>
      <c r="Y250" s="15"/>
      <c r="Z250" s="174" t="s">
        <v>355</v>
      </c>
      <c r="AA250" s="199">
        <v>-0.0068</v>
      </c>
      <c r="AB250" s="199">
        <v>-0.0552</v>
      </c>
      <c r="AC250" s="188" t="s">
        <v>209</v>
      </c>
      <c r="AD250" s="188" t="s">
        <v>209</v>
      </c>
      <c r="AE250" s="188" t="s">
        <v>209</v>
      </c>
      <c r="AF250" s="189" t="s">
        <v>209</v>
      </c>
      <c r="AG250" s="165"/>
      <c r="AH250" s="15" t="s">
        <v>468</v>
      </c>
      <c r="AI250" s="156">
        <v>4.06957502E8</v>
      </c>
      <c r="AJ250" s="156">
        <v>3.2758047E8</v>
      </c>
      <c r="AK250" s="156">
        <v>8.0854979E7</v>
      </c>
      <c r="AL250" s="156">
        <v>9.9450678E7</v>
      </c>
      <c r="AM250" s="156">
        <v>8.0854979E7</v>
      </c>
      <c r="AN250" s="156">
        <v>9.9450678E7</v>
      </c>
      <c r="AO250" s="165"/>
      <c r="AP250" s="16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65"/>
      <c r="BA250" s="165"/>
      <c r="BB250" s="165"/>
      <c r="BC250" s="165"/>
      <c r="BD250" s="165"/>
      <c r="BE250" s="165"/>
      <c r="BF250" s="165"/>
      <c r="BG250" s="165"/>
      <c r="BH250" s="165"/>
      <c r="BI250" s="165"/>
      <c r="BJ250" s="165"/>
      <c r="BK250" s="165"/>
      <c r="BL250" s="165"/>
      <c r="BM250" s="165"/>
      <c r="BN250" s="165"/>
      <c r="BO250" s="165"/>
      <c r="BP250" s="165"/>
      <c r="BQ250" s="165"/>
      <c r="BR250" s="165"/>
      <c r="BS250" s="165"/>
      <c r="BT250" s="165"/>
      <c r="BU250" s="165"/>
      <c r="BV250" s="165"/>
      <c r="BW250" s="165"/>
      <c r="BX250" s="165"/>
      <c r="BY250" s="165"/>
      <c r="BZ250" s="165"/>
      <c r="CA250" s="165"/>
      <c r="CB250" s="165"/>
      <c r="CC250" s="165"/>
      <c r="CD250" s="165"/>
      <c r="CE250" s="165"/>
      <c r="CF250" s="165"/>
      <c r="CG250" s="165"/>
      <c r="CH250" s="165"/>
      <c r="CI250" s="165"/>
      <c r="CJ250" s="165"/>
      <c r="CK250" s="165"/>
      <c r="CL250" s="165"/>
      <c r="CM250" s="165"/>
      <c r="CN250" s="165"/>
      <c r="CO250" s="165"/>
      <c r="CP250" s="165"/>
      <c r="CQ250" s="165"/>
      <c r="CR250" s="165"/>
      <c r="CS250" s="165"/>
      <c r="CT250" s="165"/>
      <c r="CU250" s="165"/>
      <c r="CV250" s="165"/>
      <c r="CW250" s="165"/>
      <c r="CX250" s="165"/>
      <c r="CY250" s="165"/>
      <c r="CZ250" s="165"/>
      <c r="DA250" s="165"/>
      <c r="DB250" s="165"/>
      <c r="DC250" s="165"/>
      <c r="DD250" s="165"/>
    </row>
    <row r="251" outlineLevel="1">
      <c r="A251" s="15"/>
      <c r="B251" s="174" t="s">
        <v>333</v>
      </c>
      <c r="C251" s="188">
        <v>41.82</v>
      </c>
      <c r="D251" s="188">
        <v>37.96</v>
      </c>
      <c r="E251" s="188">
        <v>64.41</v>
      </c>
      <c r="F251" s="188">
        <v>9.0</v>
      </c>
      <c r="G251" s="188">
        <v>85.65</v>
      </c>
      <c r="H251" s="189">
        <v>59.78</v>
      </c>
      <c r="I251" s="15"/>
      <c r="J251" s="174" t="s">
        <v>323</v>
      </c>
      <c r="K251" s="172">
        <v>35900.0</v>
      </c>
      <c r="L251" s="172">
        <v>33321.0</v>
      </c>
      <c r="M251" s="172">
        <v>45183.0</v>
      </c>
      <c r="N251" s="172">
        <v>55858.0</v>
      </c>
      <c r="O251" s="172">
        <v>59426.0</v>
      </c>
      <c r="P251" s="173">
        <v>10280.0</v>
      </c>
      <c r="Q251" s="15"/>
      <c r="R251" s="174" t="s">
        <v>314</v>
      </c>
      <c r="S251" s="199">
        <v>-0.0027</v>
      </c>
      <c r="T251" s="199">
        <v>-0.0299</v>
      </c>
      <c r="U251" s="199">
        <v>-0.01</v>
      </c>
      <c r="V251" s="199">
        <v>0.0151</v>
      </c>
      <c r="W251" s="199">
        <v>0.0252</v>
      </c>
      <c r="X251" s="200">
        <v>-0.0608</v>
      </c>
      <c r="Y251" s="15"/>
      <c r="Z251" s="174" t="s">
        <v>363</v>
      </c>
      <c r="AA251" s="199">
        <v>0.3586</v>
      </c>
      <c r="AB251" s="199">
        <v>0.4804</v>
      </c>
      <c r="AC251" s="199">
        <v>1.6901</v>
      </c>
      <c r="AD251" s="188" t="s">
        <v>209</v>
      </c>
      <c r="AE251" s="188" t="s">
        <v>209</v>
      </c>
      <c r="AF251" s="200">
        <v>1.851</v>
      </c>
      <c r="AG251" s="179"/>
      <c r="AH251" s="15" t="s">
        <v>469</v>
      </c>
      <c r="AI251" s="156">
        <v>2822268.0</v>
      </c>
      <c r="AJ251" s="156">
        <v>1.0152592E8</v>
      </c>
      <c r="AK251" s="156">
        <v>170000.0</v>
      </c>
      <c r="AL251" s="156">
        <v>5.2145034E7</v>
      </c>
      <c r="AM251" s="156">
        <v>170000.0</v>
      </c>
      <c r="AN251" s="156">
        <v>5.2145034E7</v>
      </c>
      <c r="AO251" s="179"/>
      <c r="AP251" s="179"/>
      <c r="AQ251" s="15"/>
      <c r="AR251" s="15"/>
      <c r="AS251" s="15"/>
      <c r="AT251" s="15"/>
      <c r="AU251" s="15"/>
      <c r="AV251" s="15"/>
      <c r="AW251" s="15"/>
      <c r="AX251" s="15"/>
      <c r="AY251" s="15"/>
      <c r="AZ251" s="179"/>
      <c r="BA251" s="179"/>
      <c r="BB251" s="179"/>
      <c r="BC251" s="179"/>
      <c r="BD251" s="179"/>
      <c r="BE251" s="179"/>
      <c r="BF251" s="179"/>
      <c r="BG251" s="179"/>
      <c r="BH251" s="179"/>
      <c r="BI251" s="179"/>
      <c r="BJ251" s="179"/>
      <c r="BK251" s="179"/>
      <c r="BL251" s="179"/>
      <c r="BM251" s="179"/>
      <c r="BN251" s="179"/>
      <c r="BO251" s="179"/>
      <c r="BP251" s="179"/>
      <c r="BQ251" s="179"/>
      <c r="BR251" s="179"/>
      <c r="BS251" s="179"/>
      <c r="BT251" s="179"/>
      <c r="BU251" s="179"/>
      <c r="BV251" s="179"/>
      <c r="BW251" s="179"/>
      <c r="BX251" s="179"/>
      <c r="BY251" s="179"/>
      <c r="BZ251" s="179"/>
      <c r="CA251" s="179"/>
      <c r="CB251" s="179"/>
      <c r="CC251" s="179"/>
      <c r="CD251" s="179"/>
      <c r="CE251" s="179"/>
      <c r="CF251" s="179"/>
      <c r="CG251" s="179"/>
      <c r="CH251" s="179"/>
      <c r="CI251" s="179"/>
      <c r="CJ251" s="179"/>
      <c r="CK251" s="179"/>
      <c r="CL251" s="179"/>
      <c r="CM251" s="179"/>
      <c r="CN251" s="179"/>
      <c r="CO251" s="179"/>
      <c r="CP251" s="179"/>
      <c r="CQ251" s="179"/>
      <c r="CR251" s="179"/>
      <c r="CS251" s="179"/>
      <c r="CT251" s="179"/>
      <c r="CU251" s="179"/>
      <c r="CV251" s="179"/>
      <c r="CW251" s="179"/>
      <c r="CX251" s="179"/>
      <c r="CY251" s="179"/>
      <c r="CZ251" s="179"/>
      <c r="DA251" s="179"/>
      <c r="DB251" s="179"/>
      <c r="DC251" s="179"/>
      <c r="DD251" s="179"/>
    </row>
    <row r="252" outlineLevel="1">
      <c r="A252" s="15"/>
      <c r="B252" s="157" t="s">
        <v>339</v>
      </c>
      <c r="C252" s="176">
        <v>-0.1415</v>
      </c>
      <c r="D252" s="176">
        <v>-0.4106</v>
      </c>
      <c r="E252" s="177">
        <v>6.1563</v>
      </c>
      <c r="F252" s="176">
        <v>-0.8949</v>
      </c>
      <c r="G252" s="177">
        <v>0.4326</v>
      </c>
      <c r="H252" s="271" t="s">
        <v>209</v>
      </c>
      <c r="I252" s="15"/>
      <c r="J252" s="174" t="s">
        <v>328</v>
      </c>
      <c r="K252" s="172">
        <v>52838.0</v>
      </c>
      <c r="L252" s="172">
        <v>52706.0</v>
      </c>
      <c r="M252" s="172">
        <v>44922.0</v>
      </c>
      <c r="N252" s="172">
        <v>44462.0</v>
      </c>
      <c r="O252" s="172">
        <v>37082.0</v>
      </c>
      <c r="P252" s="173">
        <v>32964.0</v>
      </c>
      <c r="Q252" s="15"/>
      <c r="R252" s="174" t="s">
        <v>319</v>
      </c>
      <c r="S252" s="182">
        <v>-2.1</v>
      </c>
      <c r="T252" s="182">
        <v>-21.52</v>
      </c>
      <c r="U252" s="182">
        <v>-12.22</v>
      </c>
      <c r="V252" s="182">
        <v>27.61</v>
      </c>
      <c r="W252" s="182">
        <v>25.62</v>
      </c>
      <c r="X252" s="183">
        <v>-62.07</v>
      </c>
      <c r="Y252" s="15"/>
      <c r="Z252" s="174" t="s">
        <v>470</v>
      </c>
      <c r="AA252" s="199">
        <v>-0.5247</v>
      </c>
      <c r="AB252" s="199">
        <v>-1.0779</v>
      </c>
      <c r="AC252" s="199">
        <v>-0.6698</v>
      </c>
      <c r="AD252" s="188" t="s">
        <v>209</v>
      </c>
      <c r="AE252" s="199">
        <v>-0.2257</v>
      </c>
      <c r="AF252" s="189" t="s">
        <v>209</v>
      </c>
      <c r="AG252" s="165"/>
      <c r="AH252" s="15" t="s">
        <v>471</v>
      </c>
      <c r="AI252" s="156">
        <v>1.134054538E9</v>
      </c>
      <c r="AJ252" s="156">
        <v>9.63503217E8</v>
      </c>
      <c r="AK252" s="156">
        <v>1.051233492E9</v>
      </c>
      <c r="AL252" s="156">
        <v>4.541583641E9</v>
      </c>
      <c r="AM252" s="156">
        <v>1.051233492E9</v>
      </c>
      <c r="AN252" s="156">
        <v>4.541583641E9</v>
      </c>
      <c r="AO252" s="165"/>
      <c r="AP252" s="16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65"/>
      <c r="BA252" s="165"/>
      <c r="BB252" s="165"/>
      <c r="BC252" s="165"/>
      <c r="BD252" s="165"/>
      <c r="BE252" s="165"/>
      <c r="BF252" s="165"/>
      <c r="BG252" s="165"/>
      <c r="BH252" s="165"/>
      <c r="BI252" s="165"/>
      <c r="BJ252" s="165"/>
      <c r="BK252" s="165"/>
      <c r="BL252" s="165"/>
      <c r="BM252" s="165"/>
      <c r="BN252" s="165"/>
      <c r="BO252" s="165"/>
      <c r="BP252" s="165"/>
      <c r="BQ252" s="165"/>
      <c r="BR252" s="165"/>
      <c r="BS252" s="165"/>
      <c r="BT252" s="165"/>
      <c r="BU252" s="165"/>
      <c r="BV252" s="165"/>
      <c r="BW252" s="165"/>
      <c r="BX252" s="165"/>
      <c r="BY252" s="165"/>
      <c r="BZ252" s="165"/>
      <c r="CA252" s="165"/>
      <c r="CB252" s="165"/>
      <c r="CC252" s="165"/>
      <c r="CD252" s="165"/>
      <c r="CE252" s="165"/>
      <c r="CF252" s="165"/>
      <c r="CG252" s="165"/>
      <c r="CH252" s="165"/>
      <c r="CI252" s="165"/>
      <c r="CJ252" s="165"/>
      <c r="CK252" s="165"/>
      <c r="CL252" s="165"/>
      <c r="CM252" s="165"/>
      <c r="CN252" s="165"/>
      <c r="CO252" s="165"/>
      <c r="CP252" s="165"/>
      <c r="CQ252" s="165"/>
      <c r="CR252" s="165"/>
      <c r="CS252" s="165"/>
      <c r="CT252" s="165"/>
      <c r="CU252" s="165"/>
      <c r="CV252" s="165"/>
      <c r="CW252" s="165"/>
      <c r="CX252" s="165"/>
      <c r="CY252" s="165"/>
      <c r="CZ252" s="165"/>
      <c r="DA252" s="165"/>
      <c r="DB252" s="165"/>
      <c r="DC252" s="165"/>
      <c r="DD252" s="165"/>
    </row>
    <row r="253" outlineLevel="1">
      <c r="A253" s="15"/>
      <c r="B253" s="174" t="s">
        <v>303</v>
      </c>
      <c r="C253" s="172">
        <v>-12175.0</v>
      </c>
      <c r="D253" s="172">
        <v>-124054.0</v>
      </c>
      <c r="E253" s="172">
        <v>-33892.0</v>
      </c>
      <c r="F253" s="172">
        <v>45878.0</v>
      </c>
      <c r="G253" s="172">
        <v>42570.0</v>
      </c>
      <c r="H253" s="173">
        <v>-84131.0</v>
      </c>
      <c r="I253" s="15"/>
      <c r="J253" s="174" t="s">
        <v>472</v>
      </c>
      <c r="K253" s="188" t="s">
        <v>209</v>
      </c>
      <c r="L253" s="188" t="s">
        <v>209</v>
      </c>
      <c r="M253" s="172">
        <v>4737.0</v>
      </c>
      <c r="N253" s="172">
        <v>5681.0</v>
      </c>
      <c r="O253" s="172">
        <v>2950.0</v>
      </c>
      <c r="P253" s="189" t="s">
        <v>209</v>
      </c>
      <c r="Q253" s="15"/>
      <c r="R253" s="174" t="s">
        <v>324</v>
      </c>
      <c r="S253" s="172">
        <v>114066.0</v>
      </c>
      <c r="T253" s="172">
        <v>101088.0</v>
      </c>
      <c r="U253" s="172">
        <v>68746.0</v>
      </c>
      <c r="V253" s="172">
        <v>52322.0</v>
      </c>
      <c r="W253" s="172">
        <v>21945.0</v>
      </c>
      <c r="X253" s="173">
        <v>6584.0</v>
      </c>
      <c r="Y253" s="15"/>
      <c r="Z253" s="206" t="s">
        <v>368</v>
      </c>
      <c r="AA253" s="207">
        <v>-0.496</v>
      </c>
      <c r="AB253" s="207">
        <v>-1.0779</v>
      </c>
      <c r="AC253" s="207">
        <v>-0.6698</v>
      </c>
      <c r="AD253" s="208" t="s">
        <v>209</v>
      </c>
      <c r="AE253" s="207">
        <v>-0.2257</v>
      </c>
      <c r="AF253" s="273" t="s">
        <v>209</v>
      </c>
      <c r="AG253" s="272"/>
      <c r="AH253" s="15" t="s">
        <v>473</v>
      </c>
      <c r="AI253" s="156">
        <v>1.02181354E8</v>
      </c>
      <c r="AJ253" s="156">
        <v>3.23180446E8</v>
      </c>
      <c r="AK253" s="156">
        <v>1.94099504E8</v>
      </c>
      <c r="AL253" s="156">
        <v>1.26797899E8</v>
      </c>
      <c r="AM253" s="156">
        <v>1.94099504E8</v>
      </c>
      <c r="AN253" s="156">
        <v>1.26797899E8</v>
      </c>
      <c r="AO253" s="272"/>
      <c r="AP253" s="272"/>
      <c r="AQ253" s="15"/>
      <c r="AR253" s="15"/>
      <c r="AS253" s="15"/>
      <c r="AT253" s="15"/>
      <c r="AU253" s="15"/>
      <c r="AV253" s="15"/>
      <c r="AW253" s="15"/>
      <c r="AX253" s="15"/>
      <c r="AY253" s="15"/>
      <c r="AZ253" s="272"/>
      <c r="BA253" s="272"/>
      <c r="BB253" s="272"/>
      <c r="BC253" s="272"/>
      <c r="BD253" s="272"/>
      <c r="BE253" s="272"/>
      <c r="BF253" s="272"/>
      <c r="BG253" s="272"/>
      <c r="BH253" s="272"/>
      <c r="BI253" s="272"/>
      <c r="BJ253" s="272"/>
      <c r="BK253" s="272"/>
      <c r="BL253" s="272"/>
      <c r="BM253" s="272"/>
      <c r="BN253" s="272"/>
      <c r="BO253" s="272"/>
      <c r="BP253" s="272"/>
      <c r="BQ253" s="272"/>
      <c r="BR253" s="272"/>
      <c r="BS253" s="272"/>
      <c r="BT253" s="272"/>
      <c r="BU253" s="272"/>
      <c r="BV253" s="272"/>
      <c r="BW253" s="272"/>
      <c r="BX253" s="272"/>
      <c r="BY253" s="272"/>
      <c r="BZ253" s="272"/>
      <c r="CA253" s="272"/>
      <c r="CB253" s="272"/>
      <c r="CC253" s="272"/>
      <c r="CD253" s="272"/>
      <c r="CE253" s="272"/>
      <c r="CF253" s="272"/>
      <c r="CG253" s="272"/>
      <c r="CH253" s="272"/>
      <c r="CI253" s="272"/>
      <c r="CJ253" s="272"/>
      <c r="CK253" s="272"/>
      <c r="CL253" s="272"/>
      <c r="CM253" s="272"/>
      <c r="CN253" s="272"/>
      <c r="CO253" s="272"/>
      <c r="CP253" s="272"/>
      <c r="CQ253" s="272"/>
      <c r="CR253" s="272"/>
      <c r="CS253" s="272"/>
      <c r="CT253" s="272"/>
      <c r="CU253" s="272"/>
      <c r="CV253" s="272"/>
      <c r="CW253" s="272"/>
      <c r="CX253" s="272"/>
      <c r="CY253" s="272"/>
      <c r="CZ253" s="272"/>
      <c r="DA253" s="272"/>
      <c r="DB253" s="272"/>
      <c r="DC253" s="272"/>
      <c r="DD253" s="272"/>
    </row>
    <row r="254" outlineLevel="1">
      <c r="A254" s="15"/>
      <c r="B254" s="174" t="s">
        <v>319</v>
      </c>
      <c r="C254" s="182">
        <v>-2.1</v>
      </c>
      <c r="D254" s="182">
        <v>-21.52</v>
      </c>
      <c r="E254" s="182">
        <v>-12.22</v>
      </c>
      <c r="F254" s="182">
        <v>27.61</v>
      </c>
      <c r="G254" s="182">
        <v>25.62</v>
      </c>
      <c r="H254" s="183">
        <v>-62.07</v>
      </c>
      <c r="I254" s="15"/>
      <c r="J254" s="174" t="s">
        <v>422</v>
      </c>
      <c r="K254" s="188" t="s">
        <v>209</v>
      </c>
      <c r="L254" s="188" t="s">
        <v>209</v>
      </c>
      <c r="M254" s="172">
        <v>3531.0</v>
      </c>
      <c r="N254" s="172">
        <v>3287.0</v>
      </c>
      <c r="O254" s="172">
        <v>4702.0</v>
      </c>
      <c r="P254" s="189" t="s">
        <v>209</v>
      </c>
      <c r="Q254" s="15"/>
      <c r="R254" s="174" t="s">
        <v>329</v>
      </c>
      <c r="S254" s="172">
        <v>78920.0</v>
      </c>
      <c r="T254" s="172">
        <v>87295.0</v>
      </c>
      <c r="U254" s="172">
        <v>78577.0</v>
      </c>
      <c r="V254" s="172">
        <v>130543.0</v>
      </c>
      <c r="W254" s="172">
        <v>67709.0</v>
      </c>
      <c r="X254" s="173">
        <v>16893.0</v>
      </c>
      <c r="Y254" s="15"/>
      <c r="Z254" s="15"/>
      <c r="AA254" s="15"/>
      <c r="AB254" s="15"/>
      <c r="AC254" s="15"/>
      <c r="AD254" s="15"/>
      <c r="AE254" s="15"/>
      <c r="AF254" s="15"/>
      <c r="AG254" s="15"/>
      <c r="AH254" s="15" t="s">
        <v>474</v>
      </c>
      <c r="AI254" s="156">
        <v>1.73964234E8</v>
      </c>
      <c r="AJ254" s="156">
        <v>1.70069001E8</v>
      </c>
      <c r="AK254" s="156">
        <v>1.4620788E8</v>
      </c>
      <c r="AL254" s="156">
        <v>5.2573187E7</v>
      </c>
      <c r="AM254" s="156">
        <v>1.4620788E8</v>
      </c>
      <c r="AN254" s="156">
        <v>5.2573187E7</v>
      </c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</row>
    <row r="255" outlineLevel="1">
      <c r="A255" s="15"/>
      <c r="B255" s="174" t="s">
        <v>353</v>
      </c>
      <c r="C255" s="188" t="s">
        <v>209</v>
      </c>
      <c r="D255" s="188" t="s">
        <v>209</v>
      </c>
      <c r="E255" s="188">
        <v>9.0</v>
      </c>
      <c r="F255" s="188" t="s">
        <v>209</v>
      </c>
      <c r="G255" s="188" t="s">
        <v>209</v>
      </c>
      <c r="H255" s="189" t="s">
        <v>209</v>
      </c>
      <c r="I255" s="15"/>
      <c r="J255" s="193" t="s">
        <v>334</v>
      </c>
      <c r="K255" s="194">
        <v>2846560.0</v>
      </c>
      <c r="L255" s="194">
        <v>2949879.0</v>
      </c>
      <c r="M255" s="194">
        <v>2128786.0</v>
      </c>
      <c r="N255" s="194">
        <v>1698698.0</v>
      </c>
      <c r="O255" s="194">
        <v>1653497.0</v>
      </c>
      <c r="P255" s="195">
        <v>710803.0</v>
      </c>
      <c r="Q255" s="15"/>
      <c r="R255" s="174" t="s">
        <v>335</v>
      </c>
      <c r="S255" s="172">
        <v>-26700.0</v>
      </c>
      <c r="T255" s="172">
        <v>-179294.0</v>
      </c>
      <c r="U255" s="172">
        <v>-23478.0</v>
      </c>
      <c r="V255" s="172">
        <v>113643.0</v>
      </c>
      <c r="W255" s="172">
        <v>-587405.0</v>
      </c>
      <c r="X255" s="189" t="s">
        <v>209</v>
      </c>
      <c r="Y255" s="15"/>
      <c r="Z255" s="15"/>
      <c r="AA255" s="15"/>
      <c r="AB255" s="15"/>
      <c r="AC255" s="15"/>
      <c r="AD255" s="15"/>
      <c r="AE255" s="15"/>
      <c r="AF255" s="15"/>
      <c r="AG255" s="15"/>
      <c r="AH255" s="15" t="s">
        <v>475</v>
      </c>
      <c r="AI255" s="156">
        <v>3.32023667E8</v>
      </c>
      <c r="AJ255" s="156">
        <v>3.20918999E8</v>
      </c>
      <c r="AK255" s="156">
        <v>5.38032976E8</v>
      </c>
      <c r="AL255" s="156">
        <v>8.220569294E9</v>
      </c>
      <c r="AM255" s="156">
        <v>5.38032976E8</v>
      </c>
      <c r="AN255" s="156">
        <v>8.220569294E9</v>
      </c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</row>
    <row r="256" outlineLevel="1">
      <c r="A256" s="15"/>
      <c r="B256" s="174" t="s">
        <v>361</v>
      </c>
      <c r="C256" s="199">
        <v>0.259</v>
      </c>
      <c r="D256" s="199">
        <v>0.2675</v>
      </c>
      <c r="E256" s="199">
        <v>0.2766</v>
      </c>
      <c r="F256" s="199">
        <v>0.2321</v>
      </c>
      <c r="G256" s="199">
        <v>0.2263</v>
      </c>
      <c r="H256" s="200">
        <v>0.2511</v>
      </c>
      <c r="I256" s="15"/>
      <c r="J256" s="174" t="s">
        <v>340</v>
      </c>
      <c r="K256" s="172">
        <v>588235.0</v>
      </c>
      <c r="L256" s="172">
        <v>588235.0</v>
      </c>
      <c r="M256" s="172">
        <v>500000.0</v>
      </c>
      <c r="N256" s="172">
        <v>166150.0</v>
      </c>
      <c r="O256" s="172">
        <v>166150.0</v>
      </c>
      <c r="P256" s="173">
        <v>135550.0</v>
      </c>
      <c r="Q256" s="15"/>
      <c r="R256" s="174" t="s">
        <v>341</v>
      </c>
      <c r="S256" s="172">
        <v>31502.0</v>
      </c>
      <c r="T256" s="172">
        <v>-127851.0</v>
      </c>
      <c r="U256" s="172">
        <v>19719.0</v>
      </c>
      <c r="V256" s="172">
        <v>141138.0</v>
      </c>
      <c r="W256" s="172">
        <v>-576890.0</v>
      </c>
      <c r="X256" s="189" t="s">
        <v>209</v>
      </c>
      <c r="Y256" s="15"/>
      <c r="Z256" s="15"/>
      <c r="AA256" s="15"/>
      <c r="AB256" s="15"/>
      <c r="AC256" s="15"/>
      <c r="AD256" s="15"/>
      <c r="AE256" s="15"/>
      <c r="AF256" s="15"/>
      <c r="AG256" s="15"/>
      <c r="AH256" s="15" t="s">
        <v>476</v>
      </c>
      <c r="AI256" s="156">
        <v>1.469807E8</v>
      </c>
      <c r="AJ256" s="156">
        <v>1.18944005E8</v>
      </c>
      <c r="AK256" s="156">
        <v>1.51880588E8</v>
      </c>
      <c r="AL256" s="156">
        <v>0.0</v>
      </c>
      <c r="AM256" s="156">
        <v>1.51880588E8</v>
      </c>
      <c r="AN256" s="156">
        <v>0.0</v>
      </c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</row>
    <row r="257" outlineLevel="1">
      <c r="A257" s="15"/>
      <c r="B257" s="174" t="s">
        <v>366</v>
      </c>
      <c r="C257" s="199">
        <v>0.0995</v>
      </c>
      <c r="D257" s="199">
        <v>0.0969</v>
      </c>
      <c r="E257" s="199">
        <v>0.0827</v>
      </c>
      <c r="F257" s="199">
        <v>0.0344</v>
      </c>
      <c r="G257" s="199">
        <v>0.0726</v>
      </c>
      <c r="H257" s="200">
        <v>0.0837</v>
      </c>
      <c r="I257" s="15"/>
      <c r="J257" s="174" t="s">
        <v>345</v>
      </c>
      <c r="K257" s="172">
        <v>229902.0</v>
      </c>
      <c r="L257" s="172">
        <v>229902.0</v>
      </c>
      <c r="M257" s="172">
        <v>128270.0</v>
      </c>
      <c r="N257" s="172">
        <v>128270.0</v>
      </c>
      <c r="O257" s="172">
        <v>128270.0</v>
      </c>
      <c r="P257" s="173">
        <v>47525.0</v>
      </c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 t="s">
        <v>375</v>
      </c>
      <c r="AI257" s="156">
        <v>3.45446806E8</v>
      </c>
      <c r="AJ257" s="156">
        <v>2.91631667E8</v>
      </c>
      <c r="AK257" s="156">
        <v>2.030225E8</v>
      </c>
      <c r="AL257" s="156">
        <v>2.5602E8</v>
      </c>
      <c r="AM257" s="156">
        <v>2.030225E8</v>
      </c>
      <c r="AN257" s="156">
        <v>2.5602E8</v>
      </c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</row>
    <row r="258" outlineLevel="1">
      <c r="A258" s="15"/>
      <c r="B258" s="174" t="s">
        <v>370</v>
      </c>
      <c r="C258" s="199">
        <v>0.0545</v>
      </c>
      <c r="D258" s="199">
        <v>0.0528</v>
      </c>
      <c r="E258" s="199">
        <v>0.053</v>
      </c>
      <c r="F258" s="199">
        <v>0.005</v>
      </c>
      <c r="G258" s="199">
        <v>0.0843</v>
      </c>
      <c r="H258" s="200">
        <v>0.0586</v>
      </c>
      <c r="I258" s="15"/>
      <c r="J258" s="174" t="s">
        <v>349</v>
      </c>
      <c r="K258" s="172">
        <v>286225.0</v>
      </c>
      <c r="L258" s="172">
        <v>236847.0</v>
      </c>
      <c r="M258" s="172">
        <v>120240.0</v>
      </c>
      <c r="N258" s="172">
        <v>240064.0</v>
      </c>
      <c r="O258" s="172">
        <v>227406.0</v>
      </c>
      <c r="P258" s="173">
        <v>86465.0</v>
      </c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 t="s">
        <v>477</v>
      </c>
      <c r="AI258" s="156">
        <v>2.72725486E8</v>
      </c>
      <c r="AJ258" s="156">
        <v>2.75470018E8</v>
      </c>
      <c r="AK258" s="156">
        <v>4.00843808E8</v>
      </c>
      <c r="AL258" s="156">
        <v>2.5345139E8</v>
      </c>
      <c r="AM258" s="156">
        <v>4.00843808E8</v>
      </c>
      <c r="AN258" s="156">
        <v>2.5345139E8</v>
      </c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</row>
    <row r="259" outlineLevel="1">
      <c r="A259" s="15"/>
      <c r="B259" s="174" t="s">
        <v>314</v>
      </c>
      <c r="C259" s="211">
        <v>-0.0027</v>
      </c>
      <c r="D259" s="211">
        <v>-0.0299</v>
      </c>
      <c r="E259" s="211">
        <v>-0.01</v>
      </c>
      <c r="F259" s="211">
        <v>0.0151</v>
      </c>
      <c r="G259" s="211">
        <v>0.0252</v>
      </c>
      <c r="H259" s="212">
        <v>-0.0608</v>
      </c>
      <c r="I259" s="15"/>
      <c r="J259" s="174" t="s">
        <v>354</v>
      </c>
      <c r="K259" s="188" t="s">
        <v>209</v>
      </c>
      <c r="L259" s="188" t="s">
        <v>209</v>
      </c>
      <c r="M259" s="188" t="s">
        <v>209</v>
      </c>
      <c r="N259" s="172">
        <v>92000.0</v>
      </c>
      <c r="O259" s="188" t="s">
        <v>209</v>
      </c>
      <c r="P259" s="173">
        <v>10654.0</v>
      </c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 t="s">
        <v>456</v>
      </c>
      <c r="AI259" s="156">
        <v>5.283E7</v>
      </c>
      <c r="AJ259" s="156">
        <v>5.68362147E8</v>
      </c>
      <c r="AK259" s="156">
        <v>9.0777006E7</v>
      </c>
      <c r="AL259" s="156">
        <v>3.504E7</v>
      </c>
      <c r="AM259" s="156">
        <v>9.0777006E7</v>
      </c>
      <c r="AN259" s="156">
        <v>3.504E7</v>
      </c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</row>
    <row r="260" outlineLevel="1">
      <c r="A260" s="15"/>
      <c r="B260" s="174" t="s">
        <v>376</v>
      </c>
      <c r="C260" s="172">
        <v>470372.0</v>
      </c>
      <c r="D260" s="172">
        <v>432652.0</v>
      </c>
      <c r="E260" s="172">
        <v>302190.0</v>
      </c>
      <c r="F260" s="172">
        <v>122704.0</v>
      </c>
      <c r="G260" s="172">
        <v>132189.0</v>
      </c>
      <c r="H260" s="173">
        <v>123488.0</v>
      </c>
      <c r="I260" s="15"/>
      <c r="J260" s="174" t="s">
        <v>358</v>
      </c>
      <c r="K260" s="172">
        <v>1104362.0</v>
      </c>
      <c r="L260" s="172">
        <v>1054984.0</v>
      </c>
      <c r="M260" s="172">
        <v>748510.0</v>
      </c>
      <c r="N260" s="172">
        <v>626484.0</v>
      </c>
      <c r="O260" s="172">
        <v>521826.0</v>
      </c>
      <c r="P260" s="173">
        <v>280194.0</v>
      </c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 t="s">
        <v>463</v>
      </c>
      <c r="AI260" s="156">
        <v>7.962652575E9</v>
      </c>
      <c r="AJ260" s="156">
        <v>7.697682777E9</v>
      </c>
      <c r="AK260" s="156">
        <v>5.905540135E9</v>
      </c>
      <c r="AL260" s="156">
        <v>2.5905802945E10</v>
      </c>
      <c r="AM260" s="156">
        <v>5.905540135E9</v>
      </c>
      <c r="AN260" s="156">
        <v>2.5905802945E10</v>
      </c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</row>
    <row r="261" outlineLevel="1">
      <c r="A261" s="15"/>
      <c r="B261" s="157" t="s">
        <v>22</v>
      </c>
      <c r="C261" s="213">
        <v>0.1058</v>
      </c>
      <c r="D261" s="213">
        <v>0.1043</v>
      </c>
      <c r="E261" s="213">
        <v>0.0896</v>
      </c>
      <c r="F261" s="213">
        <v>0.0404</v>
      </c>
      <c r="G261" s="213">
        <v>0.0783</v>
      </c>
      <c r="H261" s="214">
        <v>0.0893</v>
      </c>
      <c r="I261" s="15"/>
      <c r="J261" s="174" t="s">
        <v>362</v>
      </c>
      <c r="K261" s="172">
        <v>36479.0</v>
      </c>
      <c r="L261" s="172">
        <v>36122.0</v>
      </c>
      <c r="M261" s="172">
        <v>33087.0</v>
      </c>
      <c r="N261" s="172">
        <v>94975.0</v>
      </c>
      <c r="O261" s="172">
        <v>15440.0</v>
      </c>
      <c r="P261" s="189">
        <v>337.0</v>
      </c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 t="s">
        <v>457</v>
      </c>
      <c r="AI261" s="156">
        <v>2.370518438E10</v>
      </c>
      <c r="AJ261" s="156">
        <v>1.2665950512E10</v>
      </c>
      <c r="AK261" s="156">
        <v>8.382331471E9</v>
      </c>
      <c r="AL261" s="156">
        <v>2.7627476485E10</v>
      </c>
      <c r="AM261" s="156">
        <v>8.382331471E9</v>
      </c>
      <c r="AN261" s="156">
        <v>2.7627476485E10</v>
      </c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</row>
    <row r="262" outlineLevel="1">
      <c r="A262" s="15"/>
      <c r="B262" s="174" t="s">
        <v>383</v>
      </c>
      <c r="C262" s="172">
        <v>28064.0</v>
      </c>
      <c r="D262" s="172">
        <v>31000.0</v>
      </c>
      <c r="E262" s="172">
        <v>23365.0</v>
      </c>
      <c r="F262" s="172">
        <v>18236.0</v>
      </c>
      <c r="G262" s="172">
        <v>9658.0</v>
      </c>
      <c r="H262" s="173">
        <v>7752.0</v>
      </c>
      <c r="I262" s="15"/>
      <c r="J262" s="193" t="s">
        <v>367</v>
      </c>
      <c r="K262" s="204">
        <v>1140841.0</v>
      </c>
      <c r="L262" s="204">
        <v>1091106.0</v>
      </c>
      <c r="M262" s="204">
        <v>781597.0</v>
      </c>
      <c r="N262" s="204">
        <v>721459.0</v>
      </c>
      <c r="O262" s="204">
        <v>537266.0</v>
      </c>
      <c r="P262" s="205">
        <v>280531.0</v>
      </c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 t="s">
        <v>478</v>
      </c>
      <c r="AI262" s="156">
        <v>1.109049608E9</v>
      </c>
      <c r="AJ262" s="156">
        <v>4784311.0</v>
      </c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</row>
    <row r="263" outlineLevel="1">
      <c r="A263" s="15"/>
      <c r="B263" s="174" t="s">
        <v>386</v>
      </c>
      <c r="C263" s="172">
        <v>442308.0</v>
      </c>
      <c r="D263" s="172">
        <v>401652.0</v>
      </c>
      <c r="E263" s="172">
        <v>278825.0</v>
      </c>
      <c r="F263" s="172">
        <v>104468.0</v>
      </c>
      <c r="G263" s="172">
        <v>122531.0</v>
      </c>
      <c r="H263" s="173">
        <v>115736.0</v>
      </c>
      <c r="I263" s="15"/>
      <c r="J263" s="174" t="s">
        <v>371</v>
      </c>
      <c r="K263" s="180">
        <v>3987401.0</v>
      </c>
      <c r="L263" s="180">
        <v>4040985.0</v>
      </c>
      <c r="M263" s="180">
        <v>2910383.0</v>
      </c>
      <c r="N263" s="180">
        <v>2420157.0</v>
      </c>
      <c r="O263" s="180">
        <v>2190763.0</v>
      </c>
      <c r="P263" s="181">
        <v>991334.0</v>
      </c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 t="s">
        <v>479</v>
      </c>
      <c r="AI263" s="156">
        <v>6.0924409E7</v>
      </c>
      <c r="AJ263" s="156">
        <v>0.0</v>
      </c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</row>
    <row r="264" outlineLevel="1">
      <c r="A264" s="15"/>
      <c r="B264" s="274" t="s">
        <v>390</v>
      </c>
      <c r="C264" s="275">
        <v>0.0995</v>
      </c>
      <c r="D264" s="275">
        <v>0.0969</v>
      </c>
      <c r="E264" s="275">
        <v>0.0827</v>
      </c>
      <c r="F264" s="275">
        <v>0.0344</v>
      </c>
      <c r="G264" s="275">
        <v>0.0726</v>
      </c>
      <c r="H264" s="276">
        <v>0.0837</v>
      </c>
      <c r="I264" s="15"/>
      <c r="J264" s="174" t="s">
        <v>373</v>
      </c>
      <c r="K264" s="172">
        <v>1201471.0</v>
      </c>
      <c r="L264" s="172">
        <v>1119208.0</v>
      </c>
      <c r="M264" s="172">
        <v>996937.0</v>
      </c>
      <c r="N264" s="172">
        <v>821685.0</v>
      </c>
      <c r="O264" s="172">
        <v>780806.0</v>
      </c>
      <c r="P264" s="173">
        <v>223000.0</v>
      </c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 t="s">
        <v>463</v>
      </c>
      <c r="AI264" s="156">
        <v>1.169974017E9</v>
      </c>
      <c r="AJ264" s="156">
        <v>4784311.0</v>
      </c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221"/>
      <c r="AY264" s="221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</row>
    <row r="265" outlineLevel="1">
      <c r="A265" s="15"/>
      <c r="B265" s="174" t="s">
        <v>394</v>
      </c>
      <c r="C265" s="199">
        <v>0.2397</v>
      </c>
      <c r="D265" s="199">
        <v>0.2425</v>
      </c>
      <c r="E265" s="199">
        <v>0.1436</v>
      </c>
      <c r="F265" s="199">
        <v>0.6805</v>
      </c>
      <c r="G265" s="199">
        <v>0.1424</v>
      </c>
      <c r="H265" s="200">
        <v>0.2538</v>
      </c>
      <c r="I265" s="15"/>
      <c r="J265" s="174" t="s">
        <v>377</v>
      </c>
      <c r="K265" s="172">
        <v>-1147625.0</v>
      </c>
      <c r="L265" s="172">
        <v>-989670.0</v>
      </c>
      <c r="M265" s="172">
        <v>-933859.0</v>
      </c>
      <c r="N265" s="172">
        <v>-777747.0</v>
      </c>
      <c r="O265" s="172">
        <v>-757421.0</v>
      </c>
      <c r="P265" s="173">
        <v>-206901.0</v>
      </c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38" t="s">
        <v>480</v>
      </c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</row>
    <row r="266" outlineLevel="1">
      <c r="A266" s="15"/>
      <c r="B266" s="174" t="s">
        <v>481</v>
      </c>
      <c r="C266" s="188" t="s">
        <v>209</v>
      </c>
      <c r="D266" s="172">
        <v>39123.0</v>
      </c>
      <c r="E266" s="172">
        <v>52834.0</v>
      </c>
      <c r="F266" s="172">
        <v>60067.0</v>
      </c>
      <c r="G266" s="172">
        <v>36310.0</v>
      </c>
      <c r="H266" s="173">
        <v>24760.0</v>
      </c>
      <c r="I266" s="15"/>
      <c r="J266" s="174" t="s">
        <v>380</v>
      </c>
      <c r="K266" s="182">
        <v>-198.07</v>
      </c>
      <c r="L266" s="182">
        <v>-171.68</v>
      </c>
      <c r="M266" s="182">
        <v>-336.61</v>
      </c>
      <c r="N266" s="182">
        <v>-468.1</v>
      </c>
      <c r="O266" s="182">
        <v>-455.87</v>
      </c>
      <c r="P266" s="183">
        <v>-152.64</v>
      </c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 t="s">
        <v>482</v>
      </c>
      <c r="AI266" s="156">
        <v>-9.717528329E9</v>
      </c>
      <c r="AJ266" s="156">
        <v>-3.937029958E9</v>
      </c>
      <c r="AK266" s="156">
        <v>-1.647963518E9</v>
      </c>
      <c r="AL266" s="156">
        <v>-8.885660079E9</v>
      </c>
      <c r="AM266" s="156">
        <v>-1.647963518E9</v>
      </c>
      <c r="AN266" s="156">
        <v>-8.885660079E9</v>
      </c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</row>
    <row r="267" outlineLevel="1">
      <c r="A267" s="15"/>
      <c r="B267" s="15"/>
      <c r="C267" s="15"/>
      <c r="D267" s="15"/>
      <c r="E267" s="15"/>
      <c r="F267" s="15"/>
      <c r="G267" s="15"/>
      <c r="H267" s="15"/>
      <c r="I267" s="15"/>
      <c r="J267" s="174" t="s">
        <v>384</v>
      </c>
      <c r="K267" s="172">
        <v>5882.0</v>
      </c>
      <c r="L267" s="172">
        <v>5882.0</v>
      </c>
      <c r="M267" s="172">
        <v>5000.0</v>
      </c>
      <c r="N267" s="172">
        <v>1662.0</v>
      </c>
      <c r="O267" s="172">
        <v>1662.0</v>
      </c>
      <c r="P267" s="173">
        <v>1356.0</v>
      </c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 t="s">
        <v>483</v>
      </c>
      <c r="AI267" s="156">
        <v>-6.30222918E8</v>
      </c>
      <c r="AJ267" s="156">
        <v>-1.63689606E8</v>
      </c>
      <c r="AK267" s="156">
        <v>-8.2235289E7</v>
      </c>
      <c r="AL267" s="156">
        <v>-3.03741926E8</v>
      </c>
      <c r="AM267" s="156">
        <v>-8.2235289E7</v>
      </c>
      <c r="AN267" s="156">
        <v>-3.03741926E8</v>
      </c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</row>
    <row r="268" outlineLevel="1">
      <c r="A268" s="15"/>
      <c r="B268" s="15"/>
      <c r="C268" s="15"/>
      <c r="D268" s="15"/>
      <c r="E268" s="15"/>
      <c r="F268" s="15"/>
      <c r="G268" s="15"/>
      <c r="H268" s="15"/>
      <c r="I268" s="15"/>
      <c r="J268" s="174" t="s">
        <v>387</v>
      </c>
      <c r="K268" s="180">
        <v>5882.0</v>
      </c>
      <c r="L268" s="180">
        <v>5882.0</v>
      </c>
      <c r="M268" s="180">
        <v>5000.0</v>
      </c>
      <c r="N268" s="180">
        <v>1662.0</v>
      </c>
      <c r="O268" s="180">
        <v>1662.0</v>
      </c>
      <c r="P268" s="181">
        <v>1356.0</v>
      </c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 t="s">
        <v>456</v>
      </c>
      <c r="AI268" s="156">
        <v>-3.06513403E8</v>
      </c>
      <c r="AJ268" s="156">
        <v>-1.4662332E8</v>
      </c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</row>
    <row r="269" outlineLevel="1">
      <c r="A269" s="15"/>
      <c r="B269" s="15" t="s">
        <v>402</v>
      </c>
      <c r="C269" s="15"/>
      <c r="D269" s="15"/>
      <c r="E269" s="15"/>
      <c r="F269" s="15"/>
      <c r="G269" s="15"/>
      <c r="H269" s="15"/>
      <c r="I269" s="15"/>
      <c r="J269" s="174" t="s">
        <v>391</v>
      </c>
      <c r="K269" s="172">
        <v>378320.0</v>
      </c>
      <c r="L269" s="172">
        <v>388607.0</v>
      </c>
      <c r="M269" s="172">
        <v>51573.0</v>
      </c>
      <c r="N269" s="172">
        <v>225835.0</v>
      </c>
      <c r="O269" s="172">
        <v>330063.0</v>
      </c>
      <c r="P269" s="173">
        <v>179515.0</v>
      </c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 t="s">
        <v>484</v>
      </c>
      <c r="AI269" s="156">
        <v>-4.0521959E7</v>
      </c>
      <c r="AJ269" s="156">
        <v>-9932037.0</v>
      </c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</row>
    <row r="270" outlineLevel="1">
      <c r="A270" s="15"/>
      <c r="B270" s="220" t="s">
        <v>485</v>
      </c>
      <c r="C270" s="15"/>
      <c r="D270" s="15"/>
      <c r="E270" s="15"/>
      <c r="F270" s="15"/>
      <c r="G270" s="15"/>
      <c r="H270" s="15"/>
      <c r="I270" s="15"/>
      <c r="J270" s="174" t="s">
        <v>395</v>
      </c>
      <c r="K270" s="188">
        <v>187.74</v>
      </c>
      <c r="L270" s="188">
        <v>179.35</v>
      </c>
      <c r="M270" s="188">
        <v>149.7</v>
      </c>
      <c r="N270" s="188">
        <v>377.06</v>
      </c>
      <c r="O270" s="188">
        <v>314.07</v>
      </c>
      <c r="P270" s="189">
        <v>206.71</v>
      </c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 t="s">
        <v>463</v>
      </c>
      <c r="AI270" s="15"/>
      <c r="AJ270" s="15"/>
      <c r="AK270" s="156">
        <v>-1.730198807E9</v>
      </c>
      <c r="AL270" s="156">
        <v>-9.189402005E9</v>
      </c>
      <c r="AM270" s="156">
        <v>-1.730198807E9</v>
      </c>
      <c r="AN270" s="156">
        <v>-9.189402005E9</v>
      </c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</row>
    <row r="271" outlineLevel="1">
      <c r="A271" s="15"/>
      <c r="B271" s="15"/>
      <c r="C271" s="15"/>
      <c r="D271" s="15"/>
      <c r="E271" s="15"/>
      <c r="F271" s="15"/>
      <c r="G271" s="15"/>
      <c r="H271" s="15"/>
      <c r="I271" s="15"/>
      <c r="J271" s="174" t="s">
        <v>398</v>
      </c>
      <c r="K271" s="172">
        <v>1102314.0</v>
      </c>
      <c r="L271" s="172">
        <v>1052712.0</v>
      </c>
      <c r="M271" s="172">
        <v>742302.0</v>
      </c>
      <c r="N271" s="172">
        <v>618818.0</v>
      </c>
      <c r="O271" s="172">
        <v>512620.0</v>
      </c>
      <c r="P271" s="173">
        <v>280194.0</v>
      </c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 t="s">
        <v>457</v>
      </c>
      <c r="AI271" s="15"/>
      <c r="AJ271" s="15"/>
      <c r="AK271" s="156">
        <v>-3.211844703E9</v>
      </c>
      <c r="AL271" s="156">
        <v>6.9190959782E10</v>
      </c>
      <c r="AM271" s="156">
        <v>-3.211844703E9</v>
      </c>
      <c r="AN271" s="156">
        <v>6.9190959782E10</v>
      </c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</row>
    <row r="272" outlineLevel="1">
      <c r="A272" s="15"/>
      <c r="B272" s="15"/>
      <c r="C272" s="15"/>
      <c r="D272" s="15"/>
      <c r="E272" s="15"/>
      <c r="F272" s="15"/>
      <c r="G272" s="15"/>
      <c r="H272" s="15"/>
      <c r="I272" s="15"/>
      <c r="J272" s="174" t="s">
        <v>400</v>
      </c>
      <c r="K272" s="182">
        <v>187.39</v>
      </c>
      <c r="L272" s="182">
        <v>178.96</v>
      </c>
      <c r="M272" s="182">
        <v>148.46</v>
      </c>
      <c r="N272" s="182">
        <v>372.45</v>
      </c>
      <c r="O272" s="182">
        <v>308.53</v>
      </c>
      <c r="P272" s="183">
        <v>206.71</v>
      </c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38" t="s">
        <v>486</v>
      </c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</row>
    <row r="273" outlineLevel="1">
      <c r="A273" s="15"/>
      <c r="B273" s="15"/>
      <c r="C273" s="15"/>
      <c r="D273" s="15"/>
      <c r="E273" s="15"/>
      <c r="F273" s="15"/>
      <c r="G273" s="15"/>
      <c r="H273" s="15"/>
      <c r="I273" s="15"/>
      <c r="J273" s="174" t="s">
        <v>403</v>
      </c>
      <c r="K273" s="172">
        <v>132923.0</v>
      </c>
      <c r="L273" s="172">
        <v>132923.0</v>
      </c>
      <c r="M273" s="172">
        <v>132923.0</v>
      </c>
      <c r="N273" s="172">
        <v>132923.0</v>
      </c>
      <c r="O273" s="172">
        <v>16000.0</v>
      </c>
      <c r="P273" s="173">
        <v>16000.0</v>
      </c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 t="s">
        <v>360</v>
      </c>
      <c r="AI273" s="15"/>
      <c r="AJ273" s="15"/>
      <c r="AK273" s="156">
        <v>5155718.0</v>
      </c>
      <c r="AL273" s="156">
        <v>1.13468753E8</v>
      </c>
      <c r="AM273" s="156">
        <v>5155718.0</v>
      </c>
      <c r="AN273" s="156">
        <v>1.13468753E8</v>
      </c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</row>
    <row r="274" outlineLevel="1">
      <c r="A274" s="15"/>
      <c r="B274" s="15"/>
      <c r="C274" s="15"/>
      <c r="D274" s="15"/>
      <c r="E274" s="15"/>
      <c r="F274" s="15"/>
      <c r="G274" s="15"/>
      <c r="H274" s="15"/>
      <c r="I274" s="15"/>
      <c r="J274" s="174" t="s">
        <v>406</v>
      </c>
      <c r="K274" s="172">
        <v>264185.0</v>
      </c>
      <c r="L274" s="172">
        <v>264185.0</v>
      </c>
      <c r="M274" s="172">
        <v>144039.0</v>
      </c>
      <c r="N274" s="172">
        <v>135655.0</v>
      </c>
      <c r="O274" s="172">
        <v>38633.0</v>
      </c>
      <c r="P274" s="173">
        <v>34224.0</v>
      </c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 t="s">
        <v>487</v>
      </c>
      <c r="AI274" s="15"/>
      <c r="AJ274" s="15"/>
      <c r="AK274" s="156">
        <v>-1.486801614E9</v>
      </c>
      <c r="AL274" s="156">
        <v>7.8266893034E10</v>
      </c>
      <c r="AM274" s="156">
        <v>-1.486801614E9</v>
      </c>
      <c r="AN274" s="156">
        <v>7.8266893034E10</v>
      </c>
      <c r="AO274" s="15"/>
      <c r="AP274" s="15"/>
      <c r="AQ274" s="221"/>
      <c r="AR274" s="221"/>
      <c r="AS274" s="221"/>
      <c r="AT274" s="221"/>
      <c r="AU274" s="221"/>
      <c r="AV274" s="221"/>
      <c r="AW274" s="221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</row>
    <row r="275" outlineLevel="1">
      <c r="A275" s="15"/>
      <c r="B275" s="15"/>
      <c r="C275" s="15"/>
      <c r="D275" s="15"/>
      <c r="E275" s="15"/>
      <c r="F275" s="15"/>
      <c r="G275" s="15"/>
      <c r="H275" s="15"/>
      <c r="I275" s="15"/>
      <c r="J275" s="206" t="s">
        <v>408</v>
      </c>
      <c r="K275" s="222">
        <v>189520.0</v>
      </c>
      <c r="L275" s="222">
        <v>187248.0</v>
      </c>
      <c r="M275" s="222">
        <v>102957.0</v>
      </c>
      <c r="N275" s="222">
        <v>75946.0</v>
      </c>
      <c r="O275" s="222">
        <v>76938.0</v>
      </c>
      <c r="P275" s="223">
        <v>38782.0</v>
      </c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 t="s">
        <v>463</v>
      </c>
      <c r="AI275" s="15"/>
      <c r="AJ275" s="15"/>
      <c r="AK275" s="156">
        <v>-1.481645896E9</v>
      </c>
      <c r="AL275" s="156">
        <v>7.8380361787E10</v>
      </c>
      <c r="AM275" s="156">
        <v>-1.481645896E9</v>
      </c>
      <c r="AN275" s="156">
        <v>7.8380361787E10</v>
      </c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</row>
    <row r="276" outlineLevel="1">
      <c r="A276" s="15"/>
      <c r="B276" s="15"/>
      <c r="C276" s="15"/>
      <c r="D276" s="15"/>
      <c r="E276" s="15"/>
      <c r="F276" s="15"/>
      <c r="G276" s="15"/>
      <c r="H276" s="15"/>
      <c r="I276" s="15"/>
      <c r="J276" s="174" t="s">
        <v>409</v>
      </c>
      <c r="K276" s="172">
        <v>23097.0</v>
      </c>
      <c r="L276" s="172">
        <v>19216.0</v>
      </c>
      <c r="M276" s="172">
        <v>199072.0</v>
      </c>
      <c r="N276" s="172">
        <v>74877.0</v>
      </c>
      <c r="O276" s="188">
        <v>405.0</v>
      </c>
      <c r="P276" s="189">
        <v>405.0</v>
      </c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</row>
    <row r="277" outlineLevel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</row>
    <row r="278" outlineLevel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</row>
    <row r="279" outlineLevel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277" t="s">
        <v>410</v>
      </c>
      <c r="AI279" s="158" t="s">
        <v>144</v>
      </c>
      <c r="AJ279" s="158" t="s">
        <v>145</v>
      </c>
      <c r="AK279" s="158" t="s">
        <v>146</v>
      </c>
      <c r="AL279" s="158" t="s">
        <v>147</v>
      </c>
      <c r="AM279" s="158" t="s">
        <v>148</v>
      </c>
      <c r="AN279" s="158" t="s">
        <v>149</v>
      </c>
      <c r="AO279" s="158" t="s">
        <v>150</v>
      </c>
      <c r="AP279" s="158" t="s">
        <v>151</v>
      </c>
      <c r="AQ279" s="158" t="s">
        <v>152</v>
      </c>
      <c r="AR279" s="158" t="s">
        <v>153</v>
      </c>
      <c r="AS279" s="158" t="s">
        <v>154</v>
      </c>
      <c r="AT279" s="158" t="s">
        <v>155</v>
      </c>
      <c r="AU279" s="158" t="s">
        <v>156</v>
      </c>
      <c r="AV279" s="159" t="s">
        <v>157</v>
      </c>
      <c r="AW279" s="15"/>
      <c r="AX279" s="157" t="s">
        <v>410</v>
      </c>
      <c r="AY279" s="158" t="s">
        <v>172</v>
      </c>
      <c r="AZ279" s="158" t="s">
        <v>144</v>
      </c>
      <c r="BA279" s="158" t="s">
        <v>145</v>
      </c>
      <c r="BB279" s="158" t="s">
        <v>146</v>
      </c>
      <c r="BC279" s="158" t="s">
        <v>147</v>
      </c>
      <c r="BD279" s="158" t="s">
        <v>148</v>
      </c>
      <c r="BE279" s="158" t="s">
        <v>149</v>
      </c>
      <c r="BF279" s="158" t="s">
        <v>150</v>
      </c>
      <c r="BG279" s="158" t="s">
        <v>151</v>
      </c>
      <c r="BH279" s="158" t="s">
        <v>152</v>
      </c>
      <c r="BI279" s="158" t="s">
        <v>153</v>
      </c>
      <c r="BJ279" s="158" t="s">
        <v>154</v>
      </c>
      <c r="BK279" s="158" t="s">
        <v>155</v>
      </c>
      <c r="BL279" s="158" t="s">
        <v>156</v>
      </c>
      <c r="BM279" s="159" t="s">
        <v>157</v>
      </c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</row>
    <row r="280" outlineLevel="1"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70"/>
      <c r="AJ280" s="170"/>
      <c r="AK280" s="170"/>
      <c r="AL280" s="170"/>
      <c r="AM280" s="170"/>
      <c r="AN280" s="170"/>
      <c r="AO280" s="170"/>
      <c r="AP280" s="170"/>
      <c r="AQ280" s="170"/>
      <c r="AR280" s="170"/>
      <c r="AS280" s="170"/>
      <c r="AT280" s="170"/>
      <c r="AU280" s="170"/>
      <c r="AV280" s="170"/>
      <c r="AW280" s="15"/>
      <c r="AX280" s="15"/>
      <c r="AY280" s="170"/>
      <c r="AZ280" s="170"/>
      <c r="BA280" s="170"/>
      <c r="BB280" s="170"/>
      <c r="BC280" s="170"/>
      <c r="BD280" s="170"/>
      <c r="BE280" s="170"/>
      <c r="BF280" s="170"/>
      <c r="BG280" s="170"/>
      <c r="BH280" s="170"/>
      <c r="BI280" s="170"/>
      <c r="BJ280" s="170"/>
      <c r="BK280" s="170"/>
      <c r="BL280" s="170"/>
      <c r="BM280" s="170"/>
      <c r="BN280" s="15"/>
    </row>
    <row r="281" outlineLevel="1"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249"/>
      <c r="AI281" s="248"/>
      <c r="AJ281" s="248"/>
      <c r="AK281" s="248"/>
      <c r="AL281" s="248"/>
      <c r="AM281" s="248"/>
      <c r="AN281" s="248"/>
      <c r="AO281" s="248"/>
      <c r="AP281" s="248"/>
      <c r="AQ281" s="248"/>
      <c r="AR281" s="248"/>
      <c r="AS281" s="248"/>
      <c r="AT281" s="248"/>
      <c r="AU281" s="248"/>
      <c r="AV281" s="254"/>
      <c r="AW281" s="15"/>
      <c r="AX281" s="249"/>
      <c r="AY281" s="248"/>
      <c r="AZ281" s="248"/>
      <c r="BA281" s="248"/>
      <c r="BB281" s="248"/>
      <c r="BC281" s="248"/>
      <c r="BD281" s="248"/>
      <c r="BE281" s="248"/>
      <c r="BF281" s="249"/>
      <c r="BG281" s="249"/>
      <c r="BH281" s="249"/>
      <c r="BI281" s="249"/>
      <c r="BJ281" s="249"/>
      <c r="BK281" s="249"/>
      <c r="BL281" s="249"/>
      <c r="BM281" s="246"/>
      <c r="BN281" s="15"/>
    </row>
    <row r="282" outlineLevel="1">
      <c r="A282" s="15"/>
      <c r="B282" s="278" t="s">
        <v>426</v>
      </c>
      <c r="C282" s="160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278" t="s">
        <v>427</v>
      </c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278" t="s">
        <v>428</v>
      </c>
      <c r="AI282" s="15"/>
      <c r="AJ282" s="248"/>
      <c r="AK282" s="248"/>
      <c r="AL282" s="248"/>
      <c r="AM282" s="248"/>
      <c r="AN282" s="248"/>
      <c r="AO282" s="248"/>
      <c r="AP282" s="248"/>
      <c r="AQ282" s="248"/>
      <c r="AR282" s="248"/>
      <c r="AS282" s="248"/>
      <c r="AT282" s="248"/>
      <c r="AU282" s="248"/>
      <c r="AV282" s="254"/>
      <c r="AW282" s="15"/>
      <c r="AX282" s="278" t="s">
        <v>429</v>
      </c>
      <c r="AY282" s="252"/>
      <c r="AZ282" s="252"/>
      <c r="BA282" s="252"/>
      <c r="BB282" s="249"/>
      <c r="BC282" s="249"/>
      <c r="BD282" s="249"/>
      <c r="BE282" s="249"/>
      <c r="BF282" s="249"/>
      <c r="BG282" s="249"/>
      <c r="BH282" s="249"/>
      <c r="BI282" s="249"/>
      <c r="BJ282" s="249"/>
      <c r="BK282" s="249"/>
      <c r="BL282" s="249"/>
      <c r="BM282" s="246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</row>
    <row r="283" outlineLevel="1">
      <c r="A283" s="15"/>
      <c r="B283" s="270" t="s">
        <v>410</v>
      </c>
      <c r="C283" s="279" t="s">
        <v>144</v>
      </c>
      <c r="D283" s="279" t="s">
        <v>145</v>
      </c>
      <c r="E283" s="279" t="s">
        <v>146</v>
      </c>
      <c r="F283" s="279" t="s">
        <v>147</v>
      </c>
      <c r="G283" s="279" t="s">
        <v>148</v>
      </c>
      <c r="H283" s="279" t="s">
        <v>149</v>
      </c>
      <c r="I283" s="279" t="s">
        <v>150</v>
      </c>
      <c r="J283" s="279" t="s">
        <v>151</v>
      </c>
      <c r="K283" s="279" t="s">
        <v>152</v>
      </c>
      <c r="L283" s="279" t="s">
        <v>153</v>
      </c>
      <c r="M283" s="279" t="s">
        <v>154</v>
      </c>
      <c r="N283" s="279" t="s">
        <v>155</v>
      </c>
      <c r="O283" s="279" t="s">
        <v>156</v>
      </c>
      <c r="P283" s="280" t="s">
        <v>157</v>
      </c>
      <c r="Q283" s="15"/>
      <c r="R283" s="138" t="s">
        <v>488</v>
      </c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281" t="s">
        <v>489</v>
      </c>
      <c r="AI283" s="249"/>
      <c r="AJ283" s="249"/>
      <c r="AK283" s="249"/>
      <c r="AL283" s="249"/>
      <c r="AM283" s="249"/>
      <c r="AN283" s="249"/>
      <c r="AO283" s="249"/>
      <c r="AP283" s="249"/>
      <c r="AQ283" s="249"/>
      <c r="AR283" s="249"/>
      <c r="AS283" s="249"/>
      <c r="AT283" s="249"/>
      <c r="AU283" s="249"/>
      <c r="AV283" s="246"/>
      <c r="AW283" s="15"/>
      <c r="AX283" s="281" t="s">
        <v>490</v>
      </c>
      <c r="AY283" s="248"/>
      <c r="AZ283" s="248"/>
      <c r="BA283" s="248"/>
      <c r="BB283" s="248"/>
      <c r="BC283" s="248"/>
      <c r="BD283" s="248"/>
      <c r="BE283" s="248"/>
      <c r="BF283" s="249"/>
      <c r="BG283" s="249"/>
      <c r="BH283" s="249"/>
      <c r="BI283" s="249"/>
      <c r="BJ283" s="249"/>
      <c r="BK283" s="249"/>
      <c r="BL283" s="249"/>
      <c r="BM283" s="246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</row>
    <row r="284" outlineLevel="1">
      <c r="A284" s="15"/>
      <c r="B284" s="270" t="s">
        <v>180</v>
      </c>
      <c r="C284" s="282">
        <v>46203.0</v>
      </c>
      <c r="D284" s="282">
        <v>46112.0</v>
      </c>
      <c r="E284" s="282">
        <v>46022.0</v>
      </c>
      <c r="F284" s="282">
        <v>45930.0</v>
      </c>
      <c r="G284" s="282">
        <v>45838.0</v>
      </c>
      <c r="H284" s="282">
        <v>45747.0</v>
      </c>
      <c r="I284" s="282">
        <v>45657.0</v>
      </c>
      <c r="J284" s="282">
        <v>45565.0</v>
      </c>
      <c r="K284" s="282">
        <v>45473.0</v>
      </c>
      <c r="L284" s="282">
        <v>45382.0</v>
      </c>
      <c r="M284" s="282">
        <v>45291.0</v>
      </c>
      <c r="N284" s="282">
        <v>45199.0</v>
      </c>
      <c r="O284" s="282">
        <v>45107.0</v>
      </c>
      <c r="P284" s="282">
        <v>45016.0</v>
      </c>
      <c r="Q284" s="15"/>
      <c r="R284" s="157" t="s">
        <v>410</v>
      </c>
      <c r="S284" s="158" t="s">
        <v>144</v>
      </c>
      <c r="T284" s="158" t="s">
        <v>145</v>
      </c>
      <c r="U284" s="158" t="s">
        <v>146</v>
      </c>
      <c r="V284" s="158" t="s">
        <v>147</v>
      </c>
      <c r="W284" s="158" t="s">
        <v>148</v>
      </c>
      <c r="X284" s="158" t="s">
        <v>149</v>
      </c>
      <c r="Y284" s="158" t="s">
        <v>150</v>
      </c>
      <c r="Z284" s="158" t="s">
        <v>151</v>
      </c>
      <c r="AA284" s="158" t="s">
        <v>152</v>
      </c>
      <c r="AB284" s="158" t="s">
        <v>153</v>
      </c>
      <c r="AC284" s="158" t="s">
        <v>154</v>
      </c>
      <c r="AD284" s="158" t="s">
        <v>155</v>
      </c>
      <c r="AE284" s="158" t="s">
        <v>156</v>
      </c>
      <c r="AF284" s="159" t="s">
        <v>157</v>
      </c>
      <c r="AG284" s="15"/>
      <c r="AH284" s="157" t="s">
        <v>410</v>
      </c>
      <c r="AI284" s="283" t="s">
        <v>144</v>
      </c>
      <c r="AJ284" s="283" t="s">
        <v>145</v>
      </c>
      <c r="AK284" s="283" t="s">
        <v>146</v>
      </c>
      <c r="AL284" s="283" t="s">
        <v>147</v>
      </c>
      <c r="AM284" s="283" t="s">
        <v>148</v>
      </c>
      <c r="AN284" s="283" t="s">
        <v>149</v>
      </c>
      <c r="AO284" s="283" t="s">
        <v>150</v>
      </c>
      <c r="AP284" s="283" t="s">
        <v>151</v>
      </c>
      <c r="AQ284" s="283" t="s">
        <v>152</v>
      </c>
      <c r="AR284" s="283" t="s">
        <v>153</v>
      </c>
      <c r="AS284" s="283" t="s">
        <v>154</v>
      </c>
      <c r="AT284" s="283" t="s">
        <v>155</v>
      </c>
      <c r="AU284" s="283" t="s">
        <v>156</v>
      </c>
      <c r="AV284" s="284" t="s">
        <v>157</v>
      </c>
      <c r="AW284" s="15"/>
      <c r="AX284" s="157" t="s">
        <v>410</v>
      </c>
      <c r="AY284" s="158" t="s">
        <v>172</v>
      </c>
      <c r="AZ284" s="158" t="s">
        <v>144</v>
      </c>
      <c r="BA284" s="158" t="s">
        <v>145</v>
      </c>
      <c r="BB284" s="158" t="s">
        <v>146</v>
      </c>
      <c r="BC284" s="158" t="s">
        <v>147</v>
      </c>
      <c r="BD284" s="158" t="s">
        <v>148</v>
      </c>
      <c r="BE284" s="158" t="s">
        <v>149</v>
      </c>
      <c r="BF284" s="158" t="s">
        <v>150</v>
      </c>
      <c r="BG284" s="158" t="s">
        <v>151</v>
      </c>
      <c r="BH284" s="158" t="s">
        <v>152</v>
      </c>
      <c r="BI284" s="158" t="s">
        <v>153</v>
      </c>
      <c r="BJ284" s="158" t="s">
        <v>154</v>
      </c>
      <c r="BK284" s="158" t="s">
        <v>155</v>
      </c>
      <c r="BL284" s="158" t="s">
        <v>156</v>
      </c>
      <c r="BM284" s="159" t="s">
        <v>157</v>
      </c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</row>
    <row r="285" outlineLevel="1">
      <c r="A285" s="15"/>
      <c r="B285" s="285" t="s">
        <v>491</v>
      </c>
      <c r="C285" s="286">
        <v>1284900.0</v>
      </c>
      <c r="D285" s="286">
        <v>1103383.0</v>
      </c>
      <c r="E285" s="286">
        <v>1502062.0</v>
      </c>
      <c r="F285" s="286">
        <v>995567.0</v>
      </c>
      <c r="G285" s="286">
        <v>846568.0</v>
      </c>
      <c r="H285" s="286">
        <v>803137.0</v>
      </c>
      <c r="I285" s="286">
        <v>961428.0</v>
      </c>
      <c r="J285" s="286">
        <v>926797.0</v>
      </c>
      <c r="K285" s="286">
        <v>753625.0</v>
      </c>
      <c r="L285" s="286">
        <v>731267.0</v>
      </c>
      <c r="M285" s="286">
        <v>726334.0</v>
      </c>
      <c r="N285" s="286">
        <v>726334.0</v>
      </c>
      <c r="O285" s="286">
        <v>793564.0</v>
      </c>
      <c r="P285" s="287">
        <v>793564.0</v>
      </c>
      <c r="Q285" s="15"/>
      <c r="R285" s="157" t="s">
        <v>180</v>
      </c>
      <c r="S285" s="167">
        <v>46203.0</v>
      </c>
      <c r="T285" s="167">
        <v>46112.0</v>
      </c>
      <c r="U285" s="167">
        <v>46022.0</v>
      </c>
      <c r="V285" s="167">
        <v>45930.0</v>
      </c>
      <c r="W285" s="167">
        <v>45838.0</v>
      </c>
      <c r="X285" s="167">
        <v>45747.0</v>
      </c>
      <c r="Y285" s="167">
        <v>45657.0</v>
      </c>
      <c r="Z285" s="167">
        <v>45565.0</v>
      </c>
      <c r="AA285" s="167">
        <v>45473.0</v>
      </c>
      <c r="AB285" s="167">
        <v>45382.0</v>
      </c>
      <c r="AC285" s="167">
        <v>45291.0</v>
      </c>
      <c r="AD285" s="167">
        <v>45199.0</v>
      </c>
      <c r="AE285" s="167">
        <v>45107.0</v>
      </c>
      <c r="AF285" s="167">
        <v>45016.0</v>
      </c>
      <c r="AG285" s="15"/>
      <c r="AH285" s="157" t="s">
        <v>180</v>
      </c>
      <c r="AI285" s="167">
        <v>46203.0</v>
      </c>
      <c r="AJ285" s="167">
        <v>46112.0</v>
      </c>
      <c r="AK285" s="167">
        <v>46022.0</v>
      </c>
      <c r="AL285" s="167">
        <v>45930.0</v>
      </c>
      <c r="AM285" s="167">
        <v>45838.0</v>
      </c>
      <c r="AN285" s="167">
        <v>45747.0</v>
      </c>
      <c r="AO285" s="167">
        <v>45657.0</v>
      </c>
      <c r="AP285" s="167">
        <v>45565.0</v>
      </c>
      <c r="AQ285" s="167">
        <v>45473.0</v>
      </c>
      <c r="AR285" s="167">
        <v>45382.0</v>
      </c>
      <c r="AS285" s="167">
        <v>45291.0</v>
      </c>
      <c r="AT285" s="167">
        <v>45199.0</v>
      </c>
      <c r="AU285" s="167">
        <v>45107.0</v>
      </c>
      <c r="AV285" s="167">
        <v>45016.0</v>
      </c>
      <c r="AW285" s="15"/>
      <c r="AX285" s="157" t="s">
        <v>180</v>
      </c>
      <c r="AY285" s="167">
        <v>46304.0</v>
      </c>
      <c r="AZ285" s="167">
        <v>46203.0</v>
      </c>
      <c r="BA285" s="167">
        <v>46112.0</v>
      </c>
      <c r="BB285" s="167">
        <v>46022.0</v>
      </c>
      <c r="BC285" s="167">
        <v>45930.0</v>
      </c>
      <c r="BD285" s="167">
        <v>45838.0</v>
      </c>
      <c r="BE285" s="167">
        <v>45747.0</v>
      </c>
      <c r="BF285" s="167">
        <v>45657.0</v>
      </c>
      <c r="BG285" s="167">
        <v>45565.0</v>
      </c>
      <c r="BH285" s="167">
        <v>45473.0</v>
      </c>
      <c r="BI285" s="167">
        <v>45382.0</v>
      </c>
      <c r="BJ285" s="167">
        <v>45291.0</v>
      </c>
      <c r="BK285" s="167">
        <v>45199.0</v>
      </c>
      <c r="BL285" s="167">
        <v>45107.0</v>
      </c>
      <c r="BM285" s="167">
        <v>45016.0</v>
      </c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</row>
    <row r="286" outlineLevel="1">
      <c r="A286" s="15"/>
      <c r="B286" s="288" t="s">
        <v>194</v>
      </c>
      <c r="C286" s="286">
        <v>938136.0</v>
      </c>
      <c r="D286" s="286">
        <v>835370.0</v>
      </c>
      <c r="E286" s="286">
        <v>1140923.0</v>
      </c>
      <c r="F286" s="286">
        <v>714334.0</v>
      </c>
      <c r="G286" s="286">
        <v>609328.0</v>
      </c>
      <c r="H286" s="286">
        <v>577576.0</v>
      </c>
      <c r="I286" s="286">
        <v>678213.0</v>
      </c>
      <c r="J286" s="286">
        <v>685899.0</v>
      </c>
      <c r="K286" s="286">
        <v>554034.0</v>
      </c>
      <c r="L286" s="286">
        <v>521960.0</v>
      </c>
      <c r="M286" s="286">
        <v>520596.0</v>
      </c>
      <c r="N286" s="286">
        <v>520596.0</v>
      </c>
      <c r="O286" s="286">
        <v>646613.0</v>
      </c>
      <c r="P286" s="287">
        <v>646613.0</v>
      </c>
      <c r="Q286" s="15"/>
      <c r="R286" s="289" t="s">
        <v>184</v>
      </c>
      <c r="S286" s="243">
        <v>155624.0</v>
      </c>
      <c r="T286" s="243">
        <v>53846.0</v>
      </c>
      <c r="U286" s="243">
        <v>129538.0</v>
      </c>
      <c r="V286" s="243">
        <v>73614.0</v>
      </c>
      <c r="W286" s="243">
        <v>115853.0</v>
      </c>
      <c r="X286" s="243">
        <v>17289.0</v>
      </c>
      <c r="Y286" s="243">
        <v>63078.0</v>
      </c>
      <c r="Z286" s="186" t="s">
        <v>209</v>
      </c>
      <c r="AA286" s="243">
        <v>32532.0</v>
      </c>
      <c r="AB286" s="186" t="s">
        <v>209</v>
      </c>
      <c r="AC286" s="243">
        <v>43938.0</v>
      </c>
      <c r="AD286" s="243">
        <v>43938.0</v>
      </c>
      <c r="AE286" s="186" t="s">
        <v>209</v>
      </c>
      <c r="AF286" s="187" t="s">
        <v>209</v>
      </c>
      <c r="AG286" s="15"/>
      <c r="AH286" s="289" t="s">
        <v>185</v>
      </c>
      <c r="AI286" s="243">
        <v>50340.0</v>
      </c>
      <c r="AJ286" s="243">
        <v>49379.0</v>
      </c>
      <c r="AK286" s="243">
        <v>115532.0</v>
      </c>
      <c r="AL286" s="243">
        <v>51159.0</v>
      </c>
      <c r="AM286" s="243">
        <v>49569.0</v>
      </c>
      <c r="AN286" s="243">
        <v>2589.0</v>
      </c>
      <c r="AO286" s="243">
        <v>85511.0</v>
      </c>
      <c r="AP286" s="243">
        <v>61449.0</v>
      </c>
      <c r="AQ286" s="243">
        <v>15305.0</v>
      </c>
      <c r="AR286" s="243">
        <v>16421.0</v>
      </c>
      <c r="AS286" s="243">
        <v>30378.0</v>
      </c>
      <c r="AT286" s="243">
        <v>30378.0</v>
      </c>
      <c r="AU286" s="243">
        <v>-22760.0</v>
      </c>
      <c r="AV286" s="290">
        <v>-22760.0</v>
      </c>
      <c r="AW286" s="15"/>
      <c r="AX286" s="291" t="s">
        <v>492</v>
      </c>
      <c r="AY286" s="243">
        <v>1905882.0</v>
      </c>
      <c r="AZ286" s="243">
        <v>1647059.0</v>
      </c>
      <c r="BA286" s="243">
        <v>2152941.0</v>
      </c>
      <c r="BB286" s="243">
        <v>2247059.0</v>
      </c>
      <c r="BC286" s="243">
        <v>2400000.0</v>
      </c>
      <c r="BD286" s="243">
        <v>2670588.0</v>
      </c>
      <c r="BE286" s="243">
        <v>2211765.0</v>
      </c>
      <c r="BF286" s="186" t="s">
        <v>209</v>
      </c>
      <c r="BG286" s="186" t="s">
        <v>209</v>
      </c>
      <c r="BH286" s="186" t="s">
        <v>209</v>
      </c>
      <c r="BI286" s="186" t="s">
        <v>209</v>
      </c>
      <c r="BJ286" s="186" t="s">
        <v>209</v>
      </c>
      <c r="BK286" s="186" t="s">
        <v>209</v>
      </c>
      <c r="BL286" s="186" t="s">
        <v>209</v>
      </c>
      <c r="BM286" s="187" t="s">
        <v>209</v>
      </c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</row>
    <row r="287" outlineLevel="1">
      <c r="A287" s="15"/>
      <c r="B287" s="288" t="s">
        <v>200</v>
      </c>
      <c r="C287" s="286">
        <v>346764.0</v>
      </c>
      <c r="D287" s="286">
        <v>268013.0</v>
      </c>
      <c r="E287" s="286">
        <v>361139.0</v>
      </c>
      <c r="F287" s="286">
        <v>281233.0</v>
      </c>
      <c r="G287" s="286">
        <v>237240.0</v>
      </c>
      <c r="H287" s="286">
        <v>225561.0</v>
      </c>
      <c r="I287" s="286">
        <v>283215.0</v>
      </c>
      <c r="J287" s="286">
        <v>240898.0</v>
      </c>
      <c r="K287" s="286">
        <v>199591.0</v>
      </c>
      <c r="L287" s="286">
        <v>209307.0</v>
      </c>
      <c r="M287" s="286">
        <v>205738.0</v>
      </c>
      <c r="N287" s="286">
        <v>205738.0</v>
      </c>
      <c r="O287" s="286">
        <v>146952.0</v>
      </c>
      <c r="P287" s="287">
        <v>146952.0</v>
      </c>
      <c r="Q287" s="15"/>
      <c r="R287" s="289" t="s">
        <v>189</v>
      </c>
      <c r="S287" s="243">
        <v>155624.0</v>
      </c>
      <c r="T287" s="243">
        <v>53846.0</v>
      </c>
      <c r="U287" s="243">
        <v>129538.0</v>
      </c>
      <c r="V287" s="243">
        <v>73614.0</v>
      </c>
      <c r="W287" s="243">
        <v>115853.0</v>
      </c>
      <c r="X287" s="243">
        <v>17289.0</v>
      </c>
      <c r="Y287" s="243">
        <v>63078.0</v>
      </c>
      <c r="Z287" s="186" t="s">
        <v>209</v>
      </c>
      <c r="AA287" s="243">
        <v>32532.0</v>
      </c>
      <c r="AB287" s="243">
        <v>43938.0</v>
      </c>
      <c r="AC287" s="243">
        <v>43938.0</v>
      </c>
      <c r="AD287" s="243">
        <v>43938.0</v>
      </c>
      <c r="AE287" s="186" t="s">
        <v>209</v>
      </c>
      <c r="AF287" s="290">
        <v>23385.0</v>
      </c>
      <c r="AG287" s="15"/>
      <c r="AH287" s="289" t="s">
        <v>190</v>
      </c>
      <c r="AI287" s="243">
        <v>15714.0</v>
      </c>
      <c r="AJ287" s="243">
        <v>14832.0</v>
      </c>
      <c r="AK287" s="243">
        <v>15981.0</v>
      </c>
      <c r="AL287" s="243">
        <v>11929.0</v>
      </c>
      <c r="AM287" s="243">
        <v>11428.0</v>
      </c>
      <c r="AN287" s="243">
        <v>11450.0</v>
      </c>
      <c r="AO287" s="243">
        <v>8462.0</v>
      </c>
      <c r="AP287" s="243">
        <v>14090.0</v>
      </c>
      <c r="AQ287" s="243">
        <v>11947.0</v>
      </c>
      <c r="AR287" s="243">
        <v>11306.0</v>
      </c>
      <c r="AS287" s="243">
        <v>7550.0</v>
      </c>
      <c r="AT287" s="243">
        <v>7550.0</v>
      </c>
      <c r="AU287" s="243">
        <v>16803.0</v>
      </c>
      <c r="AV287" s="290">
        <v>16803.0</v>
      </c>
      <c r="AW287" s="15"/>
      <c r="AX287" s="157" t="s">
        <v>414</v>
      </c>
      <c r="AY287" s="184">
        <v>-0.1196</v>
      </c>
      <c r="AZ287" s="184">
        <v>-0.3833</v>
      </c>
      <c r="BA287" s="184">
        <v>-0.0266</v>
      </c>
      <c r="BB287" s="186" t="s">
        <v>209</v>
      </c>
      <c r="BC287" s="186" t="s">
        <v>209</v>
      </c>
      <c r="BD287" s="186" t="s">
        <v>209</v>
      </c>
      <c r="BE287" s="186" t="s">
        <v>209</v>
      </c>
      <c r="BF287" s="186" t="s">
        <v>209</v>
      </c>
      <c r="BG287" s="186" t="s">
        <v>209</v>
      </c>
      <c r="BH287" s="186" t="s">
        <v>209</v>
      </c>
      <c r="BI287" s="186" t="s">
        <v>209</v>
      </c>
      <c r="BJ287" s="186" t="s">
        <v>209</v>
      </c>
      <c r="BK287" s="186" t="s">
        <v>209</v>
      </c>
      <c r="BL287" s="186" t="s">
        <v>209</v>
      </c>
      <c r="BM287" s="187" t="s">
        <v>209</v>
      </c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</row>
    <row r="288" outlineLevel="1">
      <c r="A288" s="15"/>
      <c r="B288" s="288" t="s">
        <v>206</v>
      </c>
      <c r="C288" s="286">
        <v>228753.0</v>
      </c>
      <c r="D288" s="286">
        <v>168995.0</v>
      </c>
      <c r="E288" s="286">
        <v>156730.0</v>
      </c>
      <c r="F288" s="286">
        <v>176642.0</v>
      </c>
      <c r="G288" s="286">
        <v>181337.0</v>
      </c>
      <c r="H288" s="286">
        <v>166012.0</v>
      </c>
      <c r="I288" s="286">
        <v>149894.0</v>
      </c>
      <c r="J288" s="286">
        <v>176774.0</v>
      </c>
      <c r="K288" s="286">
        <v>157620.0</v>
      </c>
      <c r="L288" s="286">
        <v>163304.0</v>
      </c>
      <c r="M288" s="286">
        <v>140192.0</v>
      </c>
      <c r="N288" s="286">
        <v>140192.0</v>
      </c>
      <c r="O288" s="286">
        <v>160264.0</v>
      </c>
      <c r="P288" s="287">
        <v>160264.0</v>
      </c>
      <c r="Q288" s="15"/>
      <c r="R288" s="157" t="s">
        <v>415</v>
      </c>
      <c r="S288" s="185">
        <v>0.3433</v>
      </c>
      <c r="T288" s="185">
        <v>2.1145</v>
      </c>
      <c r="U288" s="185">
        <v>1.0536</v>
      </c>
      <c r="V288" s="186" t="s">
        <v>209</v>
      </c>
      <c r="W288" s="185">
        <v>2.5612</v>
      </c>
      <c r="X288" s="184">
        <v>-0.6065</v>
      </c>
      <c r="Y288" s="185">
        <v>0.4356</v>
      </c>
      <c r="Z288" s="186" t="s">
        <v>209</v>
      </c>
      <c r="AA288" s="186" t="s">
        <v>209</v>
      </c>
      <c r="AB288" s="185">
        <v>0.8789</v>
      </c>
      <c r="AC288" s="186" t="s">
        <v>209</v>
      </c>
      <c r="AD288" s="186" t="s">
        <v>209</v>
      </c>
      <c r="AE288" s="186" t="s">
        <v>209</v>
      </c>
      <c r="AF288" s="187" t="s">
        <v>209</v>
      </c>
      <c r="AG288" s="15"/>
      <c r="AH288" s="289" t="s">
        <v>436</v>
      </c>
      <c r="AI288" s="186" t="s">
        <v>209</v>
      </c>
      <c r="AJ288" s="186" t="s">
        <v>209</v>
      </c>
      <c r="AK288" s="186">
        <v>-50.0</v>
      </c>
      <c r="AL288" s="186">
        <v>-16.0</v>
      </c>
      <c r="AM288" s="186" t="s">
        <v>209</v>
      </c>
      <c r="AN288" s="186" t="s">
        <v>209</v>
      </c>
      <c r="AO288" s="186">
        <v>58.0</v>
      </c>
      <c r="AP288" s="186" t="s">
        <v>209</v>
      </c>
      <c r="AQ288" s="186" t="s">
        <v>209</v>
      </c>
      <c r="AR288" s="186" t="s">
        <v>209</v>
      </c>
      <c r="AS288" s="186">
        <v>28.5</v>
      </c>
      <c r="AT288" s="186">
        <v>28.5</v>
      </c>
      <c r="AU288" s="186" t="s">
        <v>209</v>
      </c>
      <c r="AV288" s="187" t="s">
        <v>209</v>
      </c>
      <c r="AW288" s="15"/>
      <c r="AX288" s="289" t="s">
        <v>197</v>
      </c>
      <c r="AY288" s="243">
        <v>2998538.0</v>
      </c>
      <c r="AZ288" s="243">
        <v>2831163.0</v>
      </c>
      <c r="BA288" s="243">
        <v>3178733.0</v>
      </c>
      <c r="BB288" s="243">
        <v>3352249.0</v>
      </c>
      <c r="BC288" s="243">
        <v>3375760.0</v>
      </c>
      <c r="BD288" s="243">
        <v>3706222.0</v>
      </c>
      <c r="BE288" s="243">
        <v>3209411.0</v>
      </c>
      <c r="BF288" s="186" t="s">
        <v>209</v>
      </c>
      <c r="BG288" s="186" t="s">
        <v>209</v>
      </c>
      <c r="BH288" s="186" t="s">
        <v>209</v>
      </c>
      <c r="BI288" s="186" t="s">
        <v>209</v>
      </c>
      <c r="BJ288" s="186" t="s">
        <v>209</v>
      </c>
      <c r="BK288" s="186" t="s">
        <v>209</v>
      </c>
      <c r="BL288" s="186" t="s">
        <v>209</v>
      </c>
      <c r="BM288" s="187" t="s">
        <v>209</v>
      </c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</row>
    <row r="289" outlineLevel="1">
      <c r="A289" s="15"/>
      <c r="B289" s="288" t="s">
        <v>213</v>
      </c>
      <c r="C289" s="286">
        <v>485.0</v>
      </c>
      <c r="D289" s="286">
        <v>1078.0</v>
      </c>
      <c r="E289" s="286">
        <v>14597.0</v>
      </c>
      <c r="F289" s="286" t="s">
        <v>209</v>
      </c>
      <c r="G289" s="286">
        <v>5938.0</v>
      </c>
      <c r="H289" s="286">
        <v>2265.0</v>
      </c>
      <c r="I289" s="286">
        <v>6594.0</v>
      </c>
      <c r="J289" s="286" t="s">
        <v>209</v>
      </c>
      <c r="K289" s="286" t="s">
        <v>209</v>
      </c>
      <c r="L289" s="286" t="s">
        <v>209</v>
      </c>
      <c r="M289" s="286" t="s">
        <v>209</v>
      </c>
      <c r="N289" s="286" t="s">
        <v>209</v>
      </c>
      <c r="O289" s="286" t="s">
        <v>209</v>
      </c>
      <c r="P289" s="287" t="s">
        <v>209</v>
      </c>
      <c r="Q289" s="15"/>
      <c r="R289" s="289" t="s">
        <v>201</v>
      </c>
      <c r="S289" s="243">
        <v>1096841.0</v>
      </c>
      <c r="T289" s="243">
        <v>1225536.0</v>
      </c>
      <c r="U289" s="243">
        <v>1286532.0</v>
      </c>
      <c r="V289" s="243">
        <v>995907.0</v>
      </c>
      <c r="W289" s="243">
        <v>991834.0</v>
      </c>
      <c r="X289" s="243">
        <v>1016296.0</v>
      </c>
      <c r="Y289" s="243">
        <v>980470.0</v>
      </c>
      <c r="Z289" s="186" t="s">
        <v>209</v>
      </c>
      <c r="AA289" s="243">
        <v>776397.0</v>
      </c>
      <c r="AB289" s="186" t="s">
        <v>209</v>
      </c>
      <c r="AC289" s="243">
        <v>685340.0</v>
      </c>
      <c r="AD289" s="243">
        <v>685340.0</v>
      </c>
      <c r="AE289" s="186" t="s">
        <v>209</v>
      </c>
      <c r="AF289" s="187" t="s">
        <v>209</v>
      </c>
      <c r="AG289" s="15"/>
      <c r="AH289" s="289" t="s">
        <v>196</v>
      </c>
      <c r="AI289" s="243">
        <v>38111.0</v>
      </c>
      <c r="AJ289" s="243">
        <v>-196921.0</v>
      </c>
      <c r="AK289" s="243">
        <v>13824.0</v>
      </c>
      <c r="AL289" s="243">
        <v>-146173.0</v>
      </c>
      <c r="AM289" s="243">
        <v>105206.0</v>
      </c>
      <c r="AN289" s="243">
        <v>-267393.0</v>
      </c>
      <c r="AO289" s="243">
        <v>-32834.0</v>
      </c>
      <c r="AP289" s="243">
        <v>10084.0</v>
      </c>
      <c r="AQ289" s="243">
        <v>57732.0</v>
      </c>
      <c r="AR289" s="243">
        <v>-130054.0</v>
      </c>
      <c r="AS289" s="243">
        <v>-92496.0</v>
      </c>
      <c r="AT289" s="243">
        <v>-92496.0</v>
      </c>
      <c r="AU289" s="243">
        <v>125385.0</v>
      </c>
      <c r="AV289" s="290">
        <v>125385.0</v>
      </c>
      <c r="AW289" s="15"/>
      <c r="AX289" s="289" t="s">
        <v>203</v>
      </c>
      <c r="AY289" s="186">
        <v>324.0</v>
      </c>
      <c r="AZ289" s="186">
        <v>280.0</v>
      </c>
      <c r="BA289" s="186">
        <v>358.07</v>
      </c>
      <c r="BB289" s="186">
        <v>373.72</v>
      </c>
      <c r="BC289" s="186">
        <v>390.59</v>
      </c>
      <c r="BD289" s="186">
        <v>425.78</v>
      </c>
      <c r="BE289" s="186">
        <v>352.63</v>
      </c>
      <c r="BF289" s="186" t="s">
        <v>209</v>
      </c>
      <c r="BG289" s="186" t="s">
        <v>209</v>
      </c>
      <c r="BH289" s="186" t="s">
        <v>209</v>
      </c>
      <c r="BI289" s="186" t="s">
        <v>209</v>
      </c>
      <c r="BJ289" s="186" t="s">
        <v>209</v>
      </c>
      <c r="BK289" s="186" t="s">
        <v>209</v>
      </c>
      <c r="BL289" s="186" t="s">
        <v>209</v>
      </c>
      <c r="BM289" s="187" t="s">
        <v>209</v>
      </c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</row>
    <row r="290" outlineLevel="1">
      <c r="A290" s="15"/>
      <c r="B290" s="288" t="s">
        <v>220</v>
      </c>
      <c r="C290" s="286">
        <v>229238.0</v>
      </c>
      <c r="D290" s="286">
        <v>170073.0</v>
      </c>
      <c r="E290" s="286">
        <v>171327.0</v>
      </c>
      <c r="F290" s="286">
        <v>176642.0</v>
      </c>
      <c r="G290" s="286">
        <v>187275.0</v>
      </c>
      <c r="H290" s="286">
        <v>168277.0</v>
      </c>
      <c r="I290" s="286">
        <v>156488.0</v>
      </c>
      <c r="J290" s="286">
        <v>176774.0</v>
      </c>
      <c r="K290" s="286">
        <v>157620.0</v>
      </c>
      <c r="L290" s="286">
        <v>163304.0</v>
      </c>
      <c r="M290" s="286">
        <v>140192.0</v>
      </c>
      <c r="N290" s="286">
        <v>140192.0</v>
      </c>
      <c r="O290" s="286">
        <v>160264.0</v>
      </c>
      <c r="P290" s="287">
        <v>160264.0</v>
      </c>
      <c r="Q290" s="15"/>
      <c r="R290" s="289" t="s">
        <v>439</v>
      </c>
      <c r="S290" s="243">
        <v>5149.0</v>
      </c>
      <c r="T290" s="243">
        <v>4725.0</v>
      </c>
      <c r="U290" s="243">
        <v>2914.0</v>
      </c>
      <c r="V290" s="243">
        <v>2389.0</v>
      </c>
      <c r="W290" s="243">
        <v>2099.0</v>
      </c>
      <c r="X290" s="186">
        <v>826.0</v>
      </c>
      <c r="Y290" s="243">
        <v>2189.0</v>
      </c>
      <c r="Z290" s="186" t="s">
        <v>209</v>
      </c>
      <c r="AA290" s="243">
        <v>7533.0</v>
      </c>
      <c r="AB290" s="186" t="s">
        <v>209</v>
      </c>
      <c r="AC290" s="243">
        <v>6060.0</v>
      </c>
      <c r="AD290" s="243">
        <v>6060.0</v>
      </c>
      <c r="AE290" s="186" t="s">
        <v>209</v>
      </c>
      <c r="AF290" s="187" t="s">
        <v>209</v>
      </c>
      <c r="AG290" s="15"/>
      <c r="AH290" s="289" t="s">
        <v>202</v>
      </c>
      <c r="AI290" s="243">
        <v>104165.0</v>
      </c>
      <c r="AJ290" s="243">
        <v>-132710.0</v>
      </c>
      <c r="AK290" s="243">
        <v>145287.0</v>
      </c>
      <c r="AL290" s="243">
        <v>-83101.0</v>
      </c>
      <c r="AM290" s="243">
        <v>166203.0</v>
      </c>
      <c r="AN290" s="243">
        <v>-253354.0</v>
      </c>
      <c r="AO290" s="243">
        <v>61197.0</v>
      </c>
      <c r="AP290" s="243">
        <v>85623.0</v>
      </c>
      <c r="AQ290" s="243">
        <v>84984.0</v>
      </c>
      <c r="AR290" s="243">
        <v>-102327.0</v>
      </c>
      <c r="AS290" s="243">
        <v>-54540.0</v>
      </c>
      <c r="AT290" s="243">
        <v>-54540.0</v>
      </c>
      <c r="AU290" s="243">
        <v>119428.0</v>
      </c>
      <c r="AV290" s="290">
        <v>119428.0</v>
      </c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</row>
    <row r="291" outlineLevel="1">
      <c r="A291" s="15"/>
      <c r="B291" s="288" t="s">
        <v>227</v>
      </c>
      <c r="C291" s="286">
        <v>117526.0</v>
      </c>
      <c r="D291" s="286">
        <v>97940.0</v>
      </c>
      <c r="E291" s="286">
        <v>189812.0</v>
      </c>
      <c r="F291" s="286">
        <v>104591.0</v>
      </c>
      <c r="G291" s="286">
        <v>49965.0</v>
      </c>
      <c r="H291" s="286">
        <v>57284.0</v>
      </c>
      <c r="I291" s="286">
        <v>126727.0</v>
      </c>
      <c r="J291" s="286">
        <v>64124.0</v>
      </c>
      <c r="K291" s="286">
        <v>41971.0</v>
      </c>
      <c r="L291" s="286">
        <v>46003.0</v>
      </c>
      <c r="M291" s="286">
        <v>65546.0</v>
      </c>
      <c r="N291" s="286">
        <v>65546.0</v>
      </c>
      <c r="O291" s="286">
        <v>-13312.0</v>
      </c>
      <c r="P291" s="287">
        <v>-13312.0</v>
      </c>
      <c r="Q291" s="15"/>
      <c r="R291" s="289" t="s">
        <v>207</v>
      </c>
      <c r="S291" s="243">
        <v>1101990.0</v>
      </c>
      <c r="T291" s="243">
        <v>1230261.0</v>
      </c>
      <c r="U291" s="243">
        <v>1289446.0</v>
      </c>
      <c r="V291" s="243">
        <v>998296.0</v>
      </c>
      <c r="W291" s="243">
        <v>993933.0</v>
      </c>
      <c r="X291" s="243">
        <v>1017122.0</v>
      </c>
      <c r="Y291" s="243">
        <v>982659.0</v>
      </c>
      <c r="Z291" s="186" t="s">
        <v>209</v>
      </c>
      <c r="AA291" s="243">
        <v>783930.0</v>
      </c>
      <c r="AB291" s="186" t="s">
        <v>209</v>
      </c>
      <c r="AC291" s="243">
        <v>691400.0</v>
      </c>
      <c r="AD291" s="243">
        <v>691400.0</v>
      </c>
      <c r="AE291" s="186" t="s">
        <v>209</v>
      </c>
      <c r="AF291" s="187" t="s">
        <v>209</v>
      </c>
      <c r="AG291" s="15"/>
      <c r="AH291" s="274" t="s">
        <v>416</v>
      </c>
      <c r="AI291" s="292">
        <v>-0.3733</v>
      </c>
      <c r="AJ291" s="293" t="s">
        <v>209</v>
      </c>
      <c r="AK291" s="294">
        <v>1.3741</v>
      </c>
      <c r="AL291" s="293" t="s">
        <v>209</v>
      </c>
      <c r="AM291" s="294">
        <v>0.9557</v>
      </c>
      <c r="AN291" s="293" t="s">
        <v>209</v>
      </c>
      <c r="AO291" s="293" t="s">
        <v>209</v>
      </c>
      <c r="AP291" s="293" t="s">
        <v>209</v>
      </c>
      <c r="AQ291" s="292">
        <v>-0.2884</v>
      </c>
      <c r="AR291" s="293" t="s">
        <v>209</v>
      </c>
      <c r="AS291" s="293" t="s">
        <v>209</v>
      </c>
      <c r="AT291" s="293" t="s">
        <v>209</v>
      </c>
      <c r="AU291" s="293" t="s">
        <v>209</v>
      </c>
      <c r="AV291" s="295" t="s">
        <v>209</v>
      </c>
      <c r="AW291" s="15"/>
      <c r="AX291" s="296" t="s">
        <v>493</v>
      </c>
      <c r="AY291" s="250"/>
      <c r="AZ291" s="250"/>
      <c r="BA291" s="250"/>
      <c r="BB291" s="250"/>
      <c r="BC291" s="250"/>
      <c r="BD291" s="250"/>
      <c r="BE291" s="250"/>
      <c r="BF291" s="250"/>
      <c r="BG291" s="250"/>
      <c r="BH291" s="250"/>
      <c r="BI291" s="250"/>
      <c r="BJ291" s="250"/>
      <c r="BK291" s="250"/>
      <c r="BL291" s="250"/>
      <c r="BM291" s="251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</row>
    <row r="292" outlineLevel="1">
      <c r="A292" s="15"/>
      <c r="B292" s="288" t="s">
        <v>234</v>
      </c>
      <c r="C292" s="286">
        <v>-26976.0</v>
      </c>
      <c r="D292" s="286">
        <v>-29272.0</v>
      </c>
      <c r="E292" s="286">
        <v>-25300.0</v>
      </c>
      <c r="F292" s="286">
        <v>-22101.0</v>
      </c>
      <c r="G292" s="286">
        <v>-17737.0</v>
      </c>
      <c r="H292" s="286">
        <v>-18737.0</v>
      </c>
      <c r="I292" s="286">
        <v>-19094.0</v>
      </c>
      <c r="J292" s="286">
        <v>-14811.0</v>
      </c>
      <c r="K292" s="286">
        <v>-19866.0</v>
      </c>
      <c r="L292" s="286">
        <v>-15343.0</v>
      </c>
      <c r="M292" s="286">
        <v>-8747.0</v>
      </c>
      <c r="N292" s="286">
        <v>-8747.0</v>
      </c>
      <c r="O292" s="286">
        <v>-13249.0</v>
      </c>
      <c r="P292" s="287">
        <v>-13249.0</v>
      </c>
      <c r="Q292" s="15"/>
      <c r="R292" s="289" t="s">
        <v>214</v>
      </c>
      <c r="S292" s="243">
        <v>2085793.0</v>
      </c>
      <c r="T292" s="243">
        <v>1631847.0</v>
      </c>
      <c r="U292" s="243">
        <v>1629950.0</v>
      </c>
      <c r="V292" s="243">
        <v>1424798.0</v>
      </c>
      <c r="W292" s="243">
        <v>1093247.0</v>
      </c>
      <c r="X292" s="243">
        <v>1021991.0</v>
      </c>
      <c r="Y292" s="243">
        <v>929150.0</v>
      </c>
      <c r="Z292" s="186" t="s">
        <v>209</v>
      </c>
      <c r="AA292" s="243">
        <v>883932.0</v>
      </c>
      <c r="AB292" s="186" t="s">
        <v>209</v>
      </c>
      <c r="AC292" s="243">
        <v>962624.0</v>
      </c>
      <c r="AD292" s="243">
        <v>962624.0</v>
      </c>
      <c r="AE292" s="186" t="s">
        <v>209</v>
      </c>
      <c r="AF292" s="187" t="s">
        <v>209</v>
      </c>
      <c r="AG292" s="15"/>
      <c r="AH292" s="15"/>
      <c r="AI292" s="250"/>
      <c r="AJ292" s="250"/>
      <c r="AK292" s="250"/>
      <c r="AL292" s="250"/>
      <c r="AM292" s="250"/>
      <c r="AN292" s="250"/>
      <c r="AO292" s="250"/>
      <c r="AP292" s="250"/>
      <c r="AQ292" s="250"/>
      <c r="AR292" s="250"/>
      <c r="AS292" s="250"/>
      <c r="AT292" s="250"/>
      <c r="AU292" s="250"/>
      <c r="AV292" s="251"/>
      <c r="AW292" s="15"/>
      <c r="AX292" s="157" t="s">
        <v>410</v>
      </c>
      <c r="AY292" s="158" t="s">
        <v>172</v>
      </c>
      <c r="AZ292" s="158" t="s">
        <v>144</v>
      </c>
      <c r="BA292" s="158" t="s">
        <v>145</v>
      </c>
      <c r="BB292" s="158" t="s">
        <v>146</v>
      </c>
      <c r="BC292" s="158" t="s">
        <v>147</v>
      </c>
      <c r="BD292" s="158" t="s">
        <v>148</v>
      </c>
      <c r="BE292" s="158" t="s">
        <v>149</v>
      </c>
      <c r="BF292" s="158" t="s">
        <v>150</v>
      </c>
      <c r="BG292" s="158" t="s">
        <v>151</v>
      </c>
      <c r="BH292" s="158" t="s">
        <v>152</v>
      </c>
      <c r="BI292" s="158" t="s">
        <v>153</v>
      </c>
      <c r="BJ292" s="158" t="s">
        <v>154</v>
      </c>
      <c r="BK292" s="158" t="s">
        <v>155</v>
      </c>
      <c r="BL292" s="158" t="s">
        <v>156</v>
      </c>
      <c r="BM292" s="159" t="s">
        <v>157</v>
      </c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</row>
    <row r="293" outlineLevel="1">
      <c r="A293" s="15"/>
      <c r="B293" s="288" t="s">
        <v>241</v>
      </c>
      <c r="C293" s="286">
        <v>72.0</v>
      </c>
      <c r="D293" s="286">
        <v>87.0</v>
      </c>
      <c r="E293" s="286" t="s">
        <v>209</v>
      </c>
      <c r="F293" s="286">
        <v>317.0</v>
      </c>
      <c r="G293" s="286">
        <v>884.0</v>
      </c>
      <c r="H293" s="286">
        <v>1158.0</v>
      </c>
      <c r="I293" s="286">
        <v>169.0</v>
      </c>
      <c r="J293" s="286">
        <v>41.0</v>
      </c>
      <c r="K293" s="286">
        <v>29.0</v>
      </c>
      <c r="L293" s="286">
        <v>39.0</v>
      </c>
      <c r="M293" s="286">
        <v>77.0</v>
      </c>
      <c r="N293" s="286">
        <v>77.0</v>
      </c>
      <c r="O293" s="286">
        <v>37.5</v>
      </c>
      <c r="P293" s="287">
        <v>37.5</v>
      </c>
      <c r="Q293" s="15"/>
      <c r="R293" s="289" t="s">
        <v>221</v>
      </c>
      <c r="S293" s="186" t="s">
        <v>209</v>
      </c>
      <c r="T293" s="186" t="s">
        <v>209</v>
      </c>
      <c r="U293" s="186" t="s">
        <v>209</v>
      </c>
      <c r="V293" s="186" t="s">
        <v>209</v>
      </c>
      <c r="W293" s="186" t="s">
        <v>209</v>
      </c>
      <c r="X293" s="186" t="s">
        <v>209</v>
      </c>
      <c r="Y293" s="186" t="s">
        <v>209</v>
      </c>
      <c r="Z293" s="186" t="s">
        <v>209</v>
      </c>
      <c r="AA293" s="243">
        <v>5925.0</v>
      </c>
      <c r="AB293" s="186" t="s">
        <v>209</v>
      </c>
      <c r="AC293" s="186" t="s">
        <v>209</v>
      </c>
      <c r="AD293" s="186" t="s">
        <v>209</v>
      </c>
      <c r="AE293" s="186" t="s">
        <v>209</v>
      </c>
      <c r="AF293" s="187" t="s">
        <v>209</v>
      </c>
      <c r="AG293" s="15"/>
      <c r="AH293" s="281" t="s">
        <v>494</v>
      </c>
      <c r="AI293" s="170"/>
      <c r="AJ293" s="170"/>
      <c r="AK293" s="170"/>
      <c r="AL293" s="170"/>
      <c r="AM293" s="170"/>
      <c r="AN293" s="170"/>
      <c r="AO293" s="170"/>
      <c r="AP293" s="170"/>
      <c r="AQ293" s="170"/>
      <c r="AR293" s="170"/>
      <c r="AS293" s="170"/>
      <c r="AT293" s="170"/>
      <c r="AU293" s="170"/>
      <c r="AV293" s="170"/>
      <c r="AW293" s="15"/>
      <c r="AX293" s="157" t="s">
        <v>180</v>
      </c>
      <c r="AY293" s="167">
        <v>46304.0</v>
      </c>
      <c r="AZ293" s="167">
        <v>46203.0</v>
      </c>
      <c r="BA293" s="167">
        <v>46112.0</v>
      </c>
      <c r="BB293" s="167">
        <v>46022.0</v>
      </c>
      <c r="BC293" s="167">
        <v>45930.0</v>
      </c>
      <c r="BD293" s="167">
        <v>45838.0</v>
      </c>
      <c r="BE293" s="167">
        <v>45747.0</v>
      </c>
      <c r="BF293" s="167">
        <v>45657.0</v>
      </c>
      <c r="BG293" s="167">
        <v>45565.0</v>
      </c>
      <c r="BH293" s="167">
        <v>45473.0</v>
      </c>
      <c r="BI293" s="167">
        <v>45382.0</v>
      </c>
      <c r="BJ293" s="167">
        <v>45291.0</v>
      </c>
      <c r="BK293" s="167">
        <v>45199.0</v>
      </c>
      <c r="BL293" s="167">
        <v>45107.0</v>
      </c>
      <c r="BM293" s="167">
        <v>45016.0</v>
      </c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</row>
    <row r="294" outlineLevel="1">
      <c r="A294" s="15"/>
      <c r="B294" s="288" t="s">
        <v>247</v>
      </c>
      <c r="C294" s="286">
        <v>-13363.0</v>
      </c>
      <c r="D294" s="286">
        <v>-6850.0</v>
      </c>
      <c r="E294" s="286">
        <v>-6637.0</v>
      </c>
      <c r="F294" s="286">
        <v>-14305.0</v>
      </c>
      <c r="G294" s="286">
        <v>1091.0</v>
      </c>
      <c r="H294" s="286">
        <v>-7698.0</v>
      </c>
      <c r="I294" s="286">
        <v>-16953.0</v>
      </c>
      <c r="J294" s="286">
        <v>11996.0</v>
      </c>
      <c r="K294" s="286">
        <v>-8507.0</v>
      </c>
      <c r="L294" s="286">
        <v>-3804.0</v>
      </c>
      <c r="M294" s="286">
        <v>-4899.0</v>
      </c>
      <c r="N294" s="286">
        <v>-4899.0</v>
      </c>
      <c r="O294" s="286">
        <v>6871.0</v>
      </c>
      <c r="P294" s="287">
        <v>6871.0</v>
      </c>
      <c r="Q294" s="15"/>
      <c r="R294" s="289" t="s">
        <v>228</v>
      </c>
      <c r="S294" s="243">
        <v>194694.0</v>
      </c>
      <c r="T294" s="243">
        <v>148392.0</v>
      </c>
      <c r="U294" s="243">
        <v>131078.0</v>
      </c>
      <c r="V294" s="243">
        <v>113820.0</v>
      </c>
      <c r="W294" s="243">
        <v>68900.0</v>
      </c>
      <c r="X294" s="243">
        <v>86844.0</v>
      </c>
      <c r="Y294" s="243">
        <v>102633.0</v>
      </c>
      <c r="Z294" s="186" t="s">
        <v>209</v>
      </c>
      <c r="AA294" s="243">
        <v>78856.0</v>
      </c>
      <c r="AB294" s="186" t="s">
        <v>209</v>
      </c>
      <c r="AC294" s="243">
        <v>68301.0</v>
      </c>
      <c r="AD294" s="243">
        <v>68301.0</v>
      </c>
      <c r="AE294" s="186" t="s">
        <v>209</v>
      </c>
      <c r="AF294" s="187" t="s">
        <v>209</v>
      </c>
      <c r="AG294" s="15"/>
      <c r="AH294" s="157" t="s">
        <v>410</v>
      </c>
      <c r="AI294" s="283" t="s">
        <v>144</v>
      </c>
      <c r="AJ294" s="283" t="s">
        <v>145</v>
      </c>
      <c r="AK294" s="283" t="s">
        <v>146</v>
      </c>
      <c r="AL294" s="283" t="s">
        <v>147</v>
      </c>
      <c r="AM294" s="283" t="s">
        <v>148</v>
      </c>
      <c r="AN294" s="283" t="s">
        <v>149</v>
      </c>
      <c r="AO294" s="283" t="s">
        <v>150</v>
      </c>
      <c r="AP294" s="283" t="s">
        <v>151</v>
      </c>
      <c r="AQ294" s="283" t="s">
        <v>152</v>
      </c>
      <c r="AR294" s="283" t="s">
        <v>153</v>
      </c>
      <c r="AS294" s="283" t="s">
        <v>154</v>
      </c>
      <c r="AT294" s="283" t="s">
        <v>155</v>
      </c>
      <c r="AU294" s="283" t="s">
        <v>156</v>
      </c>
      <c r="AV294" s="284" t="s">
        <v>157</v>
      </c>
      <c r="AW294" s="15"/>
      <c r="AX294" s="157" t="s">
        <v>210</v>
      </c>
      <c r="AY294" s="186">
        <v>7.08</v>
      </c>
      <c r="AZ294" s="186">
        <v>6.18</v>
      </c>
      <c r="BA294" s="186">
        <v>8.88</v>
      </c>
      <c r="BB294" s="186">
        <v>10.27</v>
      </c>
      <c r="BC294" s="186">
        <v>12.71</v>
      </c>
      <c r="BD294" s="186">
        <v>13.41</v>
      </c>
      <c r="BE294" s="186">
        <v>11.76</v>
      </c>
      <c r="BF294" s="186" t="s">
        <v>209</v>
      </c>
      <c r="BG294" s="186" t="s">
        <v>209</v>
      </c>
      <c r="BH294" s="186" t="s">
        <v>209</v>
      </c>
      <c r="BI294" s="186" t="s">
        <v>209</v>
      </c>
      <c r="BJ294" s="186" t="s">
        <v>209</v>
      </c>
      <c r="BK294" s="186" t="s">
        <v>209</v>
      </c>
      <c r="BL294" s="186" t="s">
        <v>209</v>
      </c>
      <c r="BM294" s="187" t="s">
        <v>209</v>
      </c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</row>
    <row r="295" outlineLevel="1">
      <c r="A295" s="15"/>
      <c r="B295" s="288" t="s">
        <v>254</v>
      </c>
      <c r="C295" s="286">
        <v>-948.0</v>
      </c>
      <c r="D295" s="286">
        <v>2380.0</v>
      </c>
      <c r="E295" s="286">
        <v>-1499.0</v>
      </c>
      <c r="F295" s="286">
        <v>-948.0</v>
      </c>
      <c r="G295" s="286">
        <v>3710.0</v>
      </c>
      <c r="H295" s="286">
        <v>1976.0</v>
      </c>
      <c r="I295" s="286">
        <v>-14107.0</v>
      </c>
      <c r="J295" s="286">
        <v>16186.0</v>
      </c>
      <c r="K295" s="286">
        <v>-387.0</v>
      </c>
      <c r="L295" s="286">
        <v>3762.0</v>
      </c>
      <c r="M295" s="286">
        <v>-3834.0</v>
      </c>
      <c r="N295" s="286">
        <v>-3834.0</v>
      </c>
      <c r="O295" s="286">
        <v>2630.0</v>
      </c>
      <c r="P295" s="287">
        <v>2630.0</v>
      </c>
      <c r="Q295" s="15"/>
      <c r="R295" s="289" t="s">
        <v>235</v>
      </c>
      <c r="S295" s="243">
        <v>3538101.0</v>
      </c>
      <c r="T295" s="243">
        <v>3064346.0</v>
      </c>
      <c r="U295" s="243">
        <v>3180012.0</v>
      </c>
      <c r="V295" s="243">
        <v>2610528.0</v>
      </c>
      <c r="W295" s="243">
        <v>2271933.0</v>
      </c>
      <c r="X295" s="243">
        <v>2143246.0</v>
      </c>
      <c r="Y295" s="243">
        <v>2077520.0</v>
      </c>
      <c r="Z295" s="186" t="s">
        <v>209</v>
      </c>
      <c r="AA295" s="243">
        <v>1785175.0</v>
      </c>
      <c r="AB295" s="186" t="s">
        <v>209</v>
      </c>
      <c r="AC295" s="243">
        <v>1766263.0</v>
      </c>
      <c r="AD295" s="243">
        <v>1766263.0</v>
      </c>
      <c r="AE295" s="186" t="s">
        <v>209</v>
      </c>
      <c r="AF295" s="187" t="s">
        <v>209</v>
      </c>
      <c r="AG295" s="15"/>
      <c r="AH295" s="157" t="s">
        <v>180</v>
      </c>
      <c r="AI295" s="167">
        <v>46203.0</v>
      </c>
      <c r="AJ295" s="167">
        <v>46112.0</v>
      </c>
      <c r="AK295" s="167">
        <v>46022.0</v>
      </c>
      <c r="AL295" s="167">
        <v>45930.0</v>
      </c>
      <c r="AM295" s="167">
        <v>45838.0</v>
      </c>
      <c r="AN295" s="167">
        <v>45747.0</v>
      </c>
      <c r="AO295" s="167">
        <v>45657.0</v>
      </c>
      <c r="AP295" s="167">
        <v>45565.0</v>
      </c>
      <c r="AQ295" s="167">
        <v>45473.0</v>
      </c>
      <c r="AR295" s="167">
        <v>45382.0</v>
      </c>
      <c r="AS295" s="167">
        <v>45291.0</v>
      </c>
      <c r="AT295" s="167">
        <v>45199.0</v>
      </c>
      <c r="AU295" s="167">
        <v>45107.0</v>
      </c>
      <c r="AV295" s="167">
        <v>45016.0</v>
      </c>
      <c r="AW295" s="15"/>
      <c r="AX295" s="157" t="s">
        <v>216</v>
      </c>
      <c r="AY295" s="186">
        <v>0.39</v>
      </c>
      <c r="AZ295" s="186">
        <v>0.34</v>
      </c>
      <c r="BA295" s="186">
        <v>0.48</v>
      </c>
      <c r="BB295" s="186">
        <v>0.54</v>
      </c>
      <c r="BC295" s="186">
        <v>0.67</v>
      </c>
      <c r="BD295" s="186">
        <v>0.76</v>
      </c>
      <c r="BE295" s="186">
        <v>0.64</v>
      </c>
      <c r="BF295" s="186" t="s">
        <v>209</v>
      </c>
      <c r="BG295" s="186" t="s">
        <v>209</v>
      </c>
      <c r="BH295" s="186" t="s">
        <v>209</v>
      </c>
      <c r="BI295" s="186" t="s">
        <v>209</v>
      </c>
      <c r="BJ295" s="186" t="s">
        <v>209</v>
      </c>
      <c r="BK295" s="186" t="s">
        <v>209</v>
      </c>
      <c r="BL295" s="186" t="s">
        <v>209</v>
      </c>
      <c r="BM295" s="187" t="s">
        <v>209</v>
      </c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</row>
    <row r="296" outlineLevel="1">
      <c r="A296" s="15"/>
      <c r="B296" s="288" t="s">
        <v>261</v>
      </c>
      <c r="C296" s="286">
        <v>76311.0</v>
      </c>
      <c r="D296" s="286">
        <v>64285.0</v>
      </c>
      <c r="E296" s="286">
        <v>156376.0</v>
      </c>
      <c r="F296" s="286">
        <v>67554.0</v>
      </c>
      <c r="G296" s="286">
        <v>37913.0</v>
      </c>
      <c r="H296" s="286">
        <v>33983.0</v>
      </c>
      <c r="I296" s="286">
        <v>76742.0</v>
      </c>
      <c r="J296" s="286">
        <v>77536.0</v>
      </c>
      <c r="K296" s="286">
        <v>13240.0</v>
      </c>
      <c r="L296" s="286">
        <v>30657.0</v>
      </c>
      <c r="M296" s="286">
        <v>48144.0</v>
      </c>
      <c r="N296" s="286">
        <v>48144.0</v>
      </c>
      <c r="O296" s="286">
        <v>-17023.0</v>
      </c>
      <c r="P296" s="287">
        <v>-17023.0</v>
      </c>
      <c r="Q296" s="15"/>
      <c r="R296" s="289" t="s">
        <v>242</v>
      </c>
      <c r="S296" s="243">
        <v>583695.0</v>
      </c>
      <c r="T296" s="243">
        <v>585147.0</v>
      </c>
      <c r="U296" s="243">
        <v>584544.0</v>
      </c>
      <c r="V296" s="243">
        <v>597233.0</v>
      </c>
      <c r="W296" s="243">
        <v>592922.0</v>
      </c>
      <c r="X296" s="243">
        <v>562189.0</v>
      </c>
      <c r="Y296" s="243">
        <v>577441.0</v>
      </c>
      <c r="Z296" s="186" t="s">
        <v>209</v>
      </c>
      <c r="AA296" s="243">
        <v>505453.0</v>
      </c>
      <c r="AB296" s="186" t="s">
        <v>209</v>
      </c>
      <c r="AC296" s="243">
        <v>442584.0</v>
      </c>
      <c r="AD296" s="243">
        <v>442584.0</v>
      </c>
      <c r="AE296" s="186" t="s">
        <v>209</v>
      </c>
      <c r="AF296" s="187" t="s">
        <v>209</v>
      </c>
      <c r="AG296" s="15"/>
      <c r="AH296" s="289" t="s">
        <v>215</v>
      </c>
      <c r="AI296" s="243">
        <v>-7667.0</v>
      </c>
      <c r="AJ296" s="243">
        <v>-16638.0</v>
      </c>
      <c r="AK296" s="243">
        <v>-17762.0</v>
      </c>
      <c r="AL296" s="243">
        <v>-9996.0</v>
      </c>
      <c r="AM296" s="243">
        <v>-63458.0</v>
      </c>
      <c r="AN296" s="243">
        <v>-7873.0</v>
      </c>
      <c r="AO296" s="243">
        <v>-86972.0</v>
      </c>
      <c r="AP296" s="243">
        <v>14760.0</v>
      </c>
      <c r="AQ296" s="243">
        <v>-64585.0</v>
      </c>
      <c r="AR296" s="243">
        <v>-26572.0</v>
      </c>
      <c r="AS296" s="243">
        <v>-25276.0</v>
      </c>
      <c r="AT296" s="243">
        <v>-25276.0</v>
      </c>
      <c r="AU296" s="243">
        <v>-16673.0</v>
      </c>
      <c r="AV296" s="290">
        <v>-16673.0</v>
      </c>
      <c r="AW296" s="15"/>
      <c r="AX296" s="157" t="s">
        <v>223</v>
      </c>
      <c r="AY296" s="186">
        <v>1.65</v>
      </c>
      <c r="AZ296" s="186">
        <v>1.42</v>
      </c>
      <c r="BA296" s="186">
        <v>1.89</v>
      </c>
      <c r="BB296" s="186">
        <v>2.06</v>
      </c>
      <c r="BC296" s="186">
        <v>2.35</v>
      </c>
      <c r="BD296" s="186">
        <v>2.75</v>
      </c>
      <c r="BE296" s="186">
        <v>2.21</v>
      </c>
      <c r="BF296" s="186" t="s">
        <v>209</v>
      </c>
      <c r="BG296" s="186" t="s">
        <v>209</v>
      </c>
      <c r="BH296" s="186" t="s">
        <v>209</v>
      </c>
      <c r="BI296" s="186" t="s">
        <v>209</v>
      </c>
      <c r="BJ296" s="186" t="s">
        <v>209</v>
      </c>
      <c r="BK296" s="186" t="s">
        <v>209</v>
      </c>
      <c r="BL296" s="186" t="s">
        <v>209</v>
      </c>
      <c r="BM296" s="187" t="s">
        <v>209</v>
      </c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</row>
    <row r="297" outlineLevel="1">
      <c r="A297" s="15"/>
      <c r="B297" s="288" t="s">
        <v>268</v>
      </c>
      <c r="C297" s="286" t="s">
        <v>209</v>
      </c>
      <c r="D297" s="286" t="s">
        <v>209</v>
      </c>
      <c r="E297" s="286" t="s">
        <v>209</v>
      </c>
      <c r="F297" s="286" t="s">
        <v>209</v>
      </c>
      <c r="G297" s="286" t="s">
        <v>209</v>
      </c>
      <c r="H297" s="286" t="s">
        <v>209</v>
      </c>
      <c r="I297" s="286">
        <v>14205.0</v>
      </c>
      <c r="J297" s="286" t="s">
        <v>209</v>
      </c>
      <c r="K297" s="286" t="s">
        <v>209</v>
      </c>
      <c r="L297" s="286" t="s">
        <v>209</v>
      </c>
      <c r="M297" s="286" t="s">
        <v>209</v>
      </c>
      <c r="N297" s="286" t="s">
        <v>209</v>
      </c>
      <c r="O297" s="286" t="s">
        <v>209</v>
      </c>
      <c r="P297" s="287" t="s">
        <v>209</v>
      </c>
      <c r="Q297" s="15"/>
      <c r="R297" s="289" t="s">
        <v>448</v>
      </c>
      <c r="S297" s="186" t="s">
        <v>209</v>
      </c>
      <c r="T297" s="186" t="s">
        <v>209</v>
      </c>
      <c r="U297" s="186" t="s">
        <v>209</v>
      </c>
      <c r="V297" s="243">
        <v>2268.0</v>
      </c>
      <c r="W297" s="243">
        <v>2268.0</v>
      </c>
      <c r="X297" s="243">
        <v>2268.0</v>
      </c>
      <c r="Y297" s="243">
        <v>2268.0</v>
      </c>
      <c r="Z297" s="186" t="s">
        <v>209</v>
      </c>
      <c r="AA297" s="243">
        <v>2268.0</v>
      </c>
      <c r="AB297" s="186" t="s">
        <v>209</v>
      </c>
      <c r="AC297" s="243">
        <v>2268.0</v>
      </c>
      <c r="AD297" s="243">
        <v>2268.0</v>
      </c>
      <c r="AE297" s="186" t="s">
        <v>209</v>
      </c>
      <c r="AF297" s="187" t="s">
        <v>209</v>
      </c>
      <c r="AG297" s="15"/>
      <c r="AH297" s="289" t="s">
        <v>222</v>
      </c>
      <c r="AI297" s="186">
        <v>326.0</v>
      </c>
      <c r="AJ297" s="186">
        <v>279.0</v>
      </c>
      <c r="AK297" s="243">
        <v>2659.0</v>
      </c>
      <c r="AL297" s="186" t="s">
        <v>209</v>
      </c>
      <c r="AM297" s="186" t="s">
        <v>209</v>
      </c>
      <c r="AN297" s="186" t="s">
        <v>209</v>
      </c>
      <c r="AO297" s="243">
        <v>-13690.0</v>
      </c>
      <c r="AP297" s="243">
        <v>14943.0</v>
      </c>
      <c r="AQ297" s="243">
        <v>1523.0</v>
      </c>
      <c r="AR297" s="186" t="s">
        <v>209</v>
      </c>
      <c r="AS297" s="243">
        <v>1035.0</v>
      </c>
      <c r="AT297" s="243">
        <v>1035.0</v>
      </c>
      <c r="AU297" s="186">
        <v>890.5</v>
      </c>
      <c r="AV297" s="187">
        <v>890.5</v>
      </c>
      <c r="AW297" s="15"/>
      <c r="AX297" s="157" t="s">
        <v>230</v>
      </c>
      <c r="AY297" s="186">
        <v>1.71</v>
      </c>
      <c r="AZ297" s="186">
        <v>1.48</v>
      </c>
      <c r="BA297" s="186">
        <v>1.95</v>
      </c>
      <c r="BB297" s="186">
        <v>2.13</v>
      </c>
      <c r="BC297" s="186">
        <v>2.44</v>
      </c>
      <c r="BD297" s="186">
        <v>2.86</v>
      </c>
      <c r="BE297" s="186">
        <v>2.3</v>
      </c>
      <c r="BF297" s="186" t="s">
        <v>209</v>
      </c>
      <c r="BG297" s="186" t="s">
        <v>209</v>
      </c>
      <c r="BH297" s="186" t="s">
        <v>209</v>
      </c>
      <c r="BI297" s="186" t="s">
        <v>209</v>
      </c>
      <c r="BJ297" s="186" t="s">
        <v>209</v>
      </c>
      <c r="BK297" s="186" t="s">
        <v>209</v>
      </c>
      <c r="BL297" s="186" t="s">
        <v>209</v>
      </c>
      <c r="BM297" s="187" t="s">
        <v>209</v>
      </c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</row>
    <row r="298" outlineLevel="1">
      <c r="A298" s="15"/>
      <c r="B298" s="288" t="s">
        <v>281</v>
      </c>
      <c r="C298" s="286">
        <v>76311.0</v>
      </c>
      <c r="D298" s="286">
        <v>64285.0</v>
      </c>
      <c r="E298" s="286">
        <v>156376.0</v>
      </c>
      <c r="F298" s="286">
        <v>67554.0</v>
      </c>
      <c r="G298" s="286">
        <v>37913.0</v>
      </c>
      <c r="H298" s="286">
        <v>33983.0</v>
      </c>
      <c r="I298" s="286">
        <v>90947.0</v>
      </c>
      <c r="J298" s="286">
        <v>77536.0</v>
      </c>
      <c r="K298" s="286">
        <v>13240.0</v>
      </c>
      <c r="L298" s="286">
        <v>30657.0</v>
      </c>
      <c r="M298" s="286">
        <v>48144.0</v>
      </c>
      <c r="N298" s="286">
        <v>48144.0</v>
      </c>
      <c r="O298" s="286">
        <v>-17023.0</v>
      </c>
      <c r="P298" s="287">
        <v>-17023.0</v>
      </c>
      <c r="Q298" s="15"/>
      <c r="R298" s="289" t="s">
        <v>451</v>
      </c>
      <c r="S298" s="243">
        <v>1824.0</v>
      </c>
      <c r="T298" s="243">
        <v>2048.0</v>
      </c>
      <c r="U298" s="243">
        <v>2272.0</v>
      </c>
      <c r="V298" s="243">
        <v>2501.0</v>
      </c>
      <c r="W298" s="243">
        <v>2981.0</v>
      </c>
      <c r="X298" s="243">
        <v>3460.0</v>
      </c>
      <c r="Y298" s="243">
        <v>3940.0</v>
      </c>
      <c r="Z298" s="186" t="s">
        <v>209</v>
      </c>
      <c r="AA298" s="243">
        <v>4898.0</v>
      </c>
      <c r="AB298" s="186" t="s">
        <v>209</v>
      </c>
      <c r="AC298" s="243">
        <v>5398.0</v>
      </c>
      <c r="AD298" s="243">
        <v>5398.0</v>
      </c>
      <c r="AE298" s="186" t="s">
        <v>209</v>
      </c>
      <c r="AF298" s="187" t="s">
        <v>209</v>
      </c>
      <c r="AG298" s="15"/>
      <c r="AH298" s="289" t="s">
        <v>443</v>
      </c>
      <c r="AI298" s="186" t="s">
        <v>209</v>
      </c>
      <c r="AJ298" s="186" t="s">
        <v>209</v>
      </c>
      <c r="AK298" s="186" t="s">
        <v>209</v>
      </c>
      <c r="AL298" s="186" t="s">
        <v>209</v>
      </c>
      <c r="AM298" s="186" t="s">
        <v>209</v>
      </c>
      <c r="AN298" s="186" t="s">
        <v>209</v>
      </c>
      <c r="AO298" s="186" t="s">
        <v>209</v>
      </c>
      <c r="AP298" s="186" t="s">
        <v>209</v>
      </c>
      <c r="AQ298" s="186" t="s">
        <v>209</v>
      </c>
      <c r="AR298" s="186" t="s">
        <v>209</v>
      </c>
      <c r="AS298" s="243">
        <v>42982.0</v>
      </c>
      <c r="AT298" s="243">
        <v>42982.0</v>
      </c>
      <c r="AU298" s="186" t="s">
        <v>209</v>
      </c>
      <c r="AV298" s="187" t="s">
        <v>209</v>
      </c>
      <c r="AW298" s="15"/>
      <c r="AX298" s="157" t="s">
        <v>237</v>
      </c>
      <c r="AY298" s="186" t="s">
        <v>209</v>
      </c>
      <c r="AZ298" s="186">
        <v>-89.41</v>
      </c>
      <c r="BA298" s="186" t="s">
        <v>209</v>
      </c>
      <c r="BB298" s="186">
        <v>-18.11</v>
      </c>
      <c r="BC298" s="186" t="s">
        <v>209</v>
      </c>
      <c r="BD298" s="186">
        <v>-31.84</v>
      </c>
      <c r="BE298" s="186" t="s">
        <v>209</v>
      </c>
      <c r="BF298" s="186" t="s">
        <v>209</v>
      </c>
      <c r="BG298" s="186" t="s">
        <v>209</v>
      </c>
      <c r="BH298" s="186" t="s">
        <v>209</v>
      </c>
      <c r="BI298" s="186" t="s">
        <v>209</v>
      </c>
      <c r="BJ298" s="186" t="s">
        <v>209</v>
      </c>
      <c r="BK298" s="186" t="s">
        <v>209</v>
      </c>
      <c r="BL298" s="186" t="s">
        <v>209</v>
      </c>
      <c r="BM298" s="187" t="s">
        <v>209</v>
      </c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</row>
    <row r="299" outlineLevel="1">
      <c r="A299" s="15"/>
      <c r="B299" s="288" t="s">
        <v>286</v>
      </c>
      <c r="C299" s="286">
        <v>22493.0</v>
      </c>
      <c r="D299" s="286">
        <v>14549.0</v>
      </c>
      <c r="E299" s="286">
        <v>37860.0</v>
      </c>
      <c r="F299" s="286">
        <v>15623.0</v>
      </c>
      <c r="G299" s="286">
        <v>10153.0</v>
      </c>
      <c r="H299" s="286">
        <v>8105.0</v>
      </c>
      <c r="I299" s="286">
        <v>3240.0</v>
      </c>
      <c r="J299" s="286">
        <v>16087.0</v>
      </c>
      <c r="K299" s="286">
        <v>-2152.0</v>
      </c>
      <c r="L299" s="286">
        <v>13319.0</v>
      </c>
      <c r="M299" s="286">
        <v>16308.0</v>
      </c>
      <c r="N299" s="286">
        <v>16308.0</v>
      </c>
      <c r="O299" s="286">
        <v>4868.0</v>
      </c>
      <c r="P299" s="287">
        <v>4868.0</v>
      </c>
      <c r="Q299" s="15"/>
      <c r="R299" s="289" t="s">
        <v>255</v>
      </c>
      <c r="S299" s="243">
        <v>70424.0</v>
      </c>
      <c r="T299" s="243">
        <v>66018.0</v>
      </c>
      <c r="U299" s="243">
        <v>65545.0</v>
      </c>
      <c r="V299" s="243">
        <v>70020.0</v>
      </c>
      <c r="W299" s="243">
        <v>73832.0</v>
      </c>
      <c r="X299" s="243">
        <v>76221.0</v>
      </c>
      <c r="Y299" s="243">
        <v>71810.0</v>
      </c>
      <c r="Z299" s="186" t="s">
        <v>209</v>
      </c>
      <c r="AA299" s="243">
        <v>55865.0</v>
      </c>
      <c r="AB299" s="186" t="s">
        <v>209</v>
      </c>
      <c r="AC299" s="243">
        <v>58940.0</v>
      </c>
      <c r="AD299" s="243">
        <v>58940.0</v>
      </c>
      <c r="AE299" s="186" t="s">
        <v>209</v>
      </c>
      <c r="AF299" s="187" t="s">
        <v>209</v>
      </c>
      <c r="AG299" s="15"/>
      <c r="AH299" s="289" t="s">
        <v>445</v>
      </c>
      <c r="AI299" s="243" t="s">
        <v>209</v>
      </c>
      <c r="AJ299" s="243" t="s">
        <v>209</v>
      </c>
      <c r="AK299" s="243" t="s">
        <v>209</v>
      </c>
      <c r="AL299" s="243" t="s">
        <v>209</v>
      </c>
      <c r="AM299" s="243" t="s">
        <v>209</v>
      </c>
      <c r="AN299" s="243" t="s">
        <v>209</v>
      </c>
      <c r="AO299" s="243">
        <v>30440.0</v>
      </c>
      <c r="AP299" s="243" t="s">
        <v>209</v>
      </c>
      <c r="AQ299" s="243" t="s">
        <v>209</v>
      </c>
      <c r="AR299" s="243" t="s">
        <v>209</v>
      </c>
      <c r="AS299" s="243">
        <v>-140.0</v>
      </c>
      <c r="AT299" s="243">
        <v>-140.0</v>
      </c>
      <c r="AU299" s="243" t="s">
        <v>209</v>
      </c>
      <c r="AV299" s="290" t="s">
        <v>209</v>
      </c>
      <c r="AW299" s="15"/>
      <c r="AX299" s="157" t="s">
        <v>244</v>
      </c>
      <c r="AY299" s="186">
        <v>56.65</v>
      </c>
      <c r="AZ299" s="186">
        <v>48.96</v>
      </c>
      <c r="BA299" s="186" t="s">
        <v>209</v>
      </c>
      <c r="BB299" s="186">
        <v>-90.01</v>
      </c>
      <c r="BC299" s="186" t="s">
        <v>209</v>
      </c>
      <c r="BD299" s="186">
        <v>44.76</v>
      </c>
      <c r="BE299" s="186" t="s">
        <v>209</v>
      </c>
      <c r="BF299" s="186" t="s">
        <v>209</v>
      </c>
      <c r="BG299" s="186" t="s">
        <v>209</v>
      </c>
      <c r="BH299" s="186" t="s">
        <v>209</v>
      </c>
      <c r="BI299" s="186" t="s">
        <v>209</v>
      </c>
      <c r="BJ299" s="186" t="s">
        <v>209</v>
      </c>
      <c r="BK299" s="186" t="s">
        <v>209</v>
      </c>
      <c r="BL299" s="186" t="s">
        <v>209</v>
      </c>
      <c r="BM299" s="187" t="s">
        <v>209</v>
      </c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</row>
    <row r="300" outlineLevel="1">
      <c r="A300" s="15"/>
      <c r="B300" s="288" t="s">
        <v>291</v>
      </c>
      <c r="C300" s="286">
        <v>53818.0</v>
      </c>
      <c r="D300" s="286">
        <v>49736.0</v>
      </c>
      <c r="E300" s="286">
        <v>118516.0</v>
      </c>
      <c r="F300" s="286">
        <v>51931.0</v>
      </c>
      <c r="G300" s="286">
        <v>27760.0</v>
      </c>
      <c r="H300" s="286">
        <v>25878.0</v>
      </c>
      <c r="I300" s="286">
        <v>87707.0</v>
      </c>
      <c r="J300" s="286">
        <v>61449.0</v>
      </c>
      <c r="K300" s="286">
        <v>15392.0</v>
      </c>
      <c r="L300" s="286">
        <v>17338.0</v>
      </c>
      <c r="M300" s="286">
        <v>31836.0</v>
      </c>
      <c r="N300" s="286">
        <v>31836.0</v>
      </c>
      <c r="O300" s="286">
        <v>-21891.0</v>
      </c>
      <c r="P300" s="287">
        <v>-21891.0</v>
      </c>
      <c r="Q300" s="15"/>
      <c r="R300" s="289" t="s">
        <v>454</v>
      </c>
      <c r="S300" s="243">
        <v>259452.0</v>
      </c>
      <c r="T300" s="243">
        <v>269842.0</v>
      </c>
      <c r="U300" s="243">
        <v>208612.0</v>
      </c>
      <c r="V300" s="243">
        <v>204879.0</v>
      </c>
      <c r="W300" s="243">
        <v>209113.0</v>
      </c>
      <c r="X300" s="243">
        <v>191692.0</v>
      </c>
      <c r="Y300" s="243">
        <v>177404.0</v>
      </c>
      <c r="Z300" s="186" t="s">
        <v>209</v>
      </c>
      <c r="AA300" s="243">
        <v>164512.0</v>
      </c>
      <c r="AB300" s="186" t="s">
        <v>209</v>
      </c>
      <c r="AC300" s="243">
        <v>144704.0</v>
      </c>
      <c r="AD300" s="243">
        <v>144704.0</v>
      </c>
      <c r="AE300" s="186" t="s">
        <v>209</v>
      </c>
      <c r="AF300" s="187" t="s">
        <v>209</v>
      </c>
      <c r="AG300" s="15"/>
      <c r="AH300" s="297" t="s">
        <v>449</v>
      </c>
      <c r="AI300" s="293" t="s">
        <v>209</v>
      </c>
      <c r="AJ300" s="293" t="s">
        <v>209</v>
      </c>
      <c r="AK300" s="293" t="s">
        <v>209</v>
      </c>
      <c r="AL300" s="293" t="s">
        <v>209</v>
      </c>
      <c r="AM300" s="293" t="s">
        <v>209</v>
      </c>
      <c r="AN300" s="293" t="s">
        <v>209</v>
      </c>
      <c r="AO300" s="293" t="s">
        <v>209</v>
      </c>
      <c r="AP300" s="293">
        <v>423.0</v>
      </c>
      <c r="AQ300" s="293">
        <v>-423.0</v>
      </c>
      <c r="AR300" s="293" t="s">
        <v>209</v>
      </c>
      <c r="AS300" s="293">
        <v>-201.5</v>
      </c>
      <c r="AT300" s="293">
        <v>-201.5</v>
      </c>
      <c r="AU300" s="293">
        <v>-210.5</v>
      </c>
      <c r="AV300" s="295">
        <v>-210.5</v>
      </c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</row>
    <row r="301" outlineLevel="1">
      <c r="A301" s="15"/>
      <c r="B301" s="288" t="s">
        <v>297</v>
      </c>
      <c r="C301" s="286">
        <v>-3478.0</v>
      </c>
      <c r="D301" s="286">
        <v>-357.0</v>
      </c>
      <c r="E301" s="286">
        <v>-2984.0</v>
      </c>
      <c r="F301" s="286">
        <v>-772.0</v>
      </c>
      <c r="G301" s="286">
        <v>-1492.0</v>
      </c>
      <c r="H301" s="286">
        <v>12.0</v>
      </c>
      <c r="I301" s="286">
        <v>-2196.0</v>
      </c>
      <c r="J301" s="286" t="s">
        <v>209</v>
      </c>
      <c r="K301" s="286">
        <v>-87.0</v>
      </c>
      <c r="L301" s="286">
        <v>-917.0</v>
      </c>
      <c r="M301" s="286">
        <v>-1458.0</v>
      </c>
      <c r="N301" s="286">
        <v>-1458.0</v>
      </c>
      <c r="O301" s="286">
        <v>-869.0</v>
      </c>
      <c r="P301" s="287">
        <v>-869.0</v>
      </c>
      <c r="Q301" s="15"/>
      <c r="R301" s="298" t="s">
        <v>262</v>
      </c>
      <c r="S301" s="299">
        <v>4453496.0</v>
      </c>
      <c r="T301" s="299">
        <v>3987401.0</v>
      </c>
      <c r="U301" s="299">
        <v>4040985.0</v>
      </c>
      <c r="V301" s="299">
        <v>3487429.0</v>
      </c>
      <c r="W301" s="299">
        <v>3153049.0</v>
      </c>
      <c r="X301" s="299">
        <v>2979076.0</v>
      </c>
      <c r="Y301" s="299">
        <v>2910383.0</v>
      </c>
      <c r="Z301" s="300" t="s">
        <v>209</v>
      </c>
      <c r="AA301" s="299">
        <v>2518171.0</v>
      </c>
      <c r="AB301" s="300" t="s">
        <v>209</v>
      </c>
      <c r="AC301" s="299">
        <v>2420157.0</v>
      </c>
      <c r="AD301" s="299">
        <v>2420157.0</v>
      </c>
      <c r="AE301" s="300" t="s">
        <v>209</v>
      </c>
      <c r="AF301" s="301" t="s">
        <v>209</v>
      </c>
      <c r="AG301" s="15"/>
      <c r="AH301" s="289" t="s">
        <v>236</v>
      </c>
      <c r="AI301" s="243">
        <v>-7341.0</v>
      </c>
      <c r="AJ301" s="243">
        <v>-16359.0</v>
      </c>
      <c r="AK301" s="243">
        <v>-15103.0</v>
      </c>
      <c r="AL301" s="243">
        <v>-9996.0</v>
      </c>
      <c r="AM301" s="243">
        <v>-63458.0</v>
      </c>
      <c r="AN301" s="243">
        <v>-7873.0</v>
      </c>
      <c r="AO301" s="243">
        <v>-70222.0</v>
      </c>
      <c r="AP301" s="243">
        <v>30126.0</v>
      </c>
      <c r="AQ301" s="243">
        <v>-63485.0</v>
      </c>
      <c r="AR301" s="243">
        <v>-26572.0</v>
      </c>
      <c r="AS301" s="243">
        <v>18399.0</v>
      </c>
      <c r="AT301" s="243">
        <v>18399.0</v>
      </c>
      <c r="AU301" s="243">
        <v>-15993.0</v>
      </c>
      <c r="AV301" s="290">
        <v>-15993.0</v>
      </c>
      <c r="AW301" s="15"/>
      <c r="AX301" s="296" t="s">
        <v>495</v>
      </c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</row>
    <row r="302" outlineLevel="1">
      <c r="A302" s="15"/>
      <c r="B302" s="288" t="s">
        <v>185</v>
      </c>
      <c r="C302" s="286">
        <v>50340.0</v>
      </c>
      <c r="D302" s="286">
        <v>49379.0</v>
      </c>
      <c r="E302" s="286">
        <v>115532.0</v>
      </c>
      <c r="F302" s="286">
        <v>51159.0</v>
      </c>
      <c r="G302" s="286">
        <v>26268.0</v>
      </c>
      <c r="H302" s="286">
        <v>25890.0</v>
      </c>
      <c r="I302" s="286">
        <v>85511.0</v>
      </c>
      <c r="J302" s="286">
        <v>61449.0</v>
      </c>
      <c r="K302" s="286">
        <v>15305.0</v>
      </c>
      <c r="L302" s="286">
        <v>16421.0</v>
      </c>
      <c r="M302" s="286">
        <v>30378.0</v>
      </c>
      <c r="N302" s="286">
        <v>30378.0</v>
      </c>
      <c r="O302" s="286">
        <v>-22760.0</v>
      </c>
      <c r="P302" s="287">
        <v>-22760.0</v>
      </c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7" t="s">
        <v>410</v>
      </c>
      <c r="AY302" s="158" t="s">
        <v>172</v>
      </c>
      <c r="AZ302" s="158" t="s">
        <v>144</v>
      </c>
      <c r="BA302" s="158" t="s">
        <v>145</v>
      </c>
      <c r="BB302" s="158" t="s">
        <v>146</v>
      </c>
      <c r="BC302" s="158" t="s">
        <v>147</v>
      </c>
      <c r="BD302" s="158" t="s">
        <v>148</v>
      </c>
      <c r="BE302" s="158" t="s">
        <v>149</v>
      </c>
      <c r="BF302" s="158" t="s">
        <v>150</v>
      </c>
      <c r="BG302" s="158" t="s">
        <v>151</v>
      </c>
      <c r="BH302" s="158" t="s">
        <v>152</v>
      </c>
      <c r="BI302" s="158" t="s">
        <v>153</v>
      </c>
      <c r="BJ302" s="158" t="s">
        <v>154</v>
      </c>
      <c r="BK302" s="158" t="s">
        <v>155</v>
      </c>
      <c r="BL302" s="158" t="s">
        <v>156</v>
      </c>
      <c r="BM302" s="159" t="s">
        <v>157</v>
      </c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</row>
    <row r="303" outlineLevel="1">
      <c r="A303" s="15"/>
      <c r="B303" s="288" t="s">
        <v>306</v>
      </c>
      <c r="C303" s="286">
        <v>50340.0</v>
      </c>
      <c r="D303" s="286">
        <v>49379.0</v>
      </c>
      <c r="E303" s="286">
        <v>115532.0</v>
      </c>
      <c r="F303" s="286">
        <v>51159.0</v>
      </c>
      <c r="G303" s="286">
        <v>26268.0</v>
      </c>
      <c r="H303" s="286">
        <v>25890.0</v>
      </c>
      <c r="I303" s="286">
        <v>85511.0</v>
      </c>
      <c r="J303" s="286">
        <v>61449.0</v>
      </c>
      <c r="K303" s="286">
        <v>15305.0</v>
      </c>
      <c r="L303" s="286">
        <v>16421.0</v>
      </c>
      <c r="M303" s="286">
        <v>30378.0</v>
      </c>
      <c r="N303" s="286">
        <v>30378.0</v>
      </c>
      <c r="O303" s="286">
        <v>-22760.0</v>
      </c>
      <c r="P303" s="287">
        <v>-22760.0</v>
      </c>
      <c r="Q303" s="15"/>
      <c r="R303" s="138" t="s">
        <v>496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281" t="s">
        <v>497</v>
      </c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7" t="s">
        <v>180</v>
      </c>
      <c r="AY303" s="167">
        <v>46304.0</v>
      </c>
      <c r="AZ303" s="167">
        <v>46203.0</v>
      </c>
      <c r="BA303" s="167">
        <v>46112.0</v>
      </c>
      <c r="BB303" s="167">
        <v>46022.0</v>
      </c>
      <c r="BC303" s="167">
        <v>45930.0</v>
      </c>
      <c r="BD303" s="167">
        <v>45838.0</v>
      </c>
      <c r="BE303" s="167">
        <v>45747.0</v>
      </c>
      <c r="BF303" s="167">
        <v>45657.0</v>
      </c>
      <c r="BG303" s="167">
        <v>45565.0</v>
      </c>
      <c r="BH303" s="167">
        <v>45473.0</v>
      </c>
      <c r="BI303" s="167">
        <v>45382.0</v>
      </c>
      <c r="BJ303" s="167">
        <v>45291.0</v>
      </c>
      <c r="BK303" s="167">
        <v>45199.0</v>
      </c>
      <c r="BL303" s="167">
        <v>45107.0</v>
      </c>
      <c r="BM303" s="167">
        <v>45016.0</v>
      </c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</row>
    <row r="304" outlineLevel="1">
      <c r="A304" s="15"/>
      <c r="B304" s="270" t="s">
        <v>419</v>
      </c>
      <c r="C304" s="302">
        <v>0.9164</v>
      </c>
      <c r="D304" s="302">
        <v>0.9073</v>
      </c>
      <c r="E304" s="302">
        <v>0.3511</v>
      </c>
      <c r="F304" s="303">
        <v>-0.1675</v>
      </c>
      <c r="G304" s="302">
        <v>0.7163</v>
      </c>
      <c r="H304" s="302">
        <v>0.5766</v>
      </c>
      <c r="I304" s="302">
        <v>1.8149</v>
      </c>
      <c r="J304" s="302">
        <v>1.0228</v>
      </c>
      <c r="K304" s="286" t="s">
        <v>209</v>
      </c>
      <c r="L304" s="286" t="s">
        <v>209</v>
      </c>
      <c r="M304" s="286" t="s">
        <v>209</v>
      </c>
      <c r="N304" s="286" t="s">
        <v>209</v>
      </c>
      <c r="O304" s="286" t="s">
        <v>209</v>
      </c>
      <c r="P304" s="287" t="s">
        <v>209</v>
      </c>
      <c r="Q304" s="15"/>
      <c r="R304" s="157" t="s">
        <v>410</v>
      </c>
      <c r="S304" s="158" t="s">
        <v>144</v>
      </c>
      <c r="T304" s="158" t="s">
        <v>145</v>
      </c>
      <c r="U304" s="158" t="s">
        <v>146</v>
      </c>
      <c r="V304" s="158" t="s">
        <v>147</v>
      </c>
      <c r="W304" s="158" t="s">
        <v>148</v>
      </c>
      <c r="X304" s="158" t="s">
        <v>149</v>
      </c>
      <c r="Y304" s="158" t="s">
        <v>150</v>
      </c>
      <c r="Z304" s="158" t="s">
        <v>151</v>
      </c>
      <c r="AA304" s="158" t="s">
        <v>152</v>
      </c>
      <c r="AB304" s="158" t="s">
        <v>153</v>
      </c>
      <c r="AC304" s="158" t="s">
        <v>154</v>
      </c>
      <c r="AD304" s="158" t="s">
        <v>155</v>
      </c>
      <c r="AE304" s="158" t="s">
        <v>156</v>
      </c>
      <c r="AF304" s="159" t="s">
        <v>157</v>
      </c>
      <c r="AG304" s="15"/>
      <c r="AH304" s="157" t="s">
        <v>410</v>
      </c>
      <c r="AI304" s="158" t="s">
        <v>144</v>
      </c>
      <c r="AJ304" s="158" t="s">
        <v>145</v>
      </c>
      <c r="AK304" s="158" t="s">
        <v>146</v>
      </c>
      <c r="AL304" s="158" t="s">
        <v>147</v>
      </c>
      <c r="AM304" s="158" t="s">
        <v>148</v>
      </c>
      <c r="AN304" s="158" t="s">
        <v>149</v>
      </c>
      <c r="AO304" s="158" t="s">
        <v>150</v>
      </c>
      <c r="AP304" s="158" t="s">
        <v>151</v>
      </c>
      <c r="AQ304" s="158" t="s">
        <v>152</v>
      </c>
      <c r="AR304" s="158" t="s">
        <v>153</v>
      </c>
      <c r="AS304" s="158" t="s">
        <v>154</v>
      </c>
      <c r="AT304" s="158" t="s">
        <v>155</v>
      </c>
      <c r="AU304" s="158" t="s">
        <v>156</v>
      </c>
      <c r="AV304" s="159" t="s">
        <v>157</v>
      </c>
      <c r="AW304" s="15"/>
      <c r="AX304" s="157" t="s">
        <v>250</v>
      </c>
      <c r="AY304" s="186">
        <v>0.61</v>
      </c>
      <c r="AZ304" s="186">
        <v>0.58</v>
      </c>
      <c r="BA304" s="186">
        <v>0.72</v>
      </c>
      <c r="BB304" s="186">
        <v>0.81</v>
      </c>
      <c r="BC304" s="186">
        <v>0.94</v>
      </c>
      <c r="BD304" s="186">
        <v>1.05</v>
      </c>
      <c r="BE304" s="186">
        <v>0.93</v>
      </c>
      <c r="BF304" s="186" t="s">
        <v>209</v>
      </c>
      <c r="BG304" s="186" t="s">
        <v>209</v>
      </c>
      <c r="BH304" s="186" t="s">
        <v>209</v>
      </c>
      <c r="BI304" s="186" t="s">
        <v>209</v>
      </c>
      <c r="BJ304" s="186" t="s">
        <v>209</v>
      </c>
      <c r="BK304" s="186" t="s">
        <v>209</v>
      </c>
      <c r="BL304" s="186" t="s">
        <v>209</v>
      </c>
      <c r="BM304" s="187" t="s">
        <v>209</v>
      </c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</row>
    <row r="305" outlineLevel="1">
      <c r="A305" s="15"/>
      <c r="B305" s="288" t="s">
        <v>317</v>
      </c>
      <c r="C305" s="286">
        <v>5882.0</v>
      </c>
      <c r="D305" s="286">
        <v>5882.0</v>
      </c>
      <c r="E305" s="286">
        <v>5765.0</v>
      </c>
      <c r="F305" s="286">
        <v>5765.0</v>
      </c>
      <c r="G305" s="286">
        <v>5765.0</v>
      </c>
      <c r="H305" s="286">
        <v>5765.0</v>
      </c>
      <c r="I305" s="286">
        <v>6113.0</v>
      </c>
      <c r="J305" s="286">
        <v>1662.0</v>
      </c>
      <c r="K305" s="286">
        <v>1662.0</v>
      </c>
      <c r="L305" s="286">
        <v>1662.0</v>
      </c>
      <c r="M305" s="286">
        <v>1662.0</v>
      </c>
      <c r="N305" s="286">
        <v>1662.0</v>
      </c>
      <c r="O305" s="286">
        <v>1662.0</v>
      </c>
      <c r="P305" s="287">
        <v>1662.0</v>
      </c>
      <c r="Q305" s="15"/>
      <c r="R305" s="157" t="s">
        <v>180</v>
      </c>
      <c r="S305" s="167">
        <v>46203.0</v>
      </c>
      <c r="T305" s="167">
        <v>46112.0</v>
      </c>
      <c r="U305" s="167">
        <v>46022.0</v>
      </c>
      <c r="V305" s="167">
        <v>45930.0</v>
      </c>
      <c r="W305" s="167">
        <v>45838.0</v>
      </c>
      <c r="X305" s="167">
        <v>45747.0</v>
      </c>
      <c r="Y305" s="167">
        <v>45657.0</v>
      </c>
      <c r="Z305" s="167">
        <v>45565.0</v>
      </c>
      <c r="AA305" s="167">
        <v>45473.0</v>
      </c>
      <c r="AB305" s="167">
        <v>45382.0</v>
      </c>
      <c r="AC305" s="167">
        <v>45291.0</v>
      </c>
      <c r="AD305" s="167">
        <v>45199.0</v>
      </c>
      <c r="AE305" s="167">
        <v>45107.0</v>
      </c>
      <c r="AF305" s="167">
        <v>45016.0</v>
      </c>
      <c r="AG305" s="15"/>
      <c r="AH305" s="157" t="s">
        <v>180</v>
      </c>
      <c r="AI305" s="167">
        <v>46203.0</v>
      </c>
      <c r="AJ305" s="167">
        <v>46112.0</v>
      </c>
      <c r="AK305" s="167">
        <v>46022.0</v>
      </c>
      <c r="AL305" s="167">
        <v>45930.0</v>
      </c>
      <c r="AM305" s="167">
        <v>45838.0</v>
      </c>
      <c r="AN305" s="167">
        <v>45747.0</v>
      </c>
      <c r="AO305" s="167">
        <v>45657.0</v>
      </c>
      <c r="AP305" s="167">
        <v>45565.0</v>
      </c>
      <c r="AQ305" s="167">
        <v>45473.0</v>
      </c>
      <c r="AR305" s="167">
        <v>45382.0</v>
      </c>
      <c r="AS305" s="167">
        <v>45291.0</v>
      </c>
      <c r="AT305" s="167">
        <v>45199.0</v>
      </c>
      <c r="AU305" s="167">
        <v>45107.0</v>
      </c>
      <c r="AV305" s="167">
        <v>45016.0</v>
      </c>
      <c r="AW305" s="15"/>
      <c r="AX305" s="157" t="s">
        <v>257</v>
      </c>
      <c r="AY305" s="186">
        <v>5.34</v>
      </c>
      <c r="AZ305" s="186">
        <v>5.18</v>
      </c>
      <c r="BA305" s="186">
        <v>6.61</v>
      </c>
      <c r="BB305" s="186">
        <v>7.56</v>
      </c>
      <c r="BC305" s="186">
        <v>8.98</v>
      </c>
      <c r="BD305" s="186">
        <v>10.87</v>
      </c>
      <c r="BE305" s="186">
        <v>9.63</v>
      </c>
      <c r="BF305" s="186" t="s">
        <v>209</v>
      </c>
      <c r="BG305" s="186" t="s">
        <v>209</v>
      </c>
      <c r="BH305" s="186" t="s">
        <v>209</v>
      </c>
      <c r="BI305" s="186" t="s">
        <v>209</v>
      </c>
      <c r="BJ305" s="186" t="s">
        <v>209</v>
      </c>
      <c r="BK305" s="186" t="s">
        <v>209</v>
      </c>
      <c r="BL305" s="186" t="s">
        <v>209</v>
      </c>
      <c r="BM305" s="187" t="s">
        <v>209</v>
      </c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</row>
    <row r="306" outlineLevel="1">
      <c r="A306" s="15"/>
      <c r="B306" s="288" t="s">
        <v>322</v>
      </c>
      <c r="C306" s="286">
        <v>5882.0</v>
      </c>
      <c r="D306" s="286">
        <v>5882.0</v>
      </c>
      <c r="E306" s="286">
        <v>5765.0</v>
      </c>
      <c r="F306" s="286">
        <v>5765.0</v>
      </c>
      <c r="G306" s="286">
        <v>5765.0</v>
      </c>
      <c r="H306" s="286">
        <v>5765.0</v>
      </c>
      <c r="I306" s="286">
        <v>6113.0</v>
      </c>
      <c r="J306" s="286">
        <v>1662.0</v>
      </c>
      <c r="K306" s="286">
        <v>1662.0</v>
      </c>
      <c r="L306" s="286">
        <v>1662.0</v>
      </c>
      <c r="M306" s="286">
        <v>1662.0</v>
      </c>
      <c r="N306" s="286">
        <v>1662.0</v>
      </c>
      <c r="O306" s="286">
        <v>1662.0</v>
      </c>
      <c r="P306" s="287">
        <v>1662.0</v>
      </c>
      <c r="Q306" s="15"/>
      <c r="R306" s="289" t="s">
        <v>269</v>
      </c>
      <c r="S306" s="243">
        <v>1429010.0</v>
      </c>
      <c r="T306" s="243">
        <v>1139047.0</v>
      </c>
      <c r="U306" s="243">
        <v>1326599.0</v>
      </c>
      <c r="V306" s="243">
        <v>911983.0</v>
      </c>
      <c r="W306" s="186" t="s">
        <v>209</v>
      </c>
      <c r="X306" s="243">
        <v>6550.0</v>
      </c>
      <c r="Y306" s="243">
        <v>759644.0</v>
      </c>
      <c r="Z306" s="186" t="s">
        <v>209</v>
      </c>
      <c r="AA306" s="243">
        <v>527100.0</v>
      </c>
      <c r="AB306" s="186" t="s">
        <v>209</v>
      </c>
      <c r="AC306" s="243">
        <v>554994.0</v>
      </c>
      <c r="AD306" s="243">
        <v>554994.0</v>
      </c>
      <c r="AE306" s="186" t="s">
        <v>209</v>
      </c>
      <c r="AF306" s="187" t="s">
        <v>209</v>
      </c>
      <c r="AG306" s="15"/>
      <c r="AH306" s="289" t="s">
        <v>249</v>
      </c>
      <c r="AI306" s="186" t="s">
        <v>209</v>
      </c>
      <c r="AJ306" s="243">
        <v>293353.0</v>
      </c>
      <c r="AK306" s="186" t="s">
        <v>209</v>
      </c>
      <c r="AL306" s="186" t="s">
        <v>209</v>
      </c>
      <c r="AM306" s="186" t="s">
        <v>209</v>
      </c>
      <c r="AN306" s="243">
        <v>541267.0</v>
      </c>
      <c r="AO306" s="186" t="s">
        <v>209</v>
      </c>
      <c r="AP306" s="186" t="s">
        <v>209</v>
      </c>
      <c r="AQ306" s="186" t="s">
        <v>209</v>
      </c>
      <c r="AR306" s="243">
        <v>736479.0</v>
      </c>
      <c r="AS306" s="186" t="s">
        <v>209</v>
      </c>
      <c r="AT306" s="186" t="s">
        <v>209</v>
      </c>
      <c r="AU306" s="186" t="s">
        <v>209</v>
      </c>
      <c r="AV306" s="187" t="s">
        <v>209</v>
      </c>
      <c r="AW306" s="15"/>
      <c r="AX306" s="157" t="s">
        <v>264</v>
      </c>
      <c r="AY306" s="186">
        <v>5.88</v>
      </c>
      <c r="AZ306" s="186">
        <v>5.55</v>
      </c>
      <c r="BA306" s="186">
        <v>7.19</v>
      </c>
      <c r="BB306" s="186">
        <v>8.35</v>
      </c>
      <c r="BC306" s="186">
        <v>9.97</v>
      </c>
      <c r="BD306" s="186">
        <v>12.43</v>
      </c>
      <c r="BE306" s="186">
        <v>11.06</v>
      </c>
      <c r="BF306" s="186" t="s">
        <v>209</v>
      </c>
      <c r="BG306" s="186" t="s">
        <v>209</v>
      </c>
      <c r="BH306" s="186" t="s">
        <v>209</v>
      </c>
      <c r="BI306" s="186" t="s">
        <v>209</v>
      </c>
      <c r="BJ306" s="186" t="s">
        <v>209</v>
      </c>
      <c r="BK306" s="186" t="s">
        <v>209</v>
      </c>
      <c r="BL306" s="186" t="s">
        <v>209</v>
      </c>
      <c r="BM306" s="187" t="s">
        <v>209</v>
      </c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</row>
    <row r="307" outlineLevel="1">
      <c r="A307" s="15"/>
      <c r="B307" s="270" t="s">
        <v>421</v>
      </c>
      <c r="C307" s="303">
        <v>0.0204</v>
      </c>
      <c r="D307" s="303">
        <v>0.0204</v>
      </c>
      <c r="E307" s="302">
        <v>-0.057</v>
      </c>
      <c r="F307" s="303">
        <v>2.4696</v>
      </c>
      <c r="G307" s="303">
        <v>2.4696</v>
      </c>
      <c r="H307" s="303">
        <v>2.4696</v>
      </c>
      <c r="I307" s="303">
        <v>2.6791</v>
      </c>
      <c r="J307" s="286" t="s">
        <v>209</v>
      </c>
      <c r="K307" s="286" t="s">
        <v>209</v>
      </c>
      <c r="L307" s="286" t="s">
        <v>209</v>
      </c>
      <c r="M307" s="286" t="s">
        <v>209</v>
      </c>
      <c r="N307" s="286" t="s">
        <v>209</v>
      </c>
      <c r="O307" s="286" t="s">
        <v>209</v>
      </c>
      <c r="P307" s="287" t="s">
        <v>209</v>
      </c>
      <c r="Q307" s="15"/>
      <c r="R307" s="289" t="s">
        <v>275</v>
      </c>
      <c r="S307" s="243">
        <v>105318.0</v>
      </c>
      <c r="T307" s="243">
        <v>115765.0</v>
      </c>
      <c r="U307" s="243">
        <v>118965.0</v>
      </c>
      <c r="V307" s="243">
        <v>103776.0</v>
      </c>
      <c r="W307" s="243">
        <v>96798.0</v>
      </c>
      <c r="X307" s="243">
        <v>113989.0</v>
      </c>
      <c r="Y307" s="243">
        <v>112619.0</v>
      </c>
      <c r="Z307" s="186" t="s">
        <v>209</v>
      </c>
      <c r="AA307" s="243">
        <v>80226.0</v>
      </c>
      <c r="AB307" s="186" t="s">
        <v>209</v>
      </c>
      <c r="AC307" s="243">
        <v>110074.0</v>
      </c>
      <c r="AD307" s="243">
        <v>110074.0</v>
      </c>
      <c r="AE307" s="186" t="s">
        <v>209</v>
      </c>
      <c r="AF307" s="187" t="s">
        <v>209</v>
      </c>
      <c r="AG307" s="15"/>
      <c r="AH307" s="289" t="s">
        <v>256</v>
      </c>
      <c r="AI307" s="243">
        <v>1061099.0</v>
      </c>
      <c r="AJ307" s="243">
        <v>293353.0</v>
      </c>
      <c r="AK307" s="243">
        <v>719714.0</v>
      </c>
      <c r="AL307" s="243">
        <v>774827.0</v>
      </c>
      <c r="AM307" s="243">
        <v>550884.0</v>
      </c>
      <c r="AN307" s="243">
        <v>541267.0</v>
      </c>
      <c r="AO307" s="243">
        <v>595141.0</v>
      </c>
      <c r="AP307" s="243">
        <v>603131.0</v>
      </c>
      <c r="AQ307" s="243">
        <v>404827.0</v>
      </c>
      <c r="AR307" s="243">
        <v>736479.0</v>
      </c>
      <c r="AS307" s="243">
        <v>627236.0</v>
      </c>
      <c r="AT307" s="243">
        <v>627236.0</v>
      </c>
      <c r="AU307" s="243">
        <v>405585.0</v>
      </c>
      <c r="AV307" s="290">
        <v>405585.0</v>
      </c>
      <c r="AW307" s="15"/>
      <c r="AX307" s="157" t="s">
        <v>271</v>
      </c>
      <c r="AY307" s="186" t="s">
        <v>209</v>
      </c>
      <c r="AZ307" s="186">
        <v>-153.68</v>
      </c>
      <c r="BA307" s="186" t="s">
        <v>209</v>
      </c>
      <c r="BB307" s="186">
        <v>-27.02</v>
      </c>
      <c r="BC307" s="186" t="s">
        <v>209</v>
      </c>
      <c r="BD307" s="186">
        <v>-44.19</v>
      </c>
      <c r="BE307" s="186" t="s">
        <v>209</v>
      </c>
      <c r="BF307" s="186" t="s">
        <v>209</v>
      </c>
      <c r="BG307" s="186" t="s">
        <v>209</v>
      </c>
      <c r="BH307" s="186" t="s">
        <v>209</v>
      </c>
      <c r="BI307" s="186" t="s">
        <v>209</v>
      </c>
      <c r="BJ307" s="186" t="s">
        <v>209</v>
      </c>
      <c r="BK307" s="186" t="s">
        <v>209</v>
      </c>
      <c r="BL307" s="186" t="s">
        <v>209</v>
      </c>
      <c r="BM307" s="187" t="s">
        <v>209</v>
      </c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</row>
    <row r="308" outlineLevel="1">
      <c r="A308" s="15"/>
      <c r="B308" s="288" t="s">
        <v>327</v>
      </c>
      <c r="C308" s="304">
        <v>8.56</v>
      </c>
      <c r="D308" s="304">
        <v>8.39</v>
      </c>
      <c r="E308" s="304">
        <v>20.04</v>
      </c>
      <c r="F308" s="304">
        <v>8.87</v>
      </c>
      <c r="G308" s="304">
        <v>4.56</v>
      </c>
      <c r="H308" s="304">
        <v>4.49</v>
      </c>
      <c r="I308" s="304">
        <v>13.99</v>
      </c>
      <c r="J308" s="304">
        <v>36.98</v>
      </c>
      <c r="K308" s="304">
        <v>9.21</v>
      </c>
      <c r="L308" s="304">
        <v>9.88</v>
      </c>
      <c r="M308" s="304">
        <v>18.28</v>
      </c>
      <c r="N308" s="304">
        <v>18.28</v>
      </c>
      <c r="O308" s="304">
        <v>-13.7</v>
      </c>
      <c r="P308" s="305">
        <v>-13.7</v>
      </c>
      <c r="Q308" s="15"/>
      <c r="R308" s="289" t="s">
        <v>282</v>
      </c>
      <c r="S308" s="243">
        <v>1052034.0</v>
      </c>
      <c r="T308" s="243">
        <v>1051773.0</v>
      </c>
      <c r="U308" s="243">
        <v>941959.0</v>
      </c>
      <c r="V308" s="243">
        <v>75515.0</v>
      </c>
      <c r="W308" s="243">
        <v>87285.0</v>
      </c>
      <c r="X308" s="243">
        <v>80197.0</v>
      </c>
      <c r="Y308" s="243">
        <v>818980.0</v>
      </c>
      <c r="Z308" s="186" t="s">
        <v>209</v>
      </c>
      <c r="AA308" s="243">
        <v>90870.0</v>
      </c>
      <c r="AB308" s="186" t="s">
        <v>209</v>
      </c>
      <c r="AC308" s="243">
        <v>95624.0</v>
      </c>
      <c r="AD308" s="243">
        <v>95624.0</v>
      </c>
      <c r="AE308" s="186" t="s">
        <v>209</v>
      </c>
      <c r="AF308" s="187" t="s">
        <v>209</v>
      </c>
      <c r="AG308" s="15"/>
      <c r="AH308" s="289" t="s">
        <v>263</v>
      </c>
      <c r="AI308" s="243" t="s">
        <v>209</v>
      </c>
      <c r="AJ308" s="243" t="s">
        <v>209</v>
      </c>
      <c r="AK308" s="243" t="s">
        <v>209</v>
      </c>
      <c r="AL308" s="243" t="s">
        <v>209</v>
      </c>
      <c r="AM308" s="243" t="s">
        <v>209</v>
      </c>
      <c r="AN308" s="243" t="s">
        <v>209</v>
      </c>
      <c r="AO308" s="243" t="s">
        <v>209</v>
      </c>
      <c r="AP308" s="243" t="s">
        <v>209</v>
      </c>
      <c r="AQ308" s="243" t="s">
        <v>209</v>
      </c>
      <c r="AR308" s="243">
        <v>-1345.0</v>
      </c>
      <c r="AS308" s="243" t="s">
        <v>209</v>
      </c>
      <c r="AT308" s="243" t="s">
        <v>209</v>
      </c>
      <c r="AU308" s="243" t="s">
        <v>209</v>
      </c>
      <c r="AV308" s="290" t="s">
        <v>209</v>
      </c>
      <c r="AW308" s="15"/>
      <c r="AX308" s="15"/>
      <c r="AY308" s="249"/>
      <c r="AZ308" s="249"/>
      <c r="BA308" s="249"/>
      <c r="BB308" s="249"/>
      <c r="BC308" s="249"/>
      <c r="BD308" s="249"/>
      <c r="BE308" s="249"/>
      <c r="BF308" s="249"/>
      <c r="BG308" s="249"/>
      <c r="BH308" s="249"/>
      <c r="BI308" s="249"/>
      <c r="BJ308" s="249"/>
      <c r="BK308" s="249"/>
      <c r="BL308" s="249"/>
      <c r="BM308" s="246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</row>
    <row r="309" outlineLevel="1">
      <c r="A309" s="15"/>
      <c r="B309" s="306" t="s">
        <v>333</v>
      </c>
      <c r="C309" s="307">
        <v>8.56</v>
      </c>
      <c r="D309" s="307">
        <v>8.0</v>
      </c>
      <c r="E309" s="307">
        <v>20.04</v>
      </c>
      <c r="F309" s="307">
        <v>8.87</v>
      </c>
      <c r="G309" s="307">
        <v>4.56</v>
      </c>
      <c r="H309" s="307">
        <v>4.0</v>
      </c>
      <c r="I309" s="307">
        <v>13.99</v>
      </c>
      <c r="J309" s="307">
        <v>36.97</v>
      </c>
      <c r="K309" s="307">
        <v>9.1</v>
      </c>
      <c r="L309" s="307">
        <v>9.88</v>
      </c>
      <c r="M309" s="307">
        <v>18.2</v>
      </c>
      <c r="N309" s="307">
        <v>18.2</v>
      </c>
      <c r="O309" s="307">
        <v>-13.7</v>
      </c>
      <c r="P309" s="308">
        <v>-13.7</v>
      </c>
      <c r="Q309" s="15"/>
      <c r="R309" s="289" t="s">
        <v>287</v>
      </c>
      <c r="S309" s="243">
        <v>47388.0</v>
      </c>
      <c r="T309" s="243">
        <v>22561.0</v>
      </c>
      <c r="U309" s="243">
        <v>51103.0</v>
      </c>
      <c r="V309" s="243">
        <v>1003156.0</v>
      </c>
      <c r="W309" s="243">
        <v>884034.0</v>
      </c>
      <c r="X309" s="243">
        <v>883327.0</v>
      </c>
      <c r="Y309" s="243">
        <v>109033.0</v>
      </c>
      <c r="Z309" s="186" t="s">
        <v>209</v>
      </c>
      <c r="AA309" s="243">
        <v>773947.0</v>
      </c>
      <c r="AB309" s="186" t="s">
        <v>209</v>
      </c>
      <c r="AC309" s="243">
        <v>605027.0</v>
      </c>
      <c r="AD309" s="243">
        <v>605027.0</v>
      </c>
      <c r="AE309" s="186" t="s">
        <v>209</v>
      </c>
      <c r="AF309" s="187" t="s">
        <v>209</v>
      </c>
      <c r="AG309" s="15"/>
      <c r="AH309" s="289" t="s">
        <v>270</v>
      </c>
      <c r="AI309" s="186" t="s">
        <v>209</v>
      </c>
      <c r="AJ309" s="243">
        <v>-272465.0</v>
      </c>
      <c r="AK309" s="186" t="s">
        <v>209</v>
      </c>
      <c r="AL309" s="186" t="s">
        <v>209</v>
      </c>
      <c r="AM309" s="186" t="s">
        <v>209</v>
      </c>
      <c r="AN309" s="243">
        <v>-538716.0</v>
      </c>
      <c r="AO309" s="186" t="s">
        <v>209</v>
      </c>
      <c r="AP309" s="186" t="s">
        <v>209</v>
      </c>
      <c r="AQ309" s="186" t="s">
        <v>209</v>
      </c>
      <c r="AR309" s="243">
        <v>-609227.0</v>
      </c>
      <c r="AS309" s="186" t="s">
        <v>209</v>
      </c>
      <c r="AT309" s="186" t="s">
        <v>209</v>
      </c>
      <c r="AU309" s="186" t="s">
        <v>209</v>
      </c>
      <c r="AV309" s="187" t="s">
        <v>209</v>
      </c>
      <c r="AW309" s="15"/>
      <c r="AX309" s="296" t="s">
        <v>498</v>
      </c>
      <c r="AY309" s="249"/>
      <c r="AZ309" s="249"/>
      <c r="BA309" s="249"/>
      <c r="BB309" s="249"/>
      <c r="BC309" s="249"/>
      <c r="BD309" s="249"/>
      <c r="BE309" s="249"/>
      <c r="BF309" s="249"/>
      <c r="BG309" s="249"/>
      <c r="BH309" s="249"/>
      <c r="BI309" s="249"/>
      <c r="BJ309" s="249"/>
      <c r="BK309" s="249"/>
      <c r="BL309" s="249"/>
      <c r="BM309" s="246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</row>
    <row r="310" outlineLevel="1">
      <c r="A310" s="15"/>
      <c r="B310" s="157" t="s">
        <v>423</v>
      </c>
      <c r="C310" s="185">
        <v>0.8781</v>
      </c>
      <c r="D310" s="185">
        <v>1.0</v>
      </c>
      <c r="E310" s="185">
        <v>0.4327</v>
      </c>
      <c r="F310" s="184">
        <v>-0.76</v>
      </c>
      <c r="G310" s="184">
        <v>-0.4993</v>
      </c>
      <c r="H310" s="184">
        <v>-0.5953</v>
      </c>
      <c r="I310" s="184">
        <v>-0.2313</v>
      </c>
      <c r="J310" s="185">
        <v>1.0315</v>
      </c>
      <c r="K310" s="186" t="s">
        <v>209</v>
      </c>
      <c r="L310" s="186" t="s">
        <v>209</v>
      </c>
      <c r="M310" s="186" t="s">
        <v>209</v>
      </c>
      <c r="N310" s="186" t="s">
        <v>209</v>
      </c>
      <c r="O310" s="186" t="s">
        <v>209</v>
      </c>
      <c r="P310" s="187" t="s">
        <v>209</v>
      </c>
      <c r="Q310" s="15"/>
      <c r="R310" s="289" t="s">
        <v>292</v>
      </c>
      <c r="S310" s="243">
        <v>18985.0</v>
      </c>
      <c r="T310" s="243">
        <v>19441.0</v>
      </c>
      <c r="U310" s="243">
        <v>20378.0</v>
      </c>
      <c r="V310" s="243">
        <v>11604.0</v>
      </c>
      <c r="W310" s="243">
        <v>27773.0</v>
      </c>
      <c r="X310" s="243">
        <v>13946.0</v>
      </c>
      <c r="Y310" s="243">
        <v>19275.0</v>
      </c>
      <c r="Z310" s="186" t="s">
        <v>209</v>
      </c>
      <c r="AA310" s="243">
        <v>23809.0</v>
      </c>
      <c r="AB310" s="186" t="s">
        <v>209</v>
      </c>
      <c r="AC310" s="243">
        <v>16194.0</v>
      </c>
      <c r="AD310" s="243">
        <v>16194.0</v>
      </c>
      <c r="AE310" s="186" t="s">
        <v>209</v>
      </c>
      <c r="AF310" s="187" t="s">
        <v>209</v>
      </c>
      <c r="AG310" s="15"/>
      <c r="AH310" s="289" t="s">
        <v>499</v>
      </c>
      <c r="AI310" s="243">
        <v>-4471.0</v>
      </c>
      <c r="AJ310" s="243">
        <v>-7258.0</v>
      </c>
      <c r="AK310" s="243">
        <v>-7645.0</v>
      </c>
      <c r="AL310" s="243">
        <v>-2939.0</v>
      </c>
      <c r="AM310" s="243">
        <v>-7546.0</v>
      </c>
      <c r="AN310" s="243">
        <v>-11796.0</v>
      </c>
      <c r="AO310" s="243">
        <v>-6030.0</v>
      </c>
      <c r="AP310" s="243">
        <v>-2886.0</v>
      </c>
      <c r="AQ310" s="243">
        <v>-7548.0</v>
      </c>
      <c r="AR310" s="243">
        <v>-11153.0</v>
      </c>
      <c r="AS310" s="243">
        <v>-14269.0</v>
      </c>
      <c r="AT310" s="243">
        <v>-14269.0</v>
      </c>
      <c r="AU310" s="243">
        <v>-1230.0</v>
      </c>
      <c r="AV310" s="290">
        <v>-1230.0</v>
      </c>
      <c r="AW310" s="15"/>
      <c r="AX310" s="157" t="s">
        <v>410</v>
      </c>
      <c r="AY310" s="158" t="s">
        <v>172</v>
      </c>
      <c r="AZ310" s="158" t="s">
        <v>144</v>
      </c>
      <c r="BA310" s="158" t="s">
        <v>145</v>
      </c>
      <c r="BB310" s="158" t="s">
        <v>146</v>
      </c>
      <c r="BC310" s="158" t="s">
        <v>147</v>
      </c>
      <c r="BD310" s="158" t="s">
        <v>148</v>
      </c>
      <c r="BE310" s="158" t="s">
        <v>149</v>
      </c>
      <c r="BF310" s="158" t="s">
        <v>150</v>
      </c>
      <c r="BG310" s="158" t="s">
        <v>151</v>
      </c>
      <c r="BH310" s="158" t="s">
        <v>152</v>
      </c>
      <c r="BI310" s="158" t="s">
        <v>153</v>
      </c>
      <c r="BJ310" s="158" t="s">
        <v>154</v>
      </c>
      <c r="BK310" s="158" t="s">
        <v>155</v>
      </c>
      <c r="BL310" s="158" t="s">
        <v>156</v>
      </c>
      <c r="BM310" s="159" t="s">
        <v>157</v>
      </c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</row>
    <row r="311" outlineLevel="1">
      <c r="A311" s="15"/>
      <c r="B311" s="15"/>
      <c r="C311" s="252"/>
      <c r="D311" s="252"/>
      <c r="E311" s="252"/>
      <c r="F311" s="252"/>
      <c r="G311" s="252"/>
      <c r="H311" s="252"/>
      <c r="I311" s="252"/>
      <c r="J311" s="252"/>
      <c r="K311" s="249"/>
      <c r="L311" s="249"/>
      <c r="M311" s="249"/>
      <c r="N311" s="249"/>
      <c r="O311" s="249"/>
      <c r="P311" s="246"/>
      <c r="Q311" s="15"/>
      <c r="R311" s="289" t="s">
        <v>298</v>
      </c>
      <c r="S311" s="243">
        <v>15211.0</v>
      </c>
      <c r="T311" s="243">
        <v>21420.0</v>
      </c>
      <c r="U311" s="243">
        <v>15327.0</v>
      </c>
      <c r="V311" s="243">
        <v>12842.0</v>
      </c>
      <c r="W311" s="243">
        <v>11721.0</v>
      </c>
      <c r="X311" s="243">
        <v>12473.0</v>
      </c>
      <c r="Y311" s="243">
        <v>16636.0</v>
      </c>
      <c r="Z311" s="186" t="s">
        <v>209</v>
      </c>
      <c r="AA311" s="243">
        <v>1826.0</v>
      </c>
      <c r="AB311" s="186" t="s">
        <v>209</v>
      </c>
      <c r="AC311" s="243">
        <v>6199.0</v>
      </c>
      <c r="AD311" s="243">
        <v>6199.0</v>
      </c>
      <c r="AE311" s="186" t="s">
        <v>209</v>
      </c>
      <c r="AF311" s="187" t="s">
        <v>209</v>
      </c>
      <c r="AG311" s="15"/>
      <c r="AH311" s="289" t="s">
        <v>276</v>
      </c>
      <c r="AI311" s="243">
        <v>-1027250.0</v>
      </c>
      <c r="AJ311" s="243">
        <v>-272465.0</v>
      </c>
      <c r="AK311" s="243">
        <v>-694042.0</v>
      </c>
      <c r="AL311" s="243">
        <v>-659267.0</v>
      </c>
      <c r="AM311" s="243">
        <v>-556789.0</v>
      </c>
      <c r="AN311" s="243">
        <v>-538716.0</v>
      </c>
      <c r="AO311" s="243">
        <v>-552867.0</v>
      </c>
      <c r="AP311" s="243">
        <v>-583018.0</v>
      </c>
      <c r="AQ311" s="243">
        <v>-423135.0</v>
      </c>
      <c r="AR311" s="243">
        <v>-610572.0</v>
      </c>
      <c r="AS311" s="243">
        <v>-650405.0</v>
      </c>
      <c r="AT311" s="243">
        <v>-650405.0</v>
      </c>
      <c r="AU311" s="243">
        <v>-472067.0</v>
      </c>
      <c r="AV311" s="290">
        <v>-472067.0</v>
      </c>
      <c r="AW311" s="15"/>
      <c r="AX311" s="157" t="s">
        <v>180</v>
      </c>
      <c r="AY311" s="167">
        <v>46304.0</v>
      </c>
      <c r="AZ311" s="167">
        <v>46203.0</v>
      </c>
      <c r="BA311" s="167">
        <v>46112.0</v>
      </c>
      <c r="BB311" s="167">
        <v>46022.0</v>
      </c>
      <c r="BC311" s="167">
        <v>45930.0</v>
      </c>
      <c r="BD311" s="167">
        <v>45838.0</v>
      </c>
      <c r="BE311" s="167">
        <v>45747.0</v>
      </c>
      <c r="BF311" s="167">
        <v>45657.0</v>
      </c>
      <c r="BG311" s="167">
        <v>45565.0</v>
      </c>
      <c r="BH311" s="167">
        <v>45473.0</v>
      </c>
      <c r="BI311" s="167">
        <v>45382.0</v>
      </c>
      <c r="BJ311" s="167">
        <v>45291.0</v>
      </c>
      <c r="BK311" s="167">
        <v>45199.0</v>
      </c>
      <c r="BL311" s="167">
        <v>45107.0</v>
      </c>
      <c r="BM311" s="167">
        <v>45016.0</v>
      </c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</row>
    <row r="312" outlineLevel="1">
      <c r="A312" s="15"/>
      <c r="B312" s="296" t="s">
        <v>500</v>
      </c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5"/>
      <c r="R312" s="289" t="s">
        <v>302</v>
      </c>
      <c r="S312" s="243">
        <v>152406.0</v>
      </c>
      <c r="T312" s="243">
        <v>59143.0</v>
      </c>
      <c r="U312" s="243">
        <v>35304.0</v>
      </c>
      <c r="V312" s="243">
        <v>15089.0</v>
      </c>
      <c r="W312" s="243">
        <v>18415.0</v>
      </c>
      <c r="X312" s="243">
        <v>13545.0</v>
      </c>
      <c r="Y312" s="243">
        <v>11589.0</v>
      </c>
      <c r="Z312" s="186" t="s">
        <v>209</v>
      </c>
      <c r="AA312" s="243">
        <v>25161.0</v>
      </c>
      <c r="AB312" s="186" t="s">
        <v>209</v>
      </c>
      <c r="AC312" s="243">
        <v>18999.0</v>
      </c>
      <c r="AD312" s="243">
        <v>18999.0</v>
      </c>
      <c r="AE312" s="186" t="s">
        <v>209</v>
      </c>
      <c r="AF312" s="187" t="s">
        <v>209</v>
      </c>
      <c r="AG312" s="15"/>
      <c r="AH312" s="289" t="s">
        <v>283</v>
      </c>
      <c r="AI312" s="243">
        <v>33849.0</v>
      </c>
      <c r="AJ312" s="243">
        <v>20888.0</v>
      </c>
      <c r="AK312" s="243">
        <v>25672.0</v>
      </c>
      <c r="AL312" s="243">
        <v>115560.0</v>
      </c>
      <c r="AM312" s="243">
        <v>-5905.0</v>
      </c>
      <c r="AN312" s="243">
        <v>2551.0</v>
      </c>
      <c r="AO312" s="243">
        <v>42274.0</v>
      </c>
      <c r="AP312" s="243">
        <v>20113.0</v>
      </c>
      <c r="AQ312" s="243">
        <v>-18308.0</v>
      </c>
      <c r="AR312" s="243">
        <v>125907.0</v>
      </c>
      <c r="AS312" s="243">
        <v>-23169.0</v>
      </c>
      <c r="AT312" s="243">
        <v>-23169.0</v>
      </c>
      <c r="AU312" s="243">
        <v>-66482.0</v>
      </c>
      <c r="AV312" s="290">
        <v>-66482.0</v>
      </c>
      <c r="AW312" s="15"/>
      <c r="AX312" s="157" t="s">
        <v>277</v>
      </c>
      <c r="AY312" s="186">
        <v>1.05</v>
      </c>
      <c r="AZ312" s="186">
        <v>1.05</v>
      </c>
      <c r="BA312" s="186">
        <v>1.05</v>
      </c>
      <c r="BB312" s="186">
        <v>1.03</v>
      </c>
      <c r="BC312" s="186">
        <v>1.12</v>
      </c>
      <c r="BD312" s="186">
        <v>1.09</v>
      </c>
      <c r="BE312" s="186">
        <v>1.02</v>
      </c>
      <c r="BF312" s="186">
        <v>1.28</v>
      </c>
      <c r="BG312" s="186" t="s">
        <v>209</v>
      </c>
      <c r="BH312" s="186">
        <v>1.24</v>
      </c>
      <c r="BI312" s="186">
        <v>1.14</v>
      </c>
      <c r="BJ312" s="186">
        <v>1.14</v>
      </c>
      <c r="BK312" s="186">
        <v>1.14</v>
      </c>
      <c r="BL312" s="186" t="s">
        <v>209</v>
      </c>
      <c r="BM312" s="187">
        <v>1.45</v>
      </c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</row>
    <row r="313" outlineLevel="1">
      <c r="A313" s="15"/>
      <c r="B313" s="157" t="s">
        <v>410</v>
      </c>
      <c r="C313" s="283" t="s">
        <v>144</v>
      </c>
      <c r="D313" s="283" t="s">
        <v>145</v>
      </c>
      <c r="E313" s="283" t="s">
        <v>146</v>
      </c>
      <c r="F313" s="283" t="s">
        <v>147</v>
      </c>
      <c r="G313" s="283" t="s">
        <v>148</v>
      </c>
      <c r="H313" s="283" t="s">
        <v>149</v>
      </c>
      <c r="I313" s="283" t="s">
        <v>150</v>
      </c>
      <c r="J313" s="283" t="s">
        <v>151</v>
      </c>
      <c r="K313" s="283" t="s">
        <v>152</v>
      </c>
      <c r="L313" s="283" t="s">
        <v>153</v>
      </c>
      <c r="M313" s="283" t="s">
        <v>154</v>
      </c>
      <c r="N313" s="283" t="s">
        <v>155</v>
      </c>
      <c r="O313" s="283" t="s">
        <v>156</v>
      </c>
      <c r="P313" s="284" t="s">
        <v>157</v>
      </c>
      <c r="Q313" s="15"/>
      <c r="R313" s="289" t="s">
        <v>307</v>
      </c>
      <c r="S313" s="243">
        <v>333930.0</v>
      </c>
      <c r="T313" s="243">
        <v>256876.0</v>
      </c>
      <c r="U313" s="243">
        <v>281770.0</v>
      </c>
      <c r="V313" s="243">
        <v>226493.0</v>
      </c>
      <c r="W313" s="243">
        <v>947627.0</v>
      </c>
      <c r="X313" s="243">
        <v>758552.0</v>
      </c>
      <c r="Y313" s="243">
        <v>178171.0</v>
      </c>
      <c r="Z313" s="186" t="s">
        <v>209</v>
      </c>
      <c r="AA313" s="243">
        <v>140191.0</v>
      </c>
      <c r="AB313" s="186" t="s">
        <v>209</v>
      </c>
      <c r="AC313" s="243">
        <v>133317.0</v>
      </c>
      <c r="AD313" s="243">
        <v>133317.0</v>
      </c>
      <c r="AE313" s="186" t="s">
        <v>209</v>
      </c>
      <c r="AF313" s="187" t="s">
        <v>209</v>
      </c>
      <c r="AG313" s="15"/>
      <c r="AH313" s="289" t="s">
        <v>459</v>
      </c>
      <c r="AI313" s="243" t="s">
        <v>209</v>
      </c>
      <c r="AJ313" s="243" t="s">
        <v>209</v>
      </c>
      <c r="AK313" s="243" t="s">
        <v>209</v>
      </c>
      <c r="AL313" s="243">
        <v>1550.0</v>
      </c>
      <c r="AM313" s="243" t="s">
        <v>209</v>
      </c>
      <c r="AN313" s="243">
        <v>193675.0</v>
      </c>
      <c r="AO313" s="243" t="s">
        <v>209</v>
      </c>
      <c r="AP313" s="243">
        <v>241850.0</v>
      </c>
      <c r="AQ313" s="243" t="s">
        <v>209</v>
      </c>
      <c r="AR313" s="243" t="s">
        <v>209</v>
      </c>
      <c r="AS313" s="243">
        <v>46000.0</v>
      </c>
      <c r="AT313" s="243">
        <v>46000.0</v>
      </c>
      <c r="AU313" s="243" t="s">
        <v>209</v>
      </c>
      <c r="AV313" s="290" t="s">
        <v>209</v>
      </c>
      <c r="AW313" s="15"/>
      <c r="AX313" s="157" t="s">
        <v>284</v>
      </c>
      <c r="AY313" s="186">
        <v>2.15</v>
      </c>
      <c r="AZ313" s="186">
        <v>2.27</v>
      </c>
      <c r="BA313" s="186">
        <v>2.66</v>
      </c>
      <c r="BB313" s="186">
        <v>1.36</v>
      </c>
      <c r="BC313" s="186">
        <v>2.46</v>
      </c>
      <c r="BD313" s="186">
        <v>4.31</v>
      </c>
      <c r="BE313" s="186">
        <v>3.71</v>
      </c>
      <c r="BF313" s="186">
        <v>1.61</v>
      </c>
      <c r="BG313" s="186" t="s">
        <v>209</v>
      </c>
      <c r="BH313" s="186">
        <v>4.33</v>
      </c>
      <c r="BI313" s="186">
        <v>3.58</v>
      </c>
      <c r="BJ313" s="186">
        <v>2.41</v>
      </c>
      <c r="BK313" s="186">
        <v>2.3</v>
      </c>
      <c r="BL313" s="186" t="s">
        <v>209</v>
      </c>
      <c r="BM313" s="187">
        <v>55.92</v>
      </c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</row>
    <row r="314" outlineLevel="1">
      <c r="A314" s="15"/>
      <c r="B314" s="157" t="s">
        <v>180</v>
      </c>
      <c r="C314" s="167">
        <v>46203.0</v>
      </c>
      <c r="D314" s="167">
        <v>46112.0</v>
      </c>
      <c r="E314" s="167">
        <v>46022.0</v>
      </c>
      <c r="F314" s="167">
        <v>45930.0</v>
      </c>
      <c r="G314" s="167">
        <v>45838.0</v>
      </c>
      <c r="H314" s="167">
        <v>45747.0</v>
      </c>
      <c r="I314" s="167">
        <v>45657.0</v>
      </c>
      <c r="J314" s="167">
        <v>45565.0</v>
      </c>
      <c r="K314" s="167">
        <v>45473.0</v>
      </c>
      <c r="L314" s="167">
        <v>45382.0</v>
      </c>
      <c r="M314" s="167">
        <v>45291.0</v>
      </c>
      <c r="N314" s="167">
        <v>45199.0</v>
      </c>
      <c r="O314" s="167">
        <v>45107.0</v>
      </c>
      <c r="P314" s="167">
        <v>45016.0</v>
      </c>
      <c r="Q314" s="15"/>
      <c r="R314" s="289" t="s">
        <v>313</v>
      </c>
      <c r="S314" s="243">
        <v>3154282.0</v>
      </c>
      <c r="T314" s="243">
        <v>2686026.0</v>
      </c>
      <c r="U314" s="243">
        <v>2791405.0</v>
      </c>
      <c r="V314" s="243">
        <v>2360458.0</v>
      </c>
      <c r="W314" s="243">
        <v>2073653.0</v>
      </c>
      <c r="X314" s="243">
        <v>1882579.0</v>
      </c>
      <c r="Y314" s="243">
        <v>2025947.0</v>
      </c>
      <c r="Z314" s="186" t="s">
        <v>209</v>
      </c>
      <c r="AA314" s="243">
        <v>1663130.0</v>
      </c>
      <c r="AB314" s="186" t="s">
        <v>209</v>
      </c>
      <c r="AC314" s="243">
        <v>1540428.0</v>
      </c>
      <c r="AD314" s="243">
        <v>1540428.0</v>
      </c>
      <c r="AE314" s="186" t="s">
        <v>209</v>
      </c>
      <c r="AF314" s="187" t="s">
        <v>209</v>
      </c>
      <c r="AG314" s="15"/>
      <c r="AH314" s="289" t="s">
        <v>501</v>
      </c>
      <c r="AI314" s="186" t="s">
        <v>209</v>
      </c>
      <c r="AJ314" s="186" t="s">
        <v>209</v>
      </c>
      <c r="AK314" s="186" t="s">
        <v>209</v>
      </c>
      <c r="AL314" s="243" t="s">
        <v>209</v>
      </c>
      <c r="AM314" s="243">
        <v>-5358.0</v>
      </c>
      <c r="AN314" s="243" t="s">
        <v>209</v>
      </c>
      <c r="AO314" s="186" t="s">
        <v>209</v>
      </c>
      <c r="AP314" s="243" t="s">
        <v>209</v>
      </c>
      <c r="AQ314" s="186" t="s">
        <v>209</v>
      </c>
      <c r="AR314" s="186" t="s">
        <v>209</v>
      </c>
      <c r="AS314" s="243" t="s">
        <v>209</v>
      </c>
      <c r="AT314" s="243" t="s">
        <v>209</v>
      </c>
      <c r="AU314" s="186" t="s">
        <v>209</v>
      </c>
      <c r="AV314" s="187" t="s">
        <v>209</v>
      </c>
      <c r="AW314" s="15"/>
      <c r="AX314" s="157" t="s">
        <v>289</v>
      </c>
      <c r="AY314" s="186" t="s">
        <v>209</v>
      </c>
      <c r="AZ314" s="186">
        <v>-65.59</v>
      </c>
      <c r="BA314" s="186" t="s">
        <v>209</v>
      </c>
      <c r="BB314" s="186">
        <v>-9.02</v>
      </c>
      <c r="BC314" s="186" t="s">
        <v>209</v>
      </c>
      <c r="BD314" s="186">
        <v>-12.62</v>
      </c>
      <c r="BE314" s="186" t="s">
        <v>209</v>
      </c>
      <c r="BF314" s="186" t="s">
        <v>209</v>
      </c>
      <c r="BG314" s="186" t="s">
        <v>209</v>
      </c>
      <c r="BH314" s="186">
        <v>-3.48</v>
      </c>
      <c r="BI314" s="186" t="s">
        <v>209</v>
      </c>
      <c r="BJ314" s="186" t="s">
        <v>209</v>
      </c>
      <c r="BK314" s="186" t="s">
        <v>209</v>
      </c>
      <c r="BL314" s="186" t="s">
        <v>209</v>
      </c>
      <c r="BM314" s="187">
        <v>7.6</v>
      </c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</row>
    <row r="315" outlineLevel="1">
      <c r="A315" s="15"/>
      <c r="B315" s="289" t="s">
        <v>303</v>
      </c>
      <c r="C315" s="243">
        <v>96498.0</v>
      </c>
      <c r="D315" s="243">
        <v>-149348.0</v>
      </c>
      <c r="E315" s="243">
        <v>127525.0</v>
      </c>
      <c r="F315" s="243">
        <v>-93097.0</v>
      </c>
      <c r="G315" s="243">
        <v>102745.0</v>
      </c>
      <c r="H315" s="243">
        <v>-261227.0</v>
      </c>
      <c r="I315" s="243">
        <v>-25775.0</v>
      </c>
      <c r="J315" s="243">
        <v>100383.0</v>
      </c>
      <c r="K315" s="243">
        <v>20399.0</v>
      </c>
      <c r="L315" s="243">
        <v>-128899.0</v>
      </c>
      <c r="M315" s="243">
        <v>-79816.0</v>
      </c>
      <c r="N315" s="243">
        <v>-79816.0</v>
      </c>
      <c r="O315" s="243">
        <v>102755.0</v>
      </c>
      <c r="P315" s="290">
        <v>102755.0</v>
      </c>
      <c r="Q315" s="15"/>
      <c r="R315" s="289" t="s">
        <v>318</v>
      </c>
      <c r="S315" s="243">
        <v>56145.0</v>
      </c>
      <c r="T315" s="243">
        <v>71796.0</v>
      </c>
      <c r="U315" s="243">
        <v>72447.0</v>
      </c>
      <c r="V315" s="243">
        <v>2632.0</v>
      </c>
      <c r="W315" s="243">
        <v>3255.0</v>
      </c>
      <c r="X315" s="243">
        <v>2321.0</v>
      </c>
      <c r="Y315" s="243">
        <v>4466.0</v>
      </c>
      <c r="Z315" s="186" t="s">
        <v>209</v>
      </c>
      <c r="AA315" s="243" t="s">
        <v>209</v>
      </c>
      <c r="AB315" s="186" t="s">
        <v>209</v>
      </c>
      <c r="AC315" s="243">
        <v>48982.0</v>
      </c>
      <c r="AD315" s="243">
        <v>48982.0</v>
      </c>
      <c r="AE315" s="186" t="s">
        <v>209</v>
      </c>
      <c r="AF315" s="187" t="s">
        <v>209</v>
      </c>
      <c r="AG315" s="15"/>
      <c r="AH315" s="289" t="s">
        <v>288</v>
      </c>
      <c r="AI315" s="186" t="s">
        <v>209</v>
      </c>
      <c r="AJ315" s="186" t="s">
        <v>209</v>
      </c>
      <c r="AK315" s="243">
        <v>-50647.0</v>
      </c>
      <c r="AL315" s="243">
        <v>-54492.0</v>
      </c>
      <c r="AM315" s="243" t="s">
        <v>209</v>
      </c>
      <c r="AN315" s="186" t="s">
        <v>209</v>
      </c>
      <c r="AO315" s="186" t="s">
        <v>209</v>
      </c>
      <c r="AP315" s="243">
        <v>-302000.0</v>
      </c>
      <c r="AQ315" s="186" t="s">
        <v>209</v>
      </c>
      <c r="AR315" s="186" t="s">
        <v>209</v>
      </c>
      <c r="AS315" s="186" t="s">
        <v>209</v>
      </c>
      <c r="AT315" s="186" t="s">
        <v>209</v>
      </c>
      <c r="AU315" s="186" t="s">
        <v>209</v>
      </c>
      <c r="AV315" s="187" t="s">
        <v>209</v>
      </c>
      <c r="AW315" s="15"/>
      <c r="AX315" s="157" t="s">
        <v>294</v>
      </c>
      <c r="AY315" s="186">
        <v>0.91</v>
      </c>
      <c r="AZ315" s="186">
        <v>0.91</v>
      </c>
      <c r="BA315" s="186">
        <v>1.01</v>
      </c>
      <c r="BB315" s="186">
        <v>0.91</v>
      </c>
      <c r="BC315" s="186">
        <v>1.05</v>
      </c>
      <c r="BD315" s="186">
        <v>0.97</v>
      </c>
      <c r="BE315" s="186">
        <v>1.0</v>
      </c>
      <c r="BF315" s="186">
        <v>1.2</v>
      </c>
      <c r="BG315" s="186" t="s">
        <v>209</v>
      </c>
      <c r="BH315" s="186">
        <v>1.2</v>
      </c>
      <c r="BI315" s="186">
        <v>1.08</v>
      </c>
      <c r="BJ315" s="186">
        <v>1.08</v>
      </c>
      <c r="BK315" s="186">
        <v>1.08</v>
      </c>
      <c r="BL315" s="186" t="s">
        <v>209</v>
      </c>
      <c r="BM315" s="187">
        <v>1.41</v>
      </c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</row>
    <row r="316" outlineLevel="1">
      <c r="A316" s="15"/>
      <c r="B316" s="289" t="s">
        <v>319</v>
      </c>
      <c r="C316" s="186">
        <v>16.41</v>
      </c>
      <c r="D316" s="186">
        <v>-25.39</v>
      </c>
      <c r="E316" s="186">
        <v>22.12</v>
      </c>
      <c r="F316" s="186">
        <v>-16.15</v>
      </c>
      <c r="G316" s="186">
        <v>17.82</v>
      </c>
      <c r="H316" s="186">
        <v>-45.31</v>
      </c>
      <c r="I316" s="186">
        <v>-4.22</v>
      </c>
      <c r="J316" s="186">
        <v>60.42</v>
      </c>
      <c r="K316" s="186">
        <v>12.28</v>
      </c>
      <c r="L316" s="186">
        <v>-77.58</v>
      </c>
      <c r="M316" s="186">
        <v>-48.04</v>
      </c>
      <c r="N316" s="186">
        <v>-48.04</v>
      </c>
      <c r="O316" s="186">
        <v>61.84</v>
      </c>
      <c r="P316" s="187">
        <v>61.84</v>
      </c>
      <c r="Q316" s="15"/>
      <c r="R316" s="289" t="s">
        <v>323</v>
      </c>
      <c r="S316" s="243">
        <v>33771.0</v>
      </c>
      <c r="T316" s="243">
        <v>35900.0</v>
      </c>
      <c r="U316" s="243">
        <v>33321.0</v>
      </c>
      <c r="V316" s="243">
        <v>52109.0</v>
      </c>
      <c r="W316" s="243">
        <v>56248.0</v>
      </c>
      <c r="X316" s="243">
        <v>40057.0</v>
      </c>
      <c r="Y316" s="243">
        <v>45183.0</v>
      </c>
      <c r="Z316" s="186" t="s">
        <v>209</v>
      </c>
      <c r="AA316" s="243">
        <v>45572.0</v>
      </c>
      <c r="AB316" s="186" t="s">
        <v>209</v>
      </c>
      <c r="AC316" s="243">
        <v>55858.0</v>
      </c>
      <c r="AD316" s="243">
        <v>55858.0</v>
      </c>
      <c r="AE316" s="186" t="s">
        <v>209</v>
      </c>
      <c r="AF316" s="187" t="s">
        <v>209</v>
      </c>
      <c r="AG316" s="15"/>
      <c r="AH316" s="297" t="s">
        <v>417</v>
      </c>
      <c r="AI316" s="293" t="s">
        <v>209</v>
      </c>
      <c r="AJ316" s="293" t="s">
        <v>209</v>
      </c>
      <c r="AK316" s="309" t="s">
        <v>209</v>
      </c>
      <c r="AL316" s="309" t="s">
        <v>209</v>
      </c>
      <c r="AM316" s="293" t="s">
        <v>209</v>
      </c>
      <c r="AN316" s="293" t="s">
        <v>209</v>
      </c>
      <c r="AO316" s="309">
        <v>-10114.0</v>
      </c>
      <c r="AP316" s="309">
        <v>-64658.0</v>
      </c>
      <c r="AQ316" s="293">
        <v>-517.0</v>
      </c>
      <c r="AR316" s="293" t="s">
        <v>209</v>
      </c>
      <c r="AS316" s="293">
        <v>-593.0</v>
      </c>
      <c r="AT316" s="293">
        <v>-593.0</v>
      </c>
      <c r="AU316" s="293" t="s">
        <v>209</v>
      </c>
      <c r="AV316" s="295" t="s">
        <v>209</v>
      </c>
      <c r="AW316" s="15"/>
      <c r="AX316" s="157" t="s">
        <v>300</v>
      </c>
      <c r="AY316" s="186">
        <v>1.96</v>
      </c>
      <c r="AZ316" s="186">
        <v>1.93</v>
      </c>
      <c r="BA316" s="186">
        <v>2.39</v>
      </c>
      <c r="BB316" s="186">
        <v>2.23</v>
      </c>
      <c r="BC316" s="186">
        <v>2.85</v>
      </c>
      <c r="BD316" s="186">
        <v>2.77</v>
      </c>
      <c r="BE316" s="186">
        <v>3.01</v>
      </c>
      <c r="BF316" s="186">
        <v>2.9</v>
      </c>
      <c r="BG316" s="186" t="s">
        <v>209</v>
      </c>
      <c r="BH316" s="186">
        <v>3.53</v>
      </c>
      <c r="BI316" s="186">
        <v>3.79</v>
      </c>
      <c r="BJ316" s="186">
        <v>5.14</v>
      </c>
      <c r="BK316" s="186">
        <v>9.58</v>
      </c>
      <c r="BL316" s="186" t="s">
        <v>209</v>
      </c>
      <c r="BM316" s="187">
        <v>216.96</v>
      </c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</row>
    <row r="317" outlineLevel="1">
      <c r="A317" s="15"/>
      <c r="B317" s="289" t="s">
        <v>353</v>
      </c>
      <c r="C317" s="186" t="s">
        <v>209</v>
      </c>
      <c r="D317" s="186" t="s">
        <v>209</v>
      </c>
      <c r="E317" s="186">
        <v>6.5</v>
      </c>
      <c r="F317" s="186" t="s">
        <v>209</v>
      </c>
      <c r="G317" s="186">
        <v>8.5</v>
      </c>
      <c r="H317" s="186" t="s">
        <v>209</v>
      </c>
      <c r="I317" s="186">
        <v>9.0</v>
      </c>
      <c r="J317" s="186" t="s">
        <v>209</v>
      </c>
      <c r="K317" s="186" t="s">
        <v>209</v>
      </c>
      <c r="L317" s="186" t="s">
        <v>209</v>
      </c>
      <c r="M317" s="186" t="s">
        <v>209</v>
      </c>
      <c r="N317" s="186" t="s">
        <v>209</v>
      </c>
      <c r="O317" s="186" t="s">
        <v>209</v>
      </c>
      <c r="P317" s="187" t="s">
        <v>209</v>
      </c>
      <c r="Q317" s="15"/>
      <c r="R317" s="289" t="s">
        <v>328</v>
      </c>
      <c r="S317" s="243">
        <v>52874.0</v>
      </c>
      <c r="T317" s="243">
        <v>52838.0</v>
      </c>
      <c r="U317" s="243">
        <v>52706.0</v>
      </c>
      <c r="V317" s="243">
        <v>45180.0</v>
      </c>
      <c r="W317" s="243">
        <v>44954.0</v>
      </c>
      <c r="X317" s="243">
        <v>44778.0</v>
      </c>
      <c r="Y317" s="243">
        <v>44922.0</v>
      </c>
      <c r="Z317" s="186" t="s">
        <v>209</v>
      </c>
      <c r="AA317" s="243">
        <v>46190.0</v>
      </c>
      <c r="AB317" s="186" t="s">
        <v>209</v>
      </c>
      <c r="AC317" s="243">
        <v>44462.0</v>
      </c>
      <c r="AD317" s="243">
        <v>44462.0</v>
      </c>
      <c r="AE317" s="186" t="s">
        <v>209</v>
      </c>
      <c r="AF317" s="187" t="s">
        <v>209</v>
      </c>
      <c r="AG317" s="15"/>
      <c r="AH317" s="289" t="s">
        <v>293</v>
      </c>
      <c r="AI317" s="243">
        <v>33849.0</v>
      </c>
      <c r="AJ317" s="243">
        <v>20888.0</v>
      </c>
      <c r="AK317" s="243">
        <v>-24975.0</v>
      </c>
      <c r="AL317" s="243">
        <v>62618.0</v>
      </c>
      <c r="AM317" s="243">
        <v>-11263.0</v>
      </c>
      <c r="AN317" s="243">
        <v>196226.0</v>
      </c>
      <c r="AO317" s="243">
        <v>32160.0</v>
      </c>
      <c r="AP317" s="243">
        <v>-104695.0</v>
      </c>
      <c r="AQ317" s="243">
        <v>-18825.0</v>
      </c>
      <c r="AR317" s="243">
        <v>125907.0</v>
      </c>
      <c r="AS317" s="243">
        <v>22239.0</v>
      </c>
      <c r="AT317" s="243">
        <v>22239.0</v>
      </c>
      <c r="AU317" s="243">
        <v>-66482.0</v>
      </c>
      <c r="AV317" s="290">
        <v>-66482.0</v>
      </c>
      <c r="AW317" s="15"/>
      <c r="AX317" s="157" t="s">
        <v>304</v>
      </c>
      <c r="AY317" s="186">
        <v>-57.14</v>
      </c>
      <c r="AZ317" s="186">
        <v>-57.14</v>
      </c>
      <c r="BA317" s="186">
        <v>-94.26</v>
      </c>
      <c r="BB317" s="186">
        <v>-7.98</v>
      </c>
      <c r="BC317" s="186">
        <v>-3.86</v>
      </c>
      <c r="BD317" s="186">
        <v>-11.24</v>
      </c>
      <c r="BE317" s="186">
        <v>-6.03</v>
      </c>
      <c r="BF317" s="186">
        <v>-27.55</v>
      </c>
      <c r="BG317" s="186" t="s">
        <v>209</v>
      </c>
      <c r="BH317" s="186">
        <v>-3.36</v>
      </c>
      <c r="BI317" s="186">
        <v>-4.19</v>
      </c>
      <c r="BJ317" s="186">
        <v>16.95</v>
      </c>
      <c r="BK317" s="186">
        <v>6.19</v>
      </c>
      <c r="BL317" s="186" t="s">
        <v>209</v>
      </c>
      <c r="BM317" s="187">
        <v>7.37</v>
      </c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</row>
    <row r="318" outlineLevel="1">
      <c r="A318" s="15"/>
      <c r="B318" s="157" t="s">
        <v>424</v>
      </c>
      <c r="C318" s="186" t="s">
        <v>209</v>
      </c>
      <c r="D318" s="186" t="s">
        <v>209</v>
      </c>
      <c r="E318" s="184">
        <v>-0.2778</v>
      </c>
      <c r="F318" s="186" t="s">
        <v>209</v>
      </c>
      <c r="G318" s="186" t="s">
        <v>209</v>
      </c>
      <c r="H318" s="186" t="s">
        <v>209</v>
      </c>
      <c r="I318" s="186" t="s">
        <v>209</v>
      </c>
      <c r="J318" s="186" t="s">
        <v>209</v>
      </c>
      <c r="K318" s="186" t="s">
        <v>209</v>
      </c>
      <c r="L318" s="186" t="s">
        <v>209</v>
      </c>
      <c r="M318" s="186" t="s">
        <v>209</v>
      </c>
      <c r="N318" s="186" t="s">
        <v>209</v>
      </c>
      <c r="O318" s="186" t="s">
        <v>209</v>
      </c>
      <c r="P318" s="187" t="s">
        <v>209</v>
      </c>
      <c r="Q318" s="15"/>
      <c r="R318" s="289" t="s">
        <v>472</v>
      </c>
      <c r="S318" s="243" t="s">
        <v>209</v>
      </c>
      <c r="T318" s="243" t="s">
        <v>209</v>
      </c>
      <c r="U318" s="243" t="s">
        <v>209</v>
      </c>
      <c r="V318" s="243">
        <v>4143.0</v>
      </c>
      <c r="W318" s="243">
        <v>4303.0</v>
      </c>
      <c r="X318" s="243">
        <v>4475.0</v>
      </c>
      <c r="Y318" s="243">
        <v>4737.0</v>
      </c>
      <c r="Z318" s="186" t="s">
        <v>209</v>
      </c>
      <c r="AA318" s="243">
        <v>5192.0</v>
      </c>
      <c r="AB318" s="186" t="s">
        <v>209</v>
      </c>
      <c r="AC318" s="243">
        <v>5681.0</v>
      </c>
      <c r="AD318" s="243">
        <v>5681.0</v>
      </c>
      <c r="AE318" s="186" t="s">
        <v>209</v>
      </c>
      <c r="AF318" s="187" t="s">
        <v>209</v>
      </c>
      <c r="AG318" s="15"/>
      <c r="AH318" s="249"/>
      <c r="AI318" s="248"/>
      <c r="AJ318" s="248"/>
      <c r="AK318" s="248"/>
      <c r="AL318" s="248"/>
      <c r="AM318" s="248"/>
      <c r="AN318" s="248"/>
      <c r="AO318" s="248"/>
      <c r="AP318" s="248"/>
      <c r="AQ318" s="248"/>
      <c r="AR318" s="248"/>
      <c r="AS318" s="248"/>
      <c r="AT318" s="248"/>
      <c r="AU318" s="248"/>
      <c r="AV318" s="254"/>
      <c r="AW318" s="15"/>
      <c r="AX318" s="157" t="s">
        <v>309</v>
      </c>
      <c r="AY318" s="186">
        <v>1.22</v>
      </c>
      <c r="AZ318" s="186">
        <v>1.1</v>
      </c>
      <c r="BA318" s="186">
        <v>1.6</v>
      </c>
      <c r="BB318" s="186">
        <v>1.2</v>
      </c>
      <c r="BC318" s="186">
        <v>1.1</v>
      </c>
      <c r="BD318" s="186">
        <v>1.09</v>
      </c>
      <c r="BE318" s="186" t="s">
        <v>209</v>
      </c>
      <c r="BF318" s="186" t="s">
        <v>209</v>
      </c>
      <c r="BG318" s="186" t="s">
        <v>209</v>
      </c>
      <c r="BH318" s="186" t="s">
        <v>209</v>
      </c>
      <c r="BI318" s="186">
        <v>1.2</v>
      </c>
      <c r="BJ318" s="186" t="s">
        <v>209</v>
      </c>
      <c r="BK318" s="186" t="s">
        <v>209</v>
      </c>
      <c r="BL318" s="187" t="s">
        <v>209</v>
      </c>
      <c r="BM318" s="170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</row>
    <row r="319" outlineLevel="1">
      <c r="A319" s="15"/>
      <c r="B319" s="157" t="s">
        <v>361</v>
      </c>
      <c r="C319" s="213">
        <v>0.2699</v>
      </c>
      <c r="D319" s="213">
        <v>0.2429</v>
      </c>
      <c r="E319" s="213">
        <v>0.2404</v>
      </c>
      <c r="F319" s="213">
        <v>0.2825</v>
      </c>
      <c r="G319" s="213">
        <v>0.2802</v>
      </c>
      <c r="H319" s="213">
        <v>0.2808</v>
      </c>
      <c r="I319" s="213">
        <v>0.2946</v>
      </c>
      <c r="J319" s="213">
        <v>0.2599</v>
      </c>
      <c r="K319" s="213">
        <v>0.2648</v>
      </c>
      <c r="L319" s="213">
        <v>0.2862</v>
      </c>
      <c r="M319" s="213">
        <v>0.2833</v>
      </c>
      <c r="N319" s="213">
        <v>0.2833</v>
      </c>
      <c r="O319" s="213">
        <v>0.1852</v>
      </c>
      <c r="P319" s="214">
        <v>0.1852</v>
      </c>
      <c r="Q319" s="15"/>
      <c r="R319" s="289" t="s">
        <v>422</v>
      </c>
      <c r="S319" s="243" t="s">
        <v>209</v>
      </c>
      <c r="T319" s="243" t="s">
        <v>209</v>
      </c>
      <c r="U319" s="243" t="s">
        <v>209</v>
      </c>
      <c r="V319" s="243">
        <v>356.0</v>
      </c>
      <c r="W319" s="243">
        <v>17.0</v>
      </c>
      <c r="X319" s="243">
        <v>3544.0</v>
      </c>
      <c r="Y319" s="243">
        <v>3531.0</v>
      </c>
      <c r="Z319" s="186" t="s">
        <v>209</v>
      </c>
      <c r="AA319" s="243">
        <v>3329.0</v>
      </c>
      <c r="AB319" s="186" t="s">
        <v>209</v>
      </c>
      <c r="AC319" s="243">
        <v>3287.0</v>
      </c>
      <c r="AD319" s="243">
        <v>3287.0</v>
      </c>
      <c r="AE319" s="186" t="s">
        <v>209</v>
      </c>
      <c r="AF319" s="187" t="s">
        <v>209</v>
      </c>
      <c r="AG319" s="15"/>
      <c r="AH319" s="281" t="s">
        <v>502</v>
      </c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7" t="s">
        <v>20</v>
      </c>
      <c r="AY319" s="186">
        <v>2.28</v>
      </c>
      <c r="AZ319" s="186">
        <v>2.02</v>
      </c>
      <c r="BA319" s="186">
        <v>2.05</v>
      </c>
      <c r="BB319" s="186">
        <v>2.99</v>
      </c>
      <c r="BC319" s="186">
        <v>2.27</v>
      </c>
      <c r="BD319" s="186">
        <v>2.31</v>
      </c>
      <c r="BE319" s="186">
        <v>2.37</v>
      </c>
      <c r="BF319" s="186" t="s">
        <v>209</v>
      </c>
      <c r="BG319" s="186" t="s">
        <v>209</v>
      </c>
      <c r="BH319" s="186" t="s">
        <v>209</v>
      </c>
      <c r="BI319" s="186" t="s">
        <v>209</v>
      </c>
      <c r="BJ319" s="186">
        <v>2.16</v>
      </c>
      <c r="BK319" s="186" t="s">
        <v>209</v>
      </c>
      <c r="BL319" s="186" t="s">
        <v>209</v>
      </c>
      <c r="BM319" s="187" t="s">
        <v>209</v>
      </c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</row>
    <row r="320" outlineLevel="1">
      <c r="A320" s="15"/>
      <c r="B320" s="157" t="s">
        <v>366</v>
      </c>
      <c r="C320" s="213">
        <v>0.0915</v>
      </c>
      <c r="D320" s="213">
        <v>0.0888</v>
      </c>
      <c r="E320" s="213">
        <v>0.1264</v>
      </c>
      <c r="F320" s="213">
        <v>0.1051</v>
      </c>
      <c r="G320" s="213">
        <v>0.059</v>
      </c>
      <c r="H320" s="213">
        <v>0.0713</v>
      </c>
      <c r="I320" s="213">
        <v>0.1318</v>
      </c>
      <c r="J320" s="213">
        <v>0.0692</v>
      </c>
      <c r="K320" s="213">
        <v>0.0557</v>
      </c>
      <c r="L320" s="213">
        <v>0.0629</v>
      </c>
      <c r="M320" s="213">
        <v>0.0902</v>
      </c>
      <c r="N320" s="213">
        <v>0.0902</v>
      </c>
      <c r="O320" s="213">
        <v>-0.0168</v>
      </c>
      <c r="P320" s="214">
        <v>-0.0168</v>
      </c>
      <c r="Q320" s="15"/>
      <c r="R320" s="298" t="s">
        <v>334</v>
      </c>
      <c r="S320" s="299">
        <v>3297072.0</v>
      </c>
      <c r="T320" s="299">
        <v>2846560.0</v>
      </c>
      <c r="U320" s="299">
        <v>2949879.0</v>
      </c>
      <c r="V320" s="299">
        <v>2464878.0</v>
      </c>
      <c r="W320" s="299">
        <v>2182430.0</v>
      </c>
      <c r="X320" s="299">
        <v>1977754.0</v>
      </c>
      <c r="Y320" s="299">
        <v>2128786.0</v>
      </c>
      <c r="Z320" s="300" t="s">
        <v>209</v>
      </c>
      <c r="AA320" s="299">
        <v>1763413.0</v>
      </c>
      <c r="AB320" s="300" t="s">
        <v>209</v>
      </c>
      <c r="AC320" s="299">
        <v>1698698.0</v>
      </c>
      <c r="AD320" s="299">
        <v>1698698.0</v>
      </c>
      <c r="AE320" s="300" t="s">
        <v>209</v>
      </c>
      <c r="AF320" s="301" t="s">
        <v>209</v>
      </c>
      <c r="AG320" s="15"/>
      <c r="AH320" s="157" t="s">
        <v>410</v>
      </c>
      <c r="AI320" s="158" t="s">
        <v>144</v>
      </c>
      <c r="AJ320" s="158" t="s">
        <v>145</v>
      </c>
      <c r="AK320" s="158" t="s">
        <v>146</v>
      </c>
      <c r="AL320" s="158" t="s">
        <v>147</v>
      </c>
      <c r="AM320" s="158" t="s">
        <v>148</v>
      </c>
      <c r="AN320" s="158" t="s">
        <v>149</v>
      </c>
      <c r="AO320" s="158" t="s">
        <v>150</v>
      </c>
      <c r="AP320" s="158" t="s">
        <v>151</v>
      </c>
      <c r="AQ320" s="158" t="s">
        <v>152</v>
      </c>
      <c r="AR320" s="158" t="s">
        <v>153</v>
      </c>
      <c r="AS320" s="158" t="s">
        <v>154</v>
      </c>
      <c r="AT320" s="158" t="s">
        <v>155</v>
      </c>
      <c r="AU320" s="158" t="s">
        <v>156</v>
      </c>
      <c r="AV320" s="159" t="s">
        <v>157</v>
      </c>
      <c r="AW320" s="15"/>
      <c r="AX320" s="157" t="s">
        <v>17</v>
      </c>
      <c r="AY320" s="186">
        <v>0.4</v>
      </c>
      <c r="AZ320" s="186">
        <v>0.4</v>
      </c>
      <c r="BA320" s="186">
        <v>0.48</v>
      </c>
      <c r="BB320" s="186">
        <v>0.51</v>
      </c>
      <c r="BC320" s="186">
        <v>0.45</v>
      </c>
      <c r="BD320" s="186">
        <v>0.54</v>
      </c>
      <c r="BE320" s="186">
        <v>0.55</v>
      </c>
      <c r="BF320" s="186">
        <v>0.52</v>
      </c>
      <c r="BG320" s="186" t="s">
        <v>209</v>
      </c>
      <c r="BH320" s="186">
        <v>0.49</v>
      </c>
      <c r="BI320" s="186" t="s">
        <v>209</v>
      </c>
      <c r="BJ320" s="186">
        <v>0.48</v>
      </c>
      <c r="BK320" s="186">
        <v>0.48</v>
      </c>
      <c r="BL320" s="186" t="s">
        <v>209</v>
      </c>
      <c r="BM320" s="187" t="s">
        <v>209</v>
      </c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</row>
    <row r="321" outlineLevel="1">
      <c r="A321" s="15"/>
      <c r="B321" s="157" t="s">
        <v>370</v>
      </c>
      <c r="C321" s="213">
        <v>0.0392</v>
      </c>
      <c r="D321" s="213">
        <v>0.0447</v>
      </c>
      <c r="E321" s="213">
        <v>0.0769</v>
      </c>
      <c r="F321" s="213">
        <v>0.0514</v>
      </c>
      <c r="G321" s="213">
        <v>0.031</v>
      </c>
      <c r="H321" s="213">
        <v>0.0322</v>
      </c>
      <c r="I321" s="213">
        <v>0.0889</v>
      </c>
      <c r="J321" s="213">
        <v>0.0663</v>
      </c>
      <c r="K321" s="213">
        <v>0.0203</v>
      </c>
      <c r="L321" s="213">
        <v>0.0225</v>
      </c>
      <c r="M321" s="213">
        <v>0.0418</v>
      </c>
      <c r="N321" s="213">
        <v>0.0418</v>
      </c>
      <c r="O321" s="213">
        <v>-0.0287</v>
      </c>
      <c r="P321" s="214">
        <v>-0.0287</v>
      </c>
      <c r="Q321" s="15"/>
      <c r="R321" s="249"/>
      <c r="S321" s="249"/>
      <c r="T321" s="249"/>
      <c r="U321" s="249"/>
      <c r="V321" s="248"/>
      <c r="W321" s="248"/>
      <c r="X321" s="248"/>
      <c r="Y321" s="248"/>
      <c r="Z321" s="249"/>
      <c r="AA321" s="248"/>
      <c r="AB321" s="249"/>
      <c r="AC321" s="248"/>
      <c r="AD321" s="248"/>
      <c r="AE321" s="249"/>
      <c r="AF321" s="246"/>
      <c r="AG321" s="15"/>
      <c r="AH321" s="157" t="s">
        <v>180</v>
      </c>
      <c r="AI321" s="167">
        <v>46203.0</v>
      </c>
      <c r="AJ321" s="167">
        <v>46112.0</v>
      </c>
      <c r="AK321" s="167">
        <v>46022.0</v>
      </c>
      <c r="AL321" s="167">
        <v>45930.0</v>
      </c>
      <c r="AM321" s="167">
        <v>45838.0</v>
      </c>
      <c r="AN321" s="167">
        <v>45747.0</v>
      </c>
      <c r="AO321" s="167">
        <v>45657.0</v>
      </c>
      <c r="AP321" s="167">
        <v>45565.0</v>
      </c>
      <c r="AQ321" s="167">
        <v>45473.0</v>
      </c>
      <c r="AR321" s="167">
        <v>45382.0</v>
      </c>
      <c r="AS321" s="167">
        <v>45291.0</v>
      </c>
      <c r="AT321" s="167">
        <v>45199.0</v>
      </c>
      <c r="AU321" s="167">
        <v>45107.0</v>
      </c>
      <c r="AV321" s="167">
        <v>45016.0</v>
      </c>
      <c r="AW321" s="15"/>
      <c r="AX321" s="274" t="s">
        <v>14</v>
      </c>
      <c r="AY321" s="293">
        <v>1.12</v>
      </c>
      <c r="AZ321" s="293">
        <v>1.12</v>
      </c>
      <c r="BA321" s="293">
        <v>1.14</v>
      </c>
      <c r="BB321" s="293">
        <v>1.14</v>
      </c>
      <c r="BC321" s="293">
        <v>1.11</v>
      </c>
      <c r="BD321" s="293">
        <v>1.1</v>
      </c>
      <c r="BE321" s="293">
        <v>1.14</v>
      </c>
      <c r="BF321" s="293">
        <v>1.02</v>
      </c>
      <c r="BG321" s="293" t="s">
        <v>209</v>
      </c>
      <c r="BH321" s="293">
        <v>1.07</v>
      </c>
      <c r="BI321" s="293" t="s">
        <v>209</v>
      </c>
      <c r="BJ321" s="293">
        <v>1.15</v>
      </c>
      <c r="BK321" s="293">
        <v>1.15</v>
      </c>
      <c r="BL321" s="293" t="s">
        <v>209</v>
      </c>
      <c r="BM321" s="295" t="s">
        <v>209</v>
      </c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</row>
    <row r="322" outlineLevel="1">
      <c r="A322" s="15"/>
      <c r="B322" s="157" t="s">
        <v>314</v>
      </c>
      <c r="C322" s="213">
        <v>0.0751</v>
      </c>
      <c r="D322" s="213">
        <v>-0.1354</v>
      </c>
      <c r="E322" s="213">
        <v>0.0849</v>
      </c>
      <c r="F322" s="213">
        <v>-0.0935</v>
      </c>
      <c r="G322" s="213">
        <v>0.1214</v>
      </c>
      <c r="H322" s="213">
        <v>-0.3253</v>
      </c>
      <c r="I322" s="213">
        <v>-0.0268</v>
      </c>
      <c r="J322" s="213">
        <v>0.1083</v>
      </c>
      <c r="K322" s="213">
        <v>0.0271</v>
      </c>
      <c r="L322" s="213">
        <v>-0.1763</v>
      </c>
      <c r="M322" s="213">
        <v>-0.1099</v>
      </c>
      <c r="N322" s="213">
        <v>-0.1099</v>
      </c>
      <c r="O322" s="213">
        <v>0.1295</v>
      </c>
      <c r="P322" s="214">
        <v>0.1295</v>
      </c>
      <c r="Q322" s="15"/>
      <c r="R322" s="310" t="s">
        <v>503</v>
      </c>
      <c r="S322" s="249"/>
      <c r="T322" s="249"/>
      <c r="U322" s="249"/>
      <c r="V322" s="249"/>
      <c r="W322" s="249"/>
      <c r="X322" s="248"/>
      <c r="Y322" s="248"/>
      <c r="Z322" s="249"/>
      <c r="AA322" s="248"/>
      <c r="AB322" s="249"/>
      <c r="AC322" s="248"/>
      <c r="AD322" s="248"/>
      <c r="AE322" s="249"/>
      <c r="AF322" s="246"/>
      <c r="AG322" s="15"/>
      <c r="AH322" s="289" t="s">
        <v>464</v>
      </c>
      <c r="AI322" s="186">
        <v>-12.0</v>
      </c>
      <c r="AJ322" s="186">
        <v>15.0</v>
      </c>
      <c r="AK322" s="186">
        <v>11.0</v>
      </c>
      <c r="AL322" s="186">
        <v>10.0</v>
      </c>
      <c r="AM322" s="186">
        <v>-6.0</v>
      </c>
      <c r="AN322" s="186">
        <v>8.0</v>
      </c>
      <c r="AO322" s="186">
        <v>-2.0</v>
      </c>
      <c r="AP322" s="186" t="s">
        <v>209</v>
      </c>
      <c r="AQ322" s="186">
        <v>15.0</v>
      </c>
      <c r="AR322" s="186">
        <v>13.0</v>
      </c>
      <c r="AS322" s="186">
        <v>4.0</v>
      </c>
      <c r="AT322" s="186">
        <v>4.0</v>
      </c>
      <c r="AU322" s="186">
        <v>-6.5</v>
      </c>
      <c r="AV322" s="187">
        <v>-6.5</v>
      </c>
      <c r="AW322" s="15"/>
      <c r="AX322" s="157" t="s">
        <v>330</v>
      </c>
      <c r="AY322" s="213">
        <v>0.1874</v>
      </c>
      <c r="AZ322" s="213">
        <v>0.1783</v>
      </c>
      <c r="BA322" s="213">
        <v>0.4486</v>
      </c>
      <c r="BB322" s="213">
        <v>0.2084</v>
      </c>
      <c r="BC322" s="213">
        <v>0.1126</v>
      </c>
      <c r="BD322" s="213">
        <v>0.1161</v>
      </c>
      <c r="BE322" s="186" t="s">
        <v>209</v>
      </c>
      <c r="BF322" s="186" t="s">
        <v>209</v>
      </c>
      <c r="BG322" s="213">
        <v>0.0834</v>
      </c>
      <c r="BH322" s="213">
        <v>0.0961</v>
      </c>
      <c r="BI322" s="213">
        <v>0.1765</v>
      </c>
      <c r="BJ322" s="186" t="s">
        <v>209</v>
      </c>
      <c r="BK322" s="186" t="s">
        <v>209</v>
      </c>
      <c r="BL322" s="187" t="s">
        <v>209</v>
      </c>
      <c r="BM322" s="246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</row>
    <row r="323" outlineLevel="1">
      <c r="A323" s="15"/>
      <c r="B323" s="289" t="s">
        <v>376</v>
      </c>
      <c r="C323" s="243">
        <v>127230.0</v>
      </c>
      <c r="D323" s="243">
        <v>106454.0</v>
      </c>
      <c r="E323" s="243">
        <v>200033.0</v>
      </c>
      <c r="F323" s="243">
        <v>113198.0</v>
      </c>
      <c r="G323" s="243">
        <v>61393.0</v>
      </c>
      <c r="H323" s="243">
        <v>68734.0</v>
      </c>
      <c r="I323" s="243">
        <v>132568.0</v>
      </c>
      <c r="J323" s="243">
        <v>78214.0</v>
      </c>
      <c r="K323" s="243">
        <v>53918.0</v>
      </c>
      <c r="L323" s="243">
        <v>57309.0</v>
      </c>
      <c r="M323" s="243">
        <v>70105.0</v>
      </c>
      <c r="N323" s="243">
        <v>74186.0</v>
      </c>
      <c r="O323" s="243">
        <v>3491.0</v>
      </c>
      <c r="P323" s="290">
        <v>3491.0</v>
      </c>
      <c r="Q323" s="15"/>
      <c r="R323" s="157" t="s">
        <v>410</v>
      </c>
      <c r="S323" s="283" t="s">
        <v>144</v>
      </c>
      <c r="T323" s="283" t="s">
        <v>145</v>
      </c>
      <c r="U323" s="283" t="s">
        <v>146</v>
      </c>
      <c r="V323" s="283" t="s">
        <v>147</v>
      </c>
      <c r="W323" s="283" t="s">
        <v>148</v>
      </c>
      <c r="X323" s="283" t="s">
        <v>149</v>
      </c>
      <c r="Y323" s="283" t="s">
        <v>150</v>
      </c>
      <c r="Z323" s="158" t="s">
        <v>151</v>
      </c>
      <c r="AA323" s="283" t="s">
        <v>152</v>
      </c>
      <c r="AB323" s="158" t="s">
        <v>153</v>
      </c>
      <c r="AC323" s="283" t="s">
        <v>154</v>
      </c>
      <c r="AD323" s="283" t="s">
        <v>155</v>
      </c>
      <c r="AE323" s="158" t="s">
        <v>156</v>
      </c>
      <c r="AF323" s="159" t="s">
        <v>157</v>
      </c>
      <c r="AG323" s="15"/>
      <c r="AH323" s="289" t="s">
        <v>299</v>
      </c>
      <c r="AI323" s="243">
        <v>130661.0</v>
      </c>
      <c r="AJ323" s="243">
        <v>-128166.0</v>
      </c>
      <c r="AK323" s="243">
        <v>105220.0</v>
      </c>
      <c r="AL323" s="243">
        <v>-30469.0</v>
      </c>
      <c r="AM323" s="243">
        <v>91476.0</v>
      </c>
      <c r="AN323" s="243">
        <v>-64993.0</v>
      </c>
      <c r="AO323" s="243">
        <v>23133.0</v>
      </c>
      <c r="AP323" s="243">
        <v>11054.0</v>
      </c>
      <c r="AQ323" s="243">
        <v>2689.0</v>
      </c>
      <c r="AR323" s="243">
        <v>-2979.0</v>
      </c>
      <c r="AS323" s="243">
        <v>-13898.0</v>
      </c>
      <c r="AT323" s="243">
        <v>-13898.0</v>
      </c>
      <c r="AU323" s="243">
        <v>36946.0</v>
      </c>
      <c r="AV323" s="290">
        <v>36946.0</v>
      </c>
      <c r="AW323" s="15"/>
      <c r="AX323" s="157" t="s">
        <v>336</v>
      </c>
      <c r="AY323" s="213">
        <v>0.0696</v>
      </c>
      <c r="AZ323" s="213">
        <v>0.061</v>
      </c>
      <c r="BA323" s="213">
        <v>0.1261</v>
      </c>
      <c r="BB323" s="213">
        <v>0.0788</v>
      </c>
      <c r="BC323" s="213">
        <v>0.0407</v>
      </c>
      <c r="BD323" s="213">
        <v>0.0486</v>
      </c>
      <c r="BE323" s="186" t="s">
        <v>209</v>
      </c>
      <c r="BF323" s="186" t="s">
        <v>209</v>
      </c>
      <c r="BG323" s="186" t="s">
        <v>209</v>
      </c>
      <c r="BH323" s="186" t="s">
        <v>209</v>
      </c>
      <c r="BI323" s="213">
        <v>0.0677</v>
      </c>
      <c r="BJ323" s="186" t="s">
        <v>209</v>
      </c>
      <c r="BK323" s="186" t="s">
        <v>209</v>
      </c>
      <c r="BL323" s="187" t="s">
        <v>209</v>
      </c>
      <c r="BM323" s="246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</row>
    <row r="324" outlineLevel="1">
      <c r="A324" s="15"/>
      <c r="B324" s="157" t="s">
        <v>22</v>
      </c>
      <c r="C324" s="213">
        <v>0.099</v>
      </c>
      <c r="D324" s="213">
        <v>0.0965</v>
      </c>
      <c r="E324" s="213">
        <v>0.1332</v>
      </c>
      <c r="F324" s="213">
        <v>0.1137</v>
      </c>
      <c r="G324" s="213">
        <v>0.0725</v>
      </c>
      <c r="H324" s="213">
        <v>0.0856</v>
      </c>
      <c r="I324" s="213">
        <v>0.1379</v>
      </c>
      <c r="J324" s="213">
        <v>0.0844</v>
      </c>
      <c r="K324" s="213">
        <v>0.0715</v>
      </c>
      <c r="L324" s="213">
        <v>0.0784</v>
      </c>
      <c r="M324" s="213">
        <v>0.0965</v>
      </c>
      <c r="N324" s="213">
        <v>0.1021</v>
      </c>
      <c r="O324" s="213">
        <v>0.0044</v>
      </c>
      <c r="P324" s="214">
        <v>0.0044</v>
      </c>
      <c r="Q324" s="15"/>
      <c r="R324" s="157" t="s">
        <v>180</v>
      </c>
      <c r="S324" s="167">
        <v>46203.0</v>
      </c>
      <c r="T324" s="167">
        <v>46112.0</v>
      </c>
      <c r="U324" s="167">
        <v>46022.0</v>
      </c>
      <c r="V324" s="167">
        <v>45930.0</v>
      </c>
      <c r="W324" s="167">
        <v>45838.0</v>
      </c>
      <c r="X324" s="167">
        <v>45747.0</v>
      </c>
      <c r="Y324" s="167">
        <v>45657.0</v>
      </c>
      <c r="Z324" s="167">
        <v>45565.0</v>
      </c>
      <c r="AA324" s="167">
        <v>45473.0</v>
      </c>
      <c r="AB324" s="167">
        <v>45382.0</v>
      </c>
      <c r="AC324" s="167">
        <v>45291.0</v>
      </c>
      <c r="AD324" s="167">
        <v>45199.0</v>
      </c>
      <c r="AE324" s="167">
        <v>45107.0</v>
      </c>
      <c r="AF324" s="167">
        <v>45016.0</v>
      </c>
      <c r="AG324" s="15"/>
      <c r="AH324" s="15"/>
      <c r="AI324" s="250"/>
      <c r="AJ324" s="250"/>
      <c r="AK324" s="250"/>
      <c r="AL324" s="250"/>
      <c r="AM324" s="250"/>
      <c r="AN324" s="250"/>
      <c r="AO324" s="250"/>
      <c r="AP324" s="250"/>
      <c r="AQ324" s="250"/>
      <c r="AR324" s="250"/>
      <c r="AS324" s="250"/>
      <c r="AT324" s="250"/>
      <c r="AU324" s="250"/>
      <c r="AV324" s="251"/>
      <c r="AW324" s="15"/>
      <c r="AX324" s="157" t="s">
        <v>342</v>
      </c>
      <c r="AY324" s="213">
        <v>0.0369</v>
      </c>
      <c r="AZ324" s="213">
        <v>0.0347</v>
      </c>
      <c r="BA324" s="213">
        <v>0.0689</v>
      </c>
      <c r="BB324" s="213">
        <v>0.0401</v>
      </c>
      <c r="BC324" s="213">
        <v>0.0187</v>
      </c>
      <c r="BD324" s="213">
        <v>0.0235</v>
      </c>
      <c r="BE324" s="213">
        <v>0.0712</v>
      </c>
      <c r="BF324" s="186" t="s">
        <v>209</v>
      </c>
      <c r="BG324" s="213">
        <v>0.0266</v>
      </c>
      <c r="BH324" s="213">
        <v>0.0174</v>
      </c>
      <c r="BI324" s="213">
        <v>0.0289</v>
      </c>
      <c r="BJ324" s="213">
        <v>0.0289</v>
      </c>
      <c r="BK324" s="186" t="s">
        <v>209</v>
      </c>
      <c r="BL324" s="214">
        <v>-0.0103</v>
      </c>
      <c r="BM324" s="246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</row>
    <row r="325" outlineLevel="1">
      <c r="A325" s="15"/>
      <c r="B325" s="289" t="s">
        <v>383</v>
      </c>
      <c r="C325" s="243">
        <v>9704.0</v>
      </c>
      <c r="D325" s="243">
        <v>8514.0</v>
      </c>
      <c r="E325" s="243">
        <v>10221.0</v>
      </c>
      <c r="F325" s="243">
        <v>8607.0</v>
      </c>
      <c r="G325" s="243">
        <v>11428.0</v>
      </c>
      <c r="H325" s="243">
        <v>11450.0</v>
      </c>
      <c r="I325" s="243">
        <v>5841.0</v>
      </c>
      <c r="J325" s="243">
        <v>14090.0</v>
      </c>
      <c r="K325" s="243">
        <v>11947.0</v>
      </c>
      <c r="L325" s="243">
        <v>11306.0</v>
      </c>
      <c r="M325" s="243">
        <v>4559.0</v>
      </c>
      <c r="N325" s="243">
        <v>8640.0</v>
      </c>
      <c r="O325" s="243">
        <v>16803.0</v>
      </c>
      <c r="P325" s="290">
        <v>16803.0</v>
      </c>
      <c r="Q325" s="15"/>
      <c r="R325" s="289" t="s">
        <v>340</v>
      </c>
      <c r="S325" s="243">
        <v>588235.0</v>
      </c>
      <c r="T325" s="243">
        <v>588235.0</v>
      </c>
      <c r="U325" s="243">
        <v>588235.0</v>
      </c>
      <c r="V325" s="243">
        <v>588235.0</v>
      </c>
      <c r="W325" s="243">
        <v>588235.0</v>
      </c>
      <c r="X325" s="243">
        <v>588235.0</v>
      </c>
      <c r="Y325" s="243">
        <v>500000.0</v>
      </c>
      <c r="Z325" s="186" t="s">
        <v>209</v>
      </c>
      <c r="AA325" s="243">
        <v>166150.0</v>
      </c>
      <c r="AB325" s="186" t="s">
        <v>209</v>
      </c>
      <c r="AC325" s="243">
        <v>166150.0</v>
      </c>
      <c r="AD325" s="243">
        <v>166150.0</v>
      </c>
      <c r="AE325" s="186" t="s">
        <v>209</v>
      </c>
      <c r="AF325" s="187" t="s">
        <v>209</v>
      </c>
      <c r="AG325" s="15"/>
      <c r="AH325" s="281" t="s">
        <v>504</v>
      </c>
      <c r="AI325" s="170"/>
      <c r="AJ325" s="170"/>
      <c r="AK325" s="170"/>
      <c r="AL325" s="170"/>
      <c r="AM325" s="170"/>
      <c r="AN325" s="170"/>
      <c r="AO325" s="170"/>
      <c r="AP325" s="170"/>
      <c r="AQ325" s="170"/>
      <c r="AR325" s="170"/>
      <c r="AS325" s="170"/>
      <c r="AT325" s="170"/>
      <c r="AU325" s="170"/>
      <c r="AV325" s="170"/>
      <c r="AW325" s="15"/>
      <c r="AX325" s="157" t="s">
        <v>346</v>
      </c>
      <c r="AY325" s="213">
        <v>0.392</v>
      </c>
      <c r="AZ325" s="213">
        <v>0.392</v>
      </c>
      <c r="BA325" s="213">
        <v>0.34</v>
      </c>
      <c r="BB325" s="213">
        <v>0.321</v>
      </c>
      <c r="BC325" s="213">
        <v>0.3</v>
      </c>
      <c r="BD325" s="213">
        <v>0.276</v>
      </c>
      <c r="BE325" s="213">
        <v>0.265</v>
      </c>
      <c r="BF325" s="213">
        <v>0.315</v>
      </c>
      <c r="BG325" s="186" t="s">
        <v>209</v>
      </c>
      <c r="BH325" s="213">
        <v>0.256</v>
      </c>
      <c r="BI325" s="186" t="s">
        <v>209</v>
      </c>
      <c r="BJ325" s="213">
        <v>0.119</v>
      </c>
      <c r="BK325" s="213">
        <v>0.044</v>
      </c>
      <c r="BL325" s="186" t="s">
        <v>209</v>
      </c>
      <c r="BM325" s="187" t="s">
        <v>209</v>
      </c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</row>
    <row r="326" outlineLevel="1">
      <c r="A326" s="15"/>
      <c r="B326" s="289" t="s">
        <v>386</v>
      </c>
      <c r="C326" s="243">
        <v>117526.0</v>
      </c>
      <c r="D326" s="243">
        <v>97940.0</v>
      </c>
      <c r="E326" s="243">
        <v>189812.0</v>
      </c>
      <c r="F326" s="243">
        <v>104591.0</v>
      </c>
      <c r="G326" s="243">
        <v>49965.0</v>
      </c>
      <c r="H326" s="243">
        <v>57284.0</v>
      </c>
      <c r="I326" s="243">
        <v>126727.0</v>
      </c>
      <c r="J326" s="243">
        <v>64124.0</v>
      </c>
      <c r="K326" s="243">
        <v>41971.0</v>
      </c>
      <c r="L326" s="243">
        <v>46003.0</v>
      </c>
      <c r="M326" s="243">
        <v>65546.0</v>
      </c>
      <c r="N326" s="243">
        <v>65546.0</v>
      </c>
      <c r="O326" s="243">
        <v>-13312.0</v>
      </c>
      <c r="P326" s="290">
        <v>-13312.0</v>
      </c>
      <c r="Q326" s="15"/>
      <c r="R326" s="289" t="s">
        <v>345</v>
      </c>
      <c r="S326" s="243">
        <v>229902.0</v>
      </c>
      <c r="T326" s="243">
        <v>229902.0</v>
      </c>
      <c r="U326" s="243">
        <v>229902.0</v>
      </c>
      <c r="V326" s="243">
        <v>229901.0</v>
      </c>
      <c r="W326" s="243">
        <v>229901.0</v>
      </c>
      <c r="X326" s="243">
        <v>233882.0</v>
      </c>
      <c r="Y326" s="243">
        <v>128270.0</v>
      </c>
      <c r="Z326" s="186" t="s">
        <v>209</v>
      </c>
      <c r="AA326" s="243">
        <v>128270.0</v>
      </c>
      <c r="AB326" s="186" t="s">
        <v>209</v>
      </c>
      <c r="AC326" s="243">
        <v>128270.0</v>
      </c>
      <c r="AD326" s="243">
        <v>128270.0</v>
      </c>
      <c r="AE326" s="186" t="s">
        <v>209</v>
      </c>
      <c r="AF326" s="187" t="s">
        <v>209</v>
      </c>
      <c r="AG326" s="15"/>
      <c r="AH326" s="157" t="s">
        <v>410</v>
      </c>
      <c r="AI326" s="158" t="s">
        <v>144</v>
      </c>
      <c r="AJ326" s="158" t="s">
        <v>145</v>
      </c>
      <c r="AK326" s="158" t="s">
        <v>146</v>
      </c>
      <c r="AL326" s="158" t="s">
        <v>147</v>
      </c>
      <c r="AM326" s="158" t="s">
        <v>148</v>
      </c>
      <c r="AN326" s="158" t="s">
        <v>149</v>
      </c>
      <c r="AO326" s="158" t="s">
        <v>150</v>
      </c>
      <c r="AP326" s="158" t="s">
        <v>151</v>
      </c>
      <c r="AQ326" s="158" t="s">
        <v>152</v>
      </c>
      <c r="AR326" s="158" t="s">
        <v>153</v>
      </c>
      <c r="AS326" s="158" t="s">
        <v>154</v>
      </c>
      <c r="AT326" s="158" t="s">
        <v>155</v>
      </c>
      <c r="AU326" s="158" t="s">
        <v>156</v>
      </c>
      <c r="AV326" s="159" t="s">
        <v>157</v>
      </c>
      <c r="AW326" s="15"/>
      <c r="AX326" s="15"/>
      <c r="AY326" s="249"/>
      <c r="AZ326" s="249"/>
      <c r="BA326" s="249"/>
      <c r="BB326" s="249"/>
      <c r="BC326" s="249"/>
      <c r="BD326" s="249"/>
      <c r="BE326" s="249"/>
      <c r="BF326" s="249"/>
      <c r="BG326" s="249"/>
      <c r="BH326" s="249"/>
      <c r="BI326" s="249"/>
      <c r="BJ326" s="249"/>
      <c r="BK326" s="249"/>
      <c r="BL326" s="249"/>
      <c r="BM326" s="246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</row>
    <row r="327" outlineLevel="1">
      <c r="A327" s="15"/>
      <c r="B327" s="157" t="s">
        <v>390</v>
      </c>
      <c r="C327" s="213">
        <v>0.0915</v>
      </c>
      <c r="D327" s="213">
        <v>0.0888</v>
      </c>
      <c r="E327" s="213">
        <v>0.1264</v>
      </c>
      <c r="F327" s="213">
        <v>0.1051</v>
      </c>
      <c r="G327" s="213">
        <v>0.059</v>
      </c>
      <c r="H327" s="213">
        <v>0.0713</v>
      </c>
      <c r="I327" s="213">
        <v>0.1318</v>
      </c>
      <c r="J327" s="213">
        <v>0.0692</v>
      </c>
      <c r="K327" s="213">
        <v>0.0557</v>
      </c>
      <c r="L327" s="213">
        <v>0.0629</v>
      </c>
      <c r="M327" s="213">
        <v>0.0902</v>
      </c>
      <c r="N327" s="213">
        <v>0.0902</v>
      </c>
      <c r="O327" s="213">
        <v>-0.0168</v>
      </c>
      <c r="P327" s="214">
        <v>-0.0168</v>
      </c>
      <c r="Q327" s="15"/>
      <c r="R327" s="289" t="s">
        <v>349</v>
      </c>
      <c r="S327" s="243">
        <v>298330.0</v>
      </c>
      <c r="T327" s="243">
        <v>286225.0</v>
      </c>
      <c r="U327" s="243">
        <v>236847.0</v>
      </c>
      <c r="V327" s="243">
        <v>170627.0</v>
      </c>
      <c r="W327" s="243">
        <v>119465.0</v>
      </c>
      <c r="X327" s="243">
        <v>146130.0</v>
      </c>
      <c r="Y327" s="243">
        <v>120240.0</v>
      </c>
      <c r="Z327" s="186" t="s">
        <v>209</v>
      </c>
      <c r="AA327" s="243">
        <v>272358.0</v>
      </c>
      <c r="AB327" s="186" t="s">
        <v>209</v>
      </c>
      <c r="AC327" s="243">
        <v>240064.0</v>
      </c>
      <c r="AD327" s="243">
        <v>240064.0</v>
      </c>
      <c r="AE327" s="186" t="s">
        <v>209</v>
      </c>
      <c r="AF327" s="187" t="s">
        <v>209</v>
      </c>
      <c r="AG327" s="15"/>
      <c r="AH327" s="157" t="s">
        <v>180</v>
      </c>
      <c r="AI327" s="167">
        <v>46203.0</v>
      </c>
      <c r="AJ327" s="167">
        <v>46112.0</v>
      </c>
      <c r="AK327" s="167">
        <v>46022.0</v>
      </c>
      <c r="AL327" s="167">
        <v>45930.0</v>
      </c>
      <c r="AM327" s="167">
        <v>45838.0</v>
      </c>
      <c r="AN327" s="167">
        <v>45747.0</v>
      </c>
      <c r="AO327" s="167">
        <v>45657.0</v>
      </c>
      <c r="AP327" s="167">
        <v>45565.0</v>
      </c>
      <c r="AQ327" s="167">
        <v>45473.0</v>
      </c>
      <c r="AR327" s="167">
        <v>45382.0</v>
      </c>
      <c r="AS327" s="167">
        <v>45291.0</v>
      </c>
      <c r="AT327" s="167">
        <v>45199.0</v>
      </c>
      <c r="AU327" s="167">
        <v>45107.0</v>
      </c>
      <c r="AV327" s="167">
        <v>45016.0</v>
      </c>
      <c r="AW327" s="15"/>
      <c r="AX327" s="296" t="s">
        <v>505</v>
      </c>
      <c r="AY327" s="249"/>
      <c r="AZ327" s="249"/>
      <c r="BA327" s="249"/>
      <c r="BB327" s="249"/>
      <c r="BC327" s="249"/>
      <c r="BD327" s="249"/>
      <c r="BE327" s="249"/>
      <c r="BF327" s="249"/>
      <c r="BG327" s="249"/>
      <c r="BH327" s="249"/>
      <c r="BI327" s="249"/>
      <c r="BJ327" s="249"/>
      <c r="BK327" s="249"/>
      <c r="BL327" s="249"/>
      <c r="BM327" s="246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</row>
    <row r="328" outlineLevel="1">
      <c r="A328" s="15"/>
      <c r="B328" s="157" t="s">
        <v>394</v>
      </c>
      <c r="C328" s="213">
        <v>0.2948</v>
      </c>
      <c r="D328" s="213">
        <v>0.2263</v>
      </c>
      <c r="E328" s="213">
        <v>0.2421</v>
      </c>
      <c r="F328" s="213">
        <v>0.2313</v>
      </c>
      <c r="G328" s="213">
        <v>0.2678</v>
      </c>
      <c r="H328" s="213">
        <v>0.2385</v>
      </c>
      <c r="I328" s="213">
        <v>0.0356</v>
      </c>
      <c r="J328" s="213">
        <v>0.2075</v>
      </c>
      <c r="K328" s="186" t="s">
        <v>209</v>
      </c>
      <c r="L328" s="213">
        <v>0.4345</v>
      </c>
      <c r="M328" s="213">
        <v>0.3387</v>
      </c>
      <c r="N328" s="213">
        <v>0.3387</v>
      </c>
      <c r="O328" s="186" t="s">
        <v>209</v>
      </c>
      <c r="P328" s="187" t="s">
        <v>209</v>
      </c>
      <c r="Q328" s="15"/>
      <c r="R328" s="289" t="s">
        <v>354</v>
      </c>
      <c r="S328" s="186" t="s">
        <v>209</v>
      </c>
      <c r="T328" s="186" t="s">
        <v>209</v>
      </c>
      <c r="U328" s="186" t="s">
        <v>209</v>
      </c>
      <c r="V328" s="186" t="s">
        <v>209</v>
      </c>
      <c r="W328" s="186" t="s">
        <v>209</v>
      </c>
      <c r="X328" s="186" t="s">
        <v>209</v>
      </c>
      <c r="Y328" s="186" t="s">
        <v>209</v>
      </c>
      <c r="Z328" s="186" t="s">
        <v>209</v>
      </c>
      <c r="AA328" s="243">
        <v>92000.0</v>
      </c>
      <c r="AB328" s="186" t="s">
        <v>209</v>
      </c>
      <c r="AC328" s="243">
        <v>92000.0</v>
      </c>
      <c r="AD328" s="243">
        <v>92000.0</v>
      </c>
      <c r="AE328" s="186" t="s">
        <v>209</v>
      </c>
      <c r="AF328" s="187" t="s">
        <v>209</v>
      </c>
      <c r="AG328" s="15"/>
      <c r="AH328" s="289" t="s">
        <v>303</v>
      </c>
      <c r="AI328" s="243">
        <v>96498.0</v>
      </c>
      <c r="AJ328" s="243">
        <v>-149348.0</v>
      </c>
      <c r="AK328" s="243">
        <v>127525.0</v>
      </c>
      <c r="AL328" s="243">
        <v>-93097.0</v>
      </c>
      <c r="AM328" s="243">
        <v>102745.0</v>
      </c>
      <c r="AN328" s="243">
        <v>-261227.0</v>
      </c>
      <c r="AO328" s="243">
        <v>-25775.0</v>
      </c>
      <c r="AP328" s="243">
        <v>100383.0</v>
      </c>
      <c r="AQ328" s="243">
        <v>20399.0</v>
      </c>
      <c r="AR328" s="243">
        <v>-128899.0</v>
      </c>
      <c r="AS328" s="243">
        <v>-79816.0</v>
      </c>
      <c r="AT328" s="243">
        <v>-79816.0</v>
      </c>
      <c r="AU328" s="243">
        <v>102755.0</v>
      </c>
      <c r="AV328" s="290">
        <v>102755.0</v>
      </c>
      <c r="AW328" s="15"/>
      <c r="AX328" s="157" t="s">
        <v>410</v>
      </c>
      <c r="AY328" s="158" t="s">
        <v>172</v>
      </c>
      <c r="AZ328" s="158" t="s">
        <v>144</v>
      </c>
      <c r="BA328" s="158" t="s">
        <v>145</v>
      </c>
      <c r="BB328" s="158" t="s">
        <v>146</v>
      </c>
      <c r="BC328" s="158" t="s">
        <v>147</v>
      </c>
      <c r="BD328" s="158" t="s">
        <v>148</v>
      </c>
      <c r="BE328" s="158" t="s">
        <v>149</v>
      </c>
      <c r="BF328" s="158" t="s">
        <v>150</v>
      </c>
      <c r="BG328" s="158" t="s">
        <v>151</v>
      </c>
      <c r="BH328" s="158" t="s">
        <v>152</v>
      </c>
      <c r="BI328" s="158" t="s">
        <v>153</v>
      </c>
      <c r="BJ328" s="158" t="s">
        <v>154</v>
      </c>
      <c r="BK328" s="158" t="s">
        <v>155</v>
      </c>
      <c r="BL328" s="158" t="s">
        <v>156</v>
      </c>
      <c r="BM328" s="159" t="s">
        <v>157</v>
      </c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</row>
    <row r="329" outlineLevel="1">
      <c r="A329" s="15"/>
      <c r="B329" s="297" t="s">
        <v>481</v>
      </c>
      <c r="C329" s="293" t="s">
        <v>209</v>
      </c>
      <c r="D329" s="309">
        <v>12121.0</v>
      </c>
      <c r="E329" s="293" t="s">
        <v>209</v>
      </c>
      <c r="F329" s="293" t="s">
        <v>209</v>
      </c>
      <c r="G329" s="293" t="s">
        <v>209</v>
      </c>
      <c r="H329" s="309">
        <v>17542.0</v>
      </c>
      <c r="I329" s="293" t="s">
        <v>209</v>
      </c>
      <c r="J329" s="293" t="s">
        <v>209</v>
      </c>
      <c r="K329" s="293" t="s">
        <v>209</v>
      </c>
      <c r="L329" s="309">
        <v>18052.0</v>
      </c>
      <c r="M329" s="293" t="s">
        <v>209</v>
      </c>
      <c r="N329" s="293" t="s">
        <v>209</v>
      </c>
      <c r="O329" s="293" t="s">
        <v>209</v>
      </c>
      <c r="P329" s="295" t="s">
        <v>209</v>
      </c>
      <c r="Q329" s="15"/>
      <c r="R329" s="289" t="s">
        <v>358</v>
      </c>
      <c r="S329" s="243">
        <v>1116467.0</v>
      </c>
      <c r="T329" s="243">
        <v>1104362.0</v>
      </c>
      <c r="U329" s="243">
        <v>1054984.0</v>
      </c>
      <c r="V329" s="243">
        <v>988763.0</v>
      </c>
      <c r="W329" s="243">
        <v>937601.0</v>
      </c>
      <c r="X329" s="243">
        <v>968247.0</v>
      </c>
      <c r="Y329" s="243">
        <v>748510.0</v>
      </c>
      <c r="Z329" s="186" t="s">
        <v>209</v>
      </c>
      <c r="AA329" s="243">
        <v>658778.0</v>
      </c>
      <c r="AB329" s="243">
        <v>626484.0</v>
      </c>
      <c r="AC329" s="243">
        <v>626484.0</v>
      </c>
      <c r="AD329" s="243">
        <v>626484.0</v>
      </c>
      <c r="AE329" s="186" t="s">
        <v>209</v>
      </c>
      <c r="AF329" s="290">
        <v>521826.0</v>
      </c>
      <c r="AG329" s="15"/>
      <c r="AH329" s="157" t="s">
        <v>420</v>
      </c>
      <c r="AI329" s="184">
        <v>-0.0608</v>
      </c>
      <c r="AJ329" s="186" t="s">
        <v>209</v>
      </c>
      <c r="AK329" s="186" t="s">
        <v>209</v>
      </c>
      <c r="AL329" s="186" t="s">
        <v>209</v>
      </c>
      <c r="AM329" s="185">
        <v>4.0368</v>
      </c>
      <c r="AN329" s="186" t="s">
        <v>209</v>
      </c>
      <c r="AO329" s="186" t="s">
        <v>209</v>
      </c>
      <c r="AP329" s="186" t="s">
        <v>209</v>
      </c>
      <c r="AQ329" s="184">
        <v>-0.8015</v>
      </c>
      <c r="AR329" s="186" t="s">
        <v>209</v>
      </c>
      <c r="AS329" s="186" t="s">
        <v>209</v>
      </c>
      <c r="AT329" s="186" t="s">
        <v>209</v>
      </c>
      <c r="AU329" s="186" t="s">
        <v>209</v>
      </c>
      <c r="AV329" s="187" t="s">
        <v>209</v>
      </c>
      <c r="AW329" s="15"/>
      <c r="AX329" s="157" t="s">
        <v>180</v>
      </c>
      <c r="AY329" s="167">
        <v>46304.0</v>
      </c>
      <c r="AZ329" s="167">
        <v>46203.0</v>
      </c>
      <c r="BA329" s="167">
        <v>46112.0</v>
      </c>
      <c r="BB329" s="167">
        <v>46022.0</v>
      </c>
      <c r="BC329" s="167">
        <v>45930.0</v>
      </c>
      <c r="BD329" s="167">
        <v>45838.0</v>
      </c>
      <c r="BE329" s="167">
        <v>45747.0</v>
      </c>
      <c r="BF329" s="167">
        <v>45657.0</v>
      </c>
      <c r="BG329" s="167">
        <v>45565.0</v>
      </c>
      <c r="BH329" s="167">
        <v>45473.0</v>
      </c>
      <c r="BI329" s="167">
        <v>45382.0</v>
      </c>
      <c r="BJ329" s="167">
        <v>45291.0</v>
      </c>
      <c r="BK329" s="167">
        <v>45199.0</v>
      </c>
      <c r="BL329" s="167">
        <v>45107.0</v>
      </c>
      <c r="BM329" s="167">
        <v>45016.0</v>
      </c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</row>
    <row r="330" outlineLevel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289" t="s">
        <v>362</v>
      </c>
      <c r="S330" s="243">
        <v>39957.0</v>
      </c>
      <c r="T330" s="243">
        <v>36479.0</v>
      </c>
      <c r="U330" s="243">
        <v>36122.0</v>
      </c>
      <c r="V330" s="243">
        <v>33788.0</v>
      </c>
      <c r="W330" s="243">
        <v>33018.0</v>
      </c>
      <c r="X330" s="243">
        <v>33075.0</v>
      </c>
      <c r="Y330" s="243">
        <v>33087.0</v>
      </c>
      <c r="Z330" s="186" t="s">
        <v>209</v>
      </c>
      <c r="AA330" s="243">
        <v>95980.0</v>
      </c>
      <c r="AB330" s="186" t="s">
        <v>209</v>
      </c>
      <c r="AC330" s="243">
        <v>94975.0</v>
      </c>
      <c r="AD330" s="243">
        <v>94975.0</v>
      </c>
      <c r="AE330" s="186" t="s">
        <v>209</v>
      </c>
      <c r="AF330" s="187" t="s">
        <v>209</v>
      </c>
      <c r="AG330" s="15"/>
      <c r="AH330" s="157" t="s">
        <v>314</v>
      </c>
      <c r="AI330" s="213">
        <v>0.0751</v>
      </c>
      <c r="AJ330" s="213">
        <v>-0.1354</v>
      </c>
      <c r="AK330" s="213">
        <v>0.0849</v>
      </c>
      <c r="AL330" s="213">
        <v>-0.0935</v>
      </c>
      <c r="AM330" s="213">
        <v>0.1214</v>
      </c>
      <c r="AN330" s="213">
        <v>-0.3253</v>
      </c>
      <c r="AO330" s="213">
        <v>-0.0268</v>
      </c>
      <c r="AP330" s="213">
        <v>0.1083</v>
      </c>
      <c r="AQ330" s="213">
        <v>0.0271</v>
      </c>
      <c r="AR330" s="213">
        <v>-0.1763</v>
      </c>
      <c r="AS330" s="213">
        <v>-0.1099</v>
      </c>
      <c r="AT330" s="213">
        <v>-0.1099</v>
      </c>
      <c r="AU330" s="213">
        <v>0.1295</v>
      </c>
      <c r="AV330" s="214">
        <v>0.1295</v>
      </c>
      <c r="AW330" s="15"/>
      <c r="AX330" s="157" t="s">
        <v>350</v>
      </c>
      <c r="AY330" s="213">
        <v>0.1398</v>
      </c>
      <c r="AZ330" s="213">
        <v>0.1618</v>
      </c>
      <c r="BA330" s="213">
        <v>0.1126</v>
      </c>
      <c r="BB330" s="213">
        <v>0.0974</v>
      </c>
      <c r="BC330" s="213">
        <v>0.0787</v>
      </c>
      <c r="BD330" s="213">
        <v>0.0746</v>
      </c>
      <c r="BE330" s="213">
        <v>0.0851</v>
      </c>
      <c r="BF330" s="186" t="s">
        <v>209</v>
      </c>
      <c r="BG330" s="186" t="s">
        <v>209</v>
      </c>
      <c r="BH330" s="186" t="s">
        <v>209</v>
      </c>
      <c r="BI330" s="186" t="s">
        <v>209</v>
      </c>
      <c r="BJ330" s="186" t="s">
        <v>209</v>
      </c>
      <c r="BK330" s="186" t="s">
        <v>209</v>
      </c>
      <c r="BL330" s="186" t="s">
        <v>209</v>
      </c>
      <c r="BM330" s="187" t="s">
        <v>209</v>
      </c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</row>
    <row r="331" outlineLevel="1">
      <c r="A331" s="15"/>
      <c r="B331" s="15" t="s">
        <v>402</v>
      </c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311" t="s">
        <v>367</v>
      </c>
      <c r="S331" s="312">
        <v>1156424.0</v>
      </c>
      <c r="T331" s="312">
        <v>1140841.0</v>
      </c>
      <c r="U331" s="312">
        <v>1091106.0</v>
      </c>
      <c r="V331" s="312">
        <v>1022551.0</v>
      </c>
      <c r="W331" s="312">
        <v>970619.0</v>
      </c>
      <c r="X331" s="312">
        <v>1001322.0</v>
      </c>
      <c r="Y331" s="312">
        <v>781597.0</v>
      </c>
      <c r="Z331" s="313" t="s">
        <v>209</v>
      </c>
      <c r="AA331" s="312">
        <v>754758.0</v>
      </c>
      <c r="AB331" s="312">
        <v>721459.0</v>
      </c>
      <c r="AC331" s="312">
        <v>721459.0</v>
      </c>
      <c r="AD331" s="312">
        <v>721459.0</v>
      </c>
      <c r="AE331" s="313" t="s">
        <v>209</v>
      </c>
      <c r="AF331" s="314">
        <v>537266.0</v>
      </c>
      <c r="AG331" s="15"/>
      <c r="AH331" s="289" t="s">
        <v>319</v>
      </c>
      <c r="AI331" s="186">
        <v>16.41</v>
      </c>
      <c r="AJ331" s="186">
        <v>-25.39</v>
      </c>
      <c r="AK331" s="186">
        <v>22.12</v>
      </c>
      <c r="AL331" s="186">
        <v>-16.15</v>
      </c>
      <c r="AM331" s="186">
        <v>17.82</v>
      </c>
      <c r="AN331" s="186">
        <v>-45.31</v>
      </c>
      <c r="AO331" s="186">
        <v>-4.22</v>
      </c>
      <c r="AP331" s="186">
        <v>60.42</v>
      </c>
      <c r="AQ331" s="186">
        <v>12.28</v>
      </c>
      <c r="AR331" s="186">
        <v>-77.58</v>
      </c>
      <c r="AS331" s="186">
        <v>-48.04</v>
      </c>
      <c r="AT331" s="186">
        <v>-48.04</v>
      </c>
      <c r="AU331" s="186">
        <v>61.84</v>
      </c>
      <c r="AV331" s="187">
        <v>61.84</v>
      </c>
      <c r="AW331" s="15"/>
      <c r="AX331" s="157" t="s">
        <v>355</v>
      </c>
      <c r="AY331" s="213">
        <v>-0.0097</v>
      </c>
      <c r="AZ331" s="213">
        <v>-0.0112</v>
      </c>
      <c r="BA331" s="213">
        <v>-0.0057</v>
      </c>
      <c r="BB331" s="213">
        <v>-0.0552</v>
      </c>
      <c r="BC331" s="213">
        <v>-0.1156</v>
      </c>
      <c r="BD331" s="213">
        <v>-0.0314</v>
      </c>
      <c r="BE331" s="213">
        <v>-0.0751</v>
      </c>
      <c r="BF331" s="186" t="s">
        <v>209</v>
      </c>
      <c r="BG331" s="186" t="s">
        <v>209</v>
      </c>
      <c r="BH331" s="186" t="s">
        <v>209</v>
      </c>
      <c r="BI331" s="186" t="s">
        <v>209</v>
      </c>
      <c r="BJ331" s="186" t="s">
        <v>209</v>
      </c>
      <c r="BK331" s="186" t="s">
        <v>209</v>
      </c>
      <c r="BL331" s="186" t="s">
        <v>209</v>
      </c>
      <c r="BM331" s="187" t="s">
        <v>209</v>
      </c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</row>
    <row r="332" outlineLevel="1">
      <c r="A332" s="15"/>
      <c r="B332" s="220" t="s">
        <v>485</v>
      </c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297" t="s">
        <v>371</v>
      </c>
      <c r="S332" s="309">
        <v>4453496.0</v>
      </c>
      <c r="T332" s="309">
        <v>3987401.0</v>
      </c>
      <c r="U332" s="309">
        <v>4040985.0</v>
      </c>
      <c r="V332" s="309">
        <v>3487429.0</v>
      </c>
      <c r="W332" s="309">
        <v>3153049.0</v>
      </c>
      <c r="X332" s="309">
        <v>2979076.0</v>
      </c>
      <c r="Y332" s="309">
        <v>2910383.0</v>
      </c>
      <c r="Z332" s="293" t="s">
        <v>209</v>
      </c>
      <c r="AA332" s="309">
        <v>2518171.0</v>
      </c>
      <c r="AB332" s="293" t="s">
        <v>209</v>
      </c>
      <c r="AC332" s="309">
        <v>2420157.0</v>
      </c>
      <c r="AD332" s="309">
        <v>2420157.0</v>
      </c>
      <c r="AE332" s="293" t="s">
        <v>209</v>
      </c>
      <c r="AF332" s="295" t="s">
        <v>209</v>
      </c>
      <c r="AG332" s="15"/>
      <c r="AH332" s="289" t="s">
        <v>335</v>
      </c>
      <c r="AI332" s="243">
        <v>136288.0</v>
      </c>
      <c r="AJ332" s="243">
        <v>-104629.0</v>
      </c>
      <c r="AK332" s="243">
        <v>95211.0</v>
      </c>
      <c r="AL332" s="243">
        <v>-131739.0</v>
      </c>
      <c r="AM332" s="243">
        <v>107442.0</v>
      </c>
      <c r="AN332" s="243">
        <v>-257396.0</v>
      </c>
      <c r="AO332" s="186" t="s">
        <v>209</v>
      </c>
      <c r="AP332" s="186" t="s">
        <v>209</v>
      </c>
      <c r="AQ332" s="186" t="s">
        <v>209</v>
      </c>
      <c r="AR332" s="186" t="s">
        <v>209</v>
      </c>
      <c r="AS332" s="243">
        <v>17801.0</v>
      </c>
      <c r="AT332" s="186" t="s">
        <v>209</v>
      </c>
      <c r="AU332" s="186" t="s">
        <v>209</v>
      </c>
      <c r="AV332" s="187" t="s">
        <v>209</v>
      </c>
      <c r="AW332" s="15"/>
      <c r="AX332" s="157" t="s">
        <v>359</v>
      </c>
      <c r="AY332" s="213">
        <v>0.0401</v>
      </c>
      <c r="AZ332" s="186" t="s">
        <v>209</v>
      </c>
      <c r="BA332" s="186" t="s">
        <v>209</v>
      </c>
      <c r="BB332" s="213">
        <v>0.0401</v>
      </c>
      <c r="BC332" s="186" t="s">
        <v>209</v>
      </c>
      <c r="BD332" s="213">
        <v>0.0411</v>
      </c>
      <c r="BE332" s="186" t="s">
        <v>209</v>
      </c>
      <c r="BF332" s="186" t="s">
        <v>209</v>
      </c>
      <c r="BG332" s="186" t="s">
        <v>209</v>
      </c>
      <c r="BH332" s="186" t="s">
        <v>209</v>
      </c>
      <c r="BI332" s="186" t="s">
        <v>209</v>
      </c>
      <c r="BJ332" s="186" t="s">
        <v>209</v>
      </c>
      <c r="BK332" s="186" t="s">
        <v>209</v>
      </c>
      <c r="BL332" s="186" t="s">
        <v>209</v>
      </c>
      <c r="BM332" s="187" t="s">
        <v>209</v>
      </c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</row>
    <row r="333" outlineLevel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249"/>
      <c r="S333" s="248"/>
      <c r="T333" s="248"/>
      <c r="U333" s="248"/>
      <c r="V333" s="248"/>
      <c r="W333" s="248"/>
      <c r="X333" s="248"/>
      <c r="Y333" s="248"/>
      <c r="Z333" s="249"/>
      <c r="AA333" s="248"/>
      <c r="AB333" s="249"/>
      <c r="AC333" s="248"/>
      <c r="AD333" s="248"/>
      <c r="AE333" s="249"/>
      <c r="AF333" s="246"/>
      <c r="AG333" s="15"/>
      <c r="AH333" s="289" t="s">
        <v>341</v>
      </c>
      <c r="AI333" s="243">
        <v>153148.0</v>
      </c>
      <c r="AJ333" s="243">
        <v>-86334.0</v>
      </c>
      <c r="AK333" s="243">
        <v>111024.0</v>
      </c>
      <c r="AL333" s="243">
        <v>-117926.0</v>
      </c>
      <c r="AM333" s="243">
        <v>118527.0</v>
      </c>
      <c r="AN333" s="243">
        <v>-245686.0</v>
      </c>
      <c r="AO333" s="186" t="s">
        <v>209</v>
      </c>
      <c r="AP333" s="186" t="s">
        <v>209</v>
      </c>
      <c r="AQ333" s="186" t="s">
        <v>209</v>
      </c>
      <c r="AR333" s="186" t="s">
        <v>209</v>
      </c>
      <c r="AS333" s="243">
        <v>23268.0</v>
      </c>
      <c r="AT333" s="186" t="s">
        <v>209</v>
      </c>
      <c r="AU333" s="186" t="s">
        <v>209</v>
      </c>
      <c r="AV333" s="187" t="s">
        <v>209</v>
      </c>
      <c r="AW333" s="15"/>
      <c r="AX333" s="157" t="s">
        <v>363</v>
      </c>
      <c r="AY333" s="213">
        <v>0.3947</v>
      </c>
      <c r="AZ333" s="186" t="s">
        <v>209</v>
      </c>
      <c r="BA333" s="186" t="s">
        <v>209</v>
      </c>
      <c r="BB333" s="213">
        <v>0.4384</v>
      </c>
      <c r="BC333" s="213">
        <v>1.0652</v>
      </c>
      <c r="BD333" s="186" t="s">
        <v>209</v>
      </c>
      <c r="BE333" s="186" t="s">
        <v>209</v>
      </c>
      <c r="BF333" s="186" t="s">
        <v>209</v>
      </c>
      <c r="BG333" s="213">
        <v>4.9146</v>
      </c>
      <c r="BH333" s="186" t="s">
        <v>209</v>
      </c>
      <c r="BI333" s="186" t="s">
        <v>209</v>
      </c>
      <c r="BJ333" s="186" t="s">
        <v>209</v>
      </c>
      <c r="BK333" s="186" t="s">
        <v>209</v>
      </c>
      <c r="BL333" s="186" t="s">
        <v>209</v>
      </c>
      <c r="BM333" s="187" t="s">
        <v>209</v>
      </c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</row>
    <row r="334" outlineLevel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310" t="s">
        <v>506</v>
      </c>
      <c r="S334" s="248"/>
      <c r="T334" s="248"/>
      <c r="U334" s="248"/>
      <c r="V334" s="248"/>
      <c r="W334" s="248"/>
      <c r="X334" s="248"/>
      <c r="Y334" s="248"/>
      <c r="Z334" s="249"/>
      <c r="AA334" s="248"/>
      <c r="AB334" s="248"/>
      <c r="AC334" s="248"/>
      <c r="AD334" s="248"/>
      <c r="AE334" s="249"/>
      <c r="AF334" s="254"/>
      <c r="AG334" s="15"/>
      <c r="AH334" s="289" t="s">
        <v>507</v>
      </c>
      <c r="AI334" s="243">
        <v>92027.0</v>
      </c>
      <c r="AJ334" s="243">
        <v>-156606.0</v>
      </c>
      <c r="AK334" s="243">
        <v>119880.0</v>
      </c>
      <c r="AL334" s="243">
        <v>-96036.0</v>
      </c>
      <c r="AM334" s="243">
        <v>95199.0</v>
      </c>
      <c r="AN334" s="243">
        <v>-273023.0</v>
      </c>
      <c r="AO334" s="243">
        <v>-31805.0</v>
      </c>
      <c r="AP334" s="243">
        <v>97497.0</v>
      </c>
      <c r="AQ334" s="243">
        <v>12851.0</v>
      </c>
      <c r="AR334" s="243">
        <v>-140052.0</v>
      </c>
      <c r="AS334" s="243">
        <v>-94085.0</v>
      </c>
      <c r="AT334" s="243">
        <v>-94085.0</v>
      </c>
      <c r="AU334" s="243">
        <v>101525.0</v>
      </c>
      <c r="AV334" s="290">
        <v>101525.0</v>
      </c>
      <c r="AW334" s="15"/>
      <c r="AX334" s="157" t="s">
        <v>470</v>
      </c>
      <c r="AY334" s="213">
        <v>-0.2067</v>
      </c>
      <c r="AZ334" s="213">
        <v>-0.0204</v>
      </c>
      <c r="BA334" s="213">
        <v>-0.0204</v>
      </c>
      <c r="BB334" s="213">
        <v>0.057</v>
      </c>
      <c r="BC334" s="213">
        <v>-2.4696</v>
      </c>
      <c r="BD334" s="213">
        <v>-2.4696</v>
      </c>
      <c r="BE334" s="213">
        <v>-2.4696</v>
      </c>
      <c r="BF334" s="213">
        <v>-2.6791</v>
      </c>
      <c r="BG334" s="186" t="s">
        <v>209</v>
      </c>
      <c r="BH334" s="186" t="s">
        <v>209</v>
      </c>
      <c r="BI334" s="186" t="s">
        <v>209</v>
      </c>
      <c r="BJ334" s="186" t="s">
        <v>209</v>
      </c>
      <c r="BK334" s="186" t="s">
        <v>209</v>
      </c>
      <c r="BL334" s="186" t="s">
        <v>209</v>
      </c>
      <c r="BM334" s="187" t="s">
        <v>209</v>
      </c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</row>
    <row r="335" outlineLevel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7" t="s">
        <v>410</v>
      </c>
      <c r="S335" s="283" t="s">
        <v>144</v>
      </c>
      <c r="T335" s="283" t="s">
        <v>145</v>
      </c>
      <c r="U335" s="283" t="s">
        <v>146</v>
      </c>
      <c r="V335" s="283" t="s">
        <v>147</v>
      </c>
      <c r="W335" s="283" t="s">
        <v>148</v>
      </c>
      <c r="X335" s="283" t="s">
        <v>149</v>
      </c>
      <c r="Y335" s="283" t="s">
        <v>150</v>
      </c>
      <c r="Z335" s="158" t="s">
        <v>151</v>
      </c>
      <c r="AA335" s="283" t="s">
        <v>152</v>
      </c>
      <c r="AB335" s="158" t="s">
        <v>153</v>
      </c>
      <c r="AC335" s="283" t="s">
        <v>154</v>
      </c>
      <c r="AD335" s="283" t="s">
        <v>155</v>
      </c>
      <c r="AE335" s="158" t="s">
        <v>156</v>
      </c>
      <c r="AF335" s="159" t="s">
        <v>157</v>
      </c>
      <c r="AG335" s="15"/>
      <c r="AH335" s="249"/>
      <c r="AI335" s="248"/>
      <c r="AJ335" s="248"/>
      <c r="AK335" s="248"/>
      <c r="AL335" s="248"/>
      <c r="AM335" s="248"/>
      <c r="AN335" s="248"/>
      <c r="AO335" s="248"/>
      <c r="AP335" s="248"/>
      <c r="AQ335" s="248"/>
      <c r="AR335" s="248"/>
      <c r="AS335" s="248"/>
      <c r="AT335" s="248"/>
      <c r="AU335" s="248"/>
      <c r="AV335" s="254"/>
      <c r="AW335" s="15"/>
      <c r="AX335" s="157" t="s">
        <v>368</v>
      </c>
      <c r="AY335" s="213">
        <v>-0.1666</v>
      </c>
      <c r="AZ335" s="213">
        <v>-0.0204</v>
      </c>
      <c r="BA335" s="213">
        <v>-0.0204</v>
      </c>
      <c r="BB335" s="213">
        <v>0.0971</v>
      </c>
      <c r="BC335" s="213">
        <v>-2.4696</v>
      </c>
      <c r="BD335" s="213">
        <v>-2.4285</v>
      </c>
      <c r="BE335" s="213">
        <v>-2.4696</v>
      </c>
      <c r="BF335" s="213">
        <v>-2.6791</v>
      </c>
      <c r="BG335" s="186" t="s">
        <v>209</v>
      </c>
      <c r="BH335" s="186" t="s">
        <v>209</v>
      </c>
      <c r="BI335" s="186" t="s">
        <v>209</v>
      </c>
      <c r="BJ335" s="186" t="s">
        <v>209</v>
      </c>
      <c r="BK335" s="186" t="s">
        <v>209</v>
      </c>
      <c r="BL335" s="186" t="s">
        <v>209</v>
      </c>
      <c r="BM335" s="187" t="s">
        <v>209</v>
      </c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</row>
    <row r="336" outlineLevel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7" t="s">
        <v>180</v>
      </c>
      <c r="S336" s="167">
        <v>46203.0</v>
      </c>
      <c r="T336" s="167">
        <v>46112.0</v>
      </c>
      <c r="U336" s="167">
        <v>46022.0</v>
      </c>
      <c r="V336" s="167">
        <v>45930.0</v>
      </c>
      <c r="W336" s="167">
        <v>45838.0</v>
      </c>
      <c r="X336" s="167">
        <v>45747.0</v>
      </c>
      <c r="Y336" s="167">
        <v>45657.0</v>
      </c>
      <c r="Z336" s="167">
        <v>45565.0</v>
      </c>
      <c r="AA336" s="167">
        <v>45473.0</v>
      </c>
      <c r="AB336" s="167">
        <v>45382.0</v>
      </c>
      <c r="AC336" s="167">
        <v>45291.0</v>
      </c>
      <c r="AD336" s="167">
        <v>45199.0</v>
      </c>
      <c r="AE336" s="167">
        <v>45107.0</v>
      </c>
      <c r="AF336" s="167">
        <v>45016.0</v>
      </c>
      <c r="AG336" s="15"/>
      <c r="AH336" s="281" t="s">
        <v>508</v>
      </c>
      <c r="AI336" s="252"/>
      <c r="AJ336" s="249"/>
      <c r="AK336" s="249"/>
      <c r="AL336" s="249"/>
      <c r="AM336" s="252"/>
      <c r="AN336" s="249"/>
      <c r="AO336" s="249"/>
      <c r="AP336" s="249"/>
      <c r="AQ336" s="252"/>
      <c r="AR336" s="249"/>
      <c r="AS336" s="249"/>
      <c r="AT336" s="249"/>
      <c r="AU336" s="249"/>
      <c r="AV336" s="246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</row>
    <row r="337" outlineLevel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289" t="s">
        <v>373</v>
      </c>
      <c r="S337" s="243">
        <v>1208323.0</v>
      </c>
      <c r="T337" s="243">
        <v>1201471.0</v>
      </c>
      <c r="U337" s="243">
        <v>1119208.0</v>
      </c>
      <c r="V337" s="243">
        <v>1145016.0</v>
      </c>
      <c r="W337" s="243">
        <v>1058595.0</v>
      </c>
      <c r="X337" s="243">
        <v>1019848.0</v>
      </c>
      <c r="Y337" s="243">
        <v>996937.0</v>
      </c>
      <c r="Z337" s="186" t="s">
        <v>209</v>
      </c>
      <c r="AA337" s="243">
        <v>934198.0</v>
      </c>
      <c r="AB337" s="243">
        <v>821685.0</v>
      </c>
      <c r="AC337" s="243">
        <v>821685.0</v>
      </c>
      <c r="AD337" s="243">
        <v>821685.0</v>
      </c>
      <c r="AE337" s="186" t="s">
        <v>209</v>
      </c>
      <c r="AF337" s="290">
        <v>780806.0</v>
      </c>
      <c r="AG337" s="15"/>
      <c r="AH337" s="157" t="s">
        <v>410</v>
      </c>
      <c r="AI337" s="158" t="s">
        <v>144</v>
      </c>
      <c r="AJ337" s="158" t="s">
        <v>145</v>
      </c>
      <c r="AK337" s="158" t="s">
        <v>146</v>
      </c>
      <c r="AL337" s="158" t="s">
        <v>147</v>
      </c>
      <c r="AM337" s="158" t="s">
        <v>148</v>
      </c>
      <c r="AN337" s="158" t="s">
        <v>149</v>
      </c>
      <c r="AO337" s="158" t="s">
        <v>150</v>
      </c>
      <c r="AP337" s="158" t="s">
        <v>151</v>
      </c>
      <c r="AQ337" s="158" t="s">
        <v>152</v>
      </c>
      <c r="AR337" s="158" t="s">
        <v>153</v>
      </c>
      <c r="AS337" s="158" t="s">
        <v>154</v>
      </c>
      <c r="AT337" s="158" t="s">
        <v>155</v>
      </c>
      <c r="AU337" s="158" t="s">
        <v>156</v>
      </c>
      <c r="AV337" s="159" t="s">
        <v>157</v>
      </c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</row>
    <row r="338" outlineLevel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289" t="s">
        <v>377</v>
      </c>
      <c r="S338" s="243">
        <v>-1052699.0</v>
      </c>
      <c r="T338" s="243">
        <v>-1147625.0</v>
      </c>
      <c r="U338" s="243">
        <v>-989670.0</v>
      </c>
      <c r="V338" s="243">
        <v>-1071402.0</v>
      </c>
      <c r="W338" s="243">
        <v>-942742.0</v>
      </c>
      <c r="X338" s="243">
        <v>-1002559.0</v>
      </c>
      <c r="Y338" s="243">
        <v>-933859.0</v>
      </c>
      <c r="Z338" s="186" t="s">
        <v>209</v>
      </c>
      <c r="AA338" s="243">
        <v>-901666.0</v>
      </c>
      <c r="AB338" s="243">
        <v>-777747.0</v>
      </c>
      <c r="AC338" s="243">
        <v>-777747.0</v>
      </c>
      <c r="AD338" s="243">
        <v>-777747.0</v>
      </c>
      <c r="AE338" s="186" t="s">
        <v>209</v>
      </c>
      <c r="AF338" s="290">
        <v>-757421.0</v>
      </c>
      <c r="AG338" s="15"/>
      <c r="AH338" s="157" t="s">
        <v>180</v>
      </c>
      <c r="AI338" s="167">
        <v>46203.0</v>
      </c>
      <c r="AJ338" s="167">
        <v>46112.0</v>
      </c>
      <c r="AK338" s="167">
        <v>46022.0</v>
      </c>
      <c r="AL338" s="167">
        <v>45930.0</v>
      </c>
      <c r="AM338" s="167">
        <v>45838.0</v>
      </c>
      <c r="AN338" s="167">
        <v>45747.0</v>
      </c>
      <c r="AO338" s="167">
        <v>45657.0</v>
      </c>
      <c r="AP338" s="167">
        <v>45565.0</v>
      </c>
      <c r="AQ338" s="167">
        <v>45473.0</v>
      </c>
      <c r="AR338" s="167">
        <v>45382.0</v>
      </c>
      <c r="AS338" s="167">
        <v>45291.0</v>
      </c>
      <c r="AT338" s="167">
        <v>45199.0</v>
      </c>
      <c r="AU338" s="167">
        <v>45107.0</v>
      </c>
      <c r="AV338" s="167">
        <v>45016.0</v>
      </c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</row>
    <row r="339" outlineLevel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7" t="s">
        <v>425</v>
      </c>
      <c r="S339" s="186" t="s">
        <v>209</v>
      </c>
      <c r="T339" s="186" t="s">
        <v>209</v>
      </c>
      <c r="U339" s="186" t="s">
        <v>209</v>
      </c>
      <c r="V339" s="186" t="s">
        <v>209</v>
      </c>
      <c r="W339" s="186" t="s">
        <v>209</v>
      </c>
      <c r="X339" s="186" t="s">
        <v>209</v>
      </c>
      <c r="Y339" s="186" t="s">
        <v>209</v>
      </c>
      <c r="Z339" s="186" t="s">
        <v>209</v>
      </c>
      <c r="AA339" s="186" t="s">
        <v>209</v>
      </c>
      <c r="AB339" s="186" t="s">
        <v>209</v>
      </c>
      <c r="AC339" s="186" t="s">
        <v>209</v>
      </c>
      <c r="AD339" s="186" t="s">
        <v>209</v>
      </c>
      <c r="AE339" s="186" t="s">
        <v>209</v>
      </c>
      <c r="AF339" s="187" t="s">
        <v>209</v>
      </c>
      <c r="AG339" s="15"/>
      <c r="AH339" s="289" t="s">
        <v>324</v>
      </c>
      <c r="AI339" s="243">
        <v>29307.0</v>
      </c>
      <c r="AJ339" s="243">
        <v>31715.0</v>
      </c>
      <c r="AK339" s="243">
        <v>42513.0</v>
      </c>
      <c r="AL339" s="243">
        <v>22101.0</v>
      </c>
      <c r="AM339" s="243">
        <v>17737.0</v>
      </c>
      <c r="AN339" s="243">
        <v>18737.0</v>
      </c>
      <c r="AO339" s="243">
        <v>18726.0</v>
      </c>
      <c r="AP339" s="243">
        <v>14811.0</v>
      </c>
      <c r="AQ339" s="243">
        <v>19866.0</v>
      </c>
      <c r="AR339" s="243">
        <v>15343.0</v>
      </c>
      <c r="AS339" s="243">
        <v>12912.0</v>
      </c>
      <c r="AT339" s="243">
        <v>12912.0</v>
      </c>
      <c r="AU339" s="243">
        <v>13249.0</v>
      </c>
      <c r="AV339" s="290">
        <v>13249.0</v>
      </c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</row>
    <row r="340" outlineLevel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289" t="s">
        <v>380</v>
      </c>
      <c r="S340" s="186">
        <v>-178.96</v>
      </c>
      <c r="T340" s="186">
        <v>-195.1</v>
      </c>
      <c r="U340" s="186">
        <v>-171.68</v>
      </c>
      <c r="V340" s="186">
        <v>-185.86</v>
      </c>
      <c r="W340" s="186">
        <v>-163.54</v>
      </c>
      <c r="X340" s="186">
        <v>-173.91</v>
      </c>
      <c r="Y340" s="186">
        <v>-152.77</v>
      </c>
      <c r="Z340" s="186" t="s">
        <v>209</v>
      </c>
      <c r="AA340" s="186">
        <v>-542.68</v>
      </c>
      <c r="AB340" s="186">
        <v>-468.1</v>
      </c>
      <c r="AC340" s="186">
        <v>-468.1</v>
      </c>
      <c r="AD340" s="186">
        <v>-468.1</v>
      </c>
      <c r="AE340" s="186" t="s">
        <v>209</v>
      </c>
      <c r="AF340" s="187">
        <v>-455.87</v>
      </c>
      <c r="AG340" s="15"/>
      <c r="AH340" s="289" t="s">
        <v>329</v>
      </c>
      <c r="AI340" s="243">
        <v>48293.0</v>
      </c>
      <c r="AJ340" s="243">
        <v>36269.0</v>
      </c>
      <c r="AK340" s="243">
        <v>6345.0</v>
      </c>
      <c r="AL340" s="243">
        <v>50776.0</v>
      </c>
      <c r="AM340" s="186" t="s">
        <v>209</v>
      </c>
      <c r="AN340" s="243">
        <v>44644.0</v>
      </c>
      <c r="AO340" s="186" t="s">
        <v>209</v>
      </c>
      <c r="AP340" s="243">
        <v>48082.0</v>
      </c>
      <c r="AQ340" s="186" t="s">
        <v>209</v>
      </c>
      <c r="AR340" s="243">
        <v>40910.0</v>
      </c>
      <c r="AS340" s="243">
        <v>25193.0</v>
      </c>
      <c r="AT340" s="243">
        <v>25193.0</v>
      </c>
      <c r="AU340" s="243">
        <v>40079.0</v>
      </c>
      <c r="AV340" s="290">
        <v>40079.0</v>
      </c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</row>
    <row r="341" outlineLevel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289" t="s">
        <v>384</v>
      </c>
      <c r="S341" s="243">
        <v>5882.0</v>
      </c>
      <c r="T341" s="243">
        <v>5882.0</v>
      </c>
      <c r="U341" s="243">
        <v>5882.0</v>
      </c>
      <c r="V341" s="243">
        <v>5882.0</v>
      </c>
      <c r="W341" s="243">
        <v>5882.0</v>
      </c>
      <c r="X341" s="243">
        <v>5882.0</v>
      </c>
      <c r="Y341" s="243">
        <v>5000.0</v>
      </c>
      <c r="Z341" s="243">
        <v>1662.0</v>
      </c>
      <c r="AA341" s="243">
        <v>5882.0</v>
      </c>
      <c r="AB341" s="243">
        <v>1662.0</v>
      </c>
      <c r="AC341" s="243">
        <v>1662.0</v>
      </c>
      <c r="AD341" s="243">
        <v>1662.0</v>
      </c>
      <c r="AE341" s="243">
        <v>1662.0</v>
      </c>
      <c r="AF341" s="290">
        <v>1662.0</v>
      </c>
      <c r="AG341" s="15"/>
      <c r="AH341" s="15"/>
      <c r="AI341" s="252"/>
      <c r="AJ341" s="249"/>
      <c r="AK341" s="249"/>
      <c r="AL341" s="249"/>
      <c r="AM341" s="252"/>
      <c r="AN341" s="249"/>
      <c r="AO341" s="249"/>
      <c r="AP341" s="249"/>
      <c r="AQ341" s="252"/>
      <c r="AR341" s="249"/>
      <c r="AS341" s="249"/>
      <c r="AT341" s="249"/>
      <c r="AU341" s="249"/>
      <c r="AV341" s="246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</row>
    <row r="342" outlineLevel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289" t="s">
        <v>387</v>
      </c>
      <c r="S342" s="243">
        <v>5882.0</v>
      </c>
      <c r="T342" s="243">
        <v>5882.0</v>
      </c>
      <c r="U342" s="243">
        <v>5882.0</v>
      </c>
      <c r="V342" s="243">
        <v>5882.0</v>
      </c>
      <c r="W342" s="243">
        <v>5882.0</v>
      </c>
      <c r="X342" s="243">
        <v>5882.0</v>
      </c>
      <c r="Y342" s="243">
        <v>5000.0</v>
      </c>
      <c r="Z342" s="243">
        <v>1662.0</v>
      </c>
      <c r="AA342" s="243">
        <v>1662.0</v>
      </c>
      <c r="AB342" s="243">
        <v>1662.0</v>
      </c>
      <c r="AC342" s="243">
        <v>1662.0</v>
      </c>
      <c r="AD342" s="243">
        <v>1662.0</v>
      </c>
      <c r="AE342" s="243">
        <v>1662.0</v>
      </c>
      <c r="AF342" s="290">
        <v>1662.0</v>
      </c>
      <c r="AG342" s="15"/>
      <c r="AH342" s="15"/>
      <c r="AI342" s="252"/>
      <c r="AJ342" s="249"/>
      <c r="AK342" s="249"/>
      <c r="AL342" s="249"/>
      <c r="AM342" s="252"/>
      <c r="AN342" s="249"/>
      <c r="AO342" s="249"/>
      <c r="AP342" s="249"/>
      <c r="AQ342" s="252"/>
      <c r="AR342" s="249"/>
      <c r="AS342" s="249"/>
      <c r="AT342" s="249"/>
      <c r="AU342" s="249"/>
      <c r="AV342" s="246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</row>
    <row r="343" outlineLevel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289" t="s">
        <v>391</v>
      </c>
      <c r="S343" s="243">
        <v>383819.0</v>
      </c>
      <c r="T343" s="243">
        <v>378320.0</v>
      </c>
      <c r="U343" s="243">
        <v>388607.0</v>
      </c>
      <c r="V343" s="243">
        <v>250070.0</v>
      </c>
      <c r="W343" s="243">
        <v>198280.0</v>
      </c>
      <c r="X343" s="243">
        <v>260667.0</v>
      </c>
      <c r="Y343" s="243">
        <v>51573.0</v>
      </c>
      <c r="Z343" s="186" t="s">
        <v>209</v>
      </c>
      <c r="AA343" s="243">
        <v>122045.0</v>
      </c>
      <c r="AB343" s="186" t="s">
        <v>209</v>
      </c>
      <c r="AC343" s="243">
        <v>225835.0</v>
      </c>
      <c r="AD343" s="243">
        <v>225835.0</v>
      </c>
      <c r="AE343" s="186" t="s">
        <v>209</v>
      </c>
      <c r="AF343" s="187" t="s">
        <v>209</v>
      </c>
      <c r="AG343" s="15"/>
      <c r="AH343" s="15"/>
      <c r="AI343" s="252"/>
      <c r="AJ343" s="249"/>
      <c r="AK343" s="249"/>
      <c r="AL343" s="249"/>
      <c r="AM343" s="252"/>
      <c r="AN343" s="249"/>
      <c r="AO343" s="249"/>
      <c r="AP343" s="249"/>
      <c r="AQ343" s="252"/>
      <c r="AR343" s="249"/>
      <c r="AS343" s="249"/>
      <c r="AT343" s="249"/>
      <c r="AU343" s="249"/>
      <c r="AV343" s="246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</row>
    <row r="344" outlineLevel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289" t="s">
        <v>395</v>
      </c>
      <c r="S344" s="186">
        <v>189.8</v>
      </c>
      <c r="T344" s="186">
        <v>187.74</v>
      </c>
      <c r="U344" s="186">
        <v>179.35</v>
      </c>
      <c r="V344" s="186">
        <v>168.09</v>
      </c>
      <c r="W344" s="186">
        <v>159.39</v>
      </c>
      <c r="X344" s="186">
        <v>164.6</v>
      </c>
      <c r="Y344" s="186">
        <v>149.7</v>
      </c>
      <c r="Z344" s="186" t="s">
        <v>209</v>
      </c>
      <c r="AA344" s="186">
        <v>396.5</v>
      </c>
      <c r="AB344" s="186">
        <v>377.06</v>
      </c>
      <c r="AC344" s="186">
        <v>377.06</v>
      </c>
      <c r="AD344" s="186">
        <v>377.06</v>
      </c>
      <c r="AE344" s="186" t="s">
        <v>209</v>
      </c>
      <c r="AF344" s="187">
        <v>314.07</v>
      </c>
      <c r="AG344" s="15"/>
      <c r="AH344" s="15"/>
      <c r="AI344" s="252"/>
      <c r="AJ344" s="249"/>
      <c r="AK344" s="249"/>
      <c r="AL344" s="249"/>
      <c r="AM344" s="252"/>
      <c r="AN344" s="249"/>
      <c r="AO344" s="249"/>
      <c r="AP344" s="249"/>
      <c r="AQ344" s="252"/>
      <c r="AR344" s="249"/>
      <c r="AS344" s="249"/>
      <c r="AT344" s="249"/>
      <c r="AU344" s="249"/>
      <c r="AV344" s="246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</row>
    <row r="345" outlineLevel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289" t="s">
        <v>398</v>
      </c>
      <c r="S345" s="243">
        <v>1114643.0</v>
      </c>
      <c r="T345" s="243">
        <v>1102314.0</v>
      </c>
      <c r="U345" s="243">
        <v>1052712.0</v>
      </c>
      <c r="V345" s="243">
        <v>983994.0</v>
      </c>
      <c r="W345" s="243">
        <v>932352.0</v>
      </c>
      <c r="X345" s="243">
        <v>962519.0</v>
      </c>
      <c r="Y345" s="243">
        <v>742302.0</v>
      </c>
      <c r="Z345" s="186" t="s">
        <v>209</v>
      </c>
      <c r="AA345" s="243">
        <v>651612.0</v>
      </c>
      <c r="AB345" s="243">
        <v>618818.0</v>
      </c>
      <c r="AC345" s="243">
        <v>618818.0</v>
      </c>
      <c r="AD345" s="243">
        <v>618818.0</v>
      </c>
      <c r="AE345" s="186" t="s">
        <v>209</v>
      </c>
      <c r="AF345" s="290">
        <v>512620.0</v>
      </c>
      <c r="AG345" s="15"/>
      <c r="AH345" s="15"/>
      <c r="AI345" s="252"/>
      <c r="AJ345" s="249"/>
      <c r="AK345" s="249"/>
      <c r="AL345" s="249"/>
      <c r="AM345" s="252"/>
      <c r="AN345" s="249"/>
      <c r="AO345" s="249"/>
      <c r="AP345" s="249"/>
      <c r="AQ345" s="252"/>
      <c r="AR345" s="249"/>
      <c r="AS345" s="249"/>
      <c r="AT345" s="249"/>
      <c r="AU345" s="249"/>
      <c r="AV345" s="246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</row>
    <row r="346" outlineLevel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297" t="s">
        <v>400</v>
      </c>
      <c r="S346" s="293">
        <v>189.49</v>
      </c>
      <c r="T346" s="293">
        <v>187.39</v>
      </c>
      <c r="U346" s="293">
        <v>178.96</v>
      </c>
      <c r="V346" s="293">
        <v>167.28</v>
      </c>
      <c r="W346" s="293">
        <v>158.5</v>
      </c>
      <c r="X346" s="293">
        <v>163.63</v>
      </c>
      <c r="Y346" s="293">
        <v>148.46</v>
      </c>
      <c r="Z346" s="293" t="s">
        <v>209</v>
      </c>
      <c r="AA346" s="293">
        <v>392.18</v>
      </c>
      <c r="AB346" s="293">
        <v>372.45</v>
      </c>
      <c r="AC346" s="293">
        <v>372.45</v>
      </c>
      <c r="AD346" s="293">
        <v>372.45</v>
      </c>
      <c r="AE346" s="293" t="s">
        <v>209</v>
      </c>
      <c r="AF346" s="295">
        <v>308.53</v>
      </c>
      <c r="AG346" s="15"/>
      <c r="AH346" s="15"/>
      <c r="AI346" s="252"/>
      <c r="AJ346" s="249"/>
      <c r="AK346" s="249"/>
      <c r="AL346" s="249"/>
      <c r="AM346" s="252"/>
      <c r="AN346" s="249"/>
      <c r="AO346" s="249"/>
      <c r="AP346" s="249"/>
      <c r="AQ346" s="252"/>
      <c r="AR346" s="249"/>
      <c r="AS346" s="249"/>
      <c r="AT346" s="249"/>
      <c r="AU346" s="249"/>
      <c r="AV346" s="246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</row>
    <row r="347" outlineLevel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289" t="s">
        <v>403</v>
      </c>
      <c r="S347" s="243">
        <v>132923.0</v>
      </c>
      <c r="T347" s="243">
        <v>132923.0</v>
      </c>
      <c r="U347" s="243">
        <v>132923.0</v>
      </c>
      <c r="V347" s="243">
        <v>132923.0</v>
      </c>
      <c r="W347" s="243">
        <v>132923.0</v>
      </c>
      <c r="X347" s="243">
        <v>132923.0</v>
      </c>
      <c r="Y347" s="243">
        <v>132923.0</v>
      </c>
      <c r="Z347" s="186" t="s">
        <v>209</v>
      </c>
      <c r="AA347" s="243">
        <v>132923.0</v>
      </c>
      <c r="AB347" s="186" t="s">
        <v>209</v>
      </c>
      <c r="AC347" s="243">
        <v>132923.0</v>
      </c>
      <c r="AD347" s="243">
        <v>132923.0</v>
      </c>
      <c r="AE347" s="186" t="s">
        <v>209</v>
      </c>
      <c r="AF347" s="187" t="s">
        <v>209</v>
      </c>
      <c r="AG347" s="15"/>
      <c r="AH347" s="15"/>
      <c r="AI347" s="252"/>
      <c r="AJ347" s="249"/>
      <c r="AK347" s="249"/>
      <c r="AL347" s="249"/>
      <c r="AM347" s="252"/>
      <c r="AN347" s="249"/>
      <c r="AO347" s="249"/>
      <c r="AP347" s="249"/>
      <c r="AQ347" s="252"/>
      <c r="AR347" s="249"/>
      <c r="AS347" s="249"/>
      <c r="AT347" s="249"/>
      <c r="AU347" s="249"/>
      <c r="AV347" s="246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</row>
    <row r="348" outlineLevel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289" t="s">
        <v>406</v>
      </c>
      <c r="S348" s="243">
        <v>268677.0</v>
      </c>
      <c r="T348" s="243">
        <v>264185.0</v>
      </c>
      <c r="U348" s="243">
        <v>264185.0</v>
      </c>
      <c r="V348" s="243">
        <v>265420.0</v>
      </c>
      <c r="W348" s="243">
        <v>144451.0</v>
      </c>
      <c r="X348" s="243">
        <v>144071.0</v>
      </c>
      <c r="Y348" s="243">
        <v>144039.0</v>
      </c>
      <c r="Z348" s="186" t="s">
        <v>209</v>
      </c>
      <c r="AA348" s="243">
        <v>137863.0</v>
      </c>
      <c r="AB348" s="186" t="s">
        <v>209</v>
      </c>
      <c r="AC348" s="243">
        <v>135655.0</v>
      </c>
      <c r="AD348" s="243">
        <v>135655.0</v>
      </c>
      <c r="AE348" s="186" t="s">
        <v>209</v>
      </c>
      <c r="AF348" s="187" t="s">
        <v>209</v>
      </c>
      <c r="AG348" s="15"/>
      <c r="AH348" s="15"/>
      <c r="AI348" s="252"/>
      <c r="AJ348" s="249"/>
      <c r="AK348" s="249"/>
      <c r="AL348" s="249"/>
      <c r="AM348" s="252"/>
      <c r="AN348" s="249"/>
      <c r="AO348" s="249"/>
      <c r="AP348" s="249"/>
      <c r="AQ348" s="252"/>
      <c r="AR348" s="249"/>
      <c r="AS348" s="249"/>
      <c r="AT348" s="249"/>
      <c r="AU348" s="249"/>
      <c r="AV348" s="246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</row>
    <row r="349" outlineLevel="1"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289" t="s">
        <v>408</v>
      </c>
      <c r="S349" s="243">
        <v>208930.0</v>
      </c>
      <c r="T349" s="243">
        <v>189520.0</v>
      </c>
      <c r="U349" s="243">
        <v>187248.0</v>
      </c>
      <c r="V349" s="243">
        <v>203535.0</v>
      </c>
      <c r="W349" s="243">
        <v>112046.0</v>
      </c>
      <c r="X349" s="243">
        <v>106783.0</v>
      </c>
      <c r="Y349" s="243">
        <v>102957.0</v>
      </c>
      <c r="Z349" s="186" t="s">
        <v>209</v>
      </c>
      <c r="AA349" s="243">
        <v>82919.0</v>
      </c>
      <c r="AB349" s="186" t="s">
        <v>209</v>
      </c>
      <c r="AC349" s="243">
        <v>75946.0</v>
      </c>
      <c r="AD349" s="243">
        <v>75946.0</v>
      </c>
      <c r="AE349" s="186" t="s">
        <v>209</v>
      </c>
      <c r="AF349" s="187" t="s">
        <v>209</v>
      </c>
      <c r="AG349" s="15"/>
      <c r="AH349" s="15"/>
      <c r="AI349" s="252"/>
      <c r="AJ349" s="249"/>
      <c r="AK349" s="249"/>
      <c r="AL349" s="249"/>
      <c r="AM349" s="252"/>
      <c r="AN349" s="249"/>
      <c r="AO349" s="249"/>
      <c r="AP349" s="249"/>
      <c r="AQ349" s="252"/>
      <c r="AR349" s="249"/>
      <c r="AS349" s="249"/>
      <c r="AT349" s="249"/>
      <c r="AU349" s="249"/>
      <c r="AV349" s="246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</row>
    <row r="350" outlineLevel="1"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289" t="s">
        <v>409</v>
      </c>
      <c r="S350" s="243">
        <v>9392.0</v>
      </c>
      <c r="T350" s="243">
        <v>23097.0</v>
      </c>
      <c r="U350" s="243">
        <v>19216.0</v>
      </c>
      <c r="V350" s="243">
        <v>1883.0</v>
      </c>
      <c r="W350" s="243">
        <v>207519.0</v>
      </c>
      <c r="X350" s="243">
        <v>205333.0</v>
      </c>
      <c r="Y350" s="243">
        <v>199072.0</v>
      </c>
      <c r="Z350" s="186" t="s">
        <v>209</v>
      </c>
      <c r="AA350" s="243">
        <v>138757.0</v>
      </c>
      <c r="AB350" s="186" t="s">
        <v>209</v>
      </c>
      <c r="AC350" s="243">
        <v>74877.0</v>
      </c>
      <c r="AD350" s="243">
        <v>74877.0</v>
      </c>
      <c r="AE350" s="186" t="s">
        <v>209</v>
      </c>
      <c r="AF350" s="187" t="s">
        <v>209</v>
      </c>
      <c r="AG350" s="15"/>
      <c r="AH350" s="15"/>
      <c r="AI350" s="252"/>
      <c r="AJ350" s="252"/>
      <c r="AK350" s="252"/>
      <c r="AL350" s="252"/>
      <c r="AM350" s="252"/>
      <c r="AN350" s="252"/>
      <c r="AO350" s="252"/>
      <c r="AP350" s="252"/>
      <c r="AQ350" s="252"/>
      <c r="AR350" s="252"/>
      <c r="AS350" s="252"/>
      <c r="AT350" s="252"/>
      <c r="AU350" s="252"/>
      <c r="AV350" s="253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</row>
    <row r="351" outlineLevel="1"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249"/>
      <c r="AI351" s="249"/>
      <c r="AJ351" s="249"/>
      <c r="AK351" s="249"/>
      <c r="AL351" s="249"/>
      <c r="AM351" s="249"/>
      <c r="AN351" s="249"/>
      <c r="AO351" s="249"/>
      <c r="AP351" s="249"/>
      <c r="AQ351" s="249"/>
      <c r="AR351" s="249"/>
      <c r="AS351" s="249"/>
      <c r="AT351" s="249"/>
      <c r="AU351" s="249"/>
      <c r="AV351" s="246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</row>
    <row r="352" outlineLevel="1"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249"/>
      <c r="AI352" s="248"/>
      <c r="AJ352" s="248"/>
      <c r="AK352" s="248"/>
      <c r="AL352" s="248"/>
      <c r="AM352" s="248"/>
      <c r="AN352" s="248"/>
      <c r="AO352" s="249"/>
      <c r="AP352" s="249"/>
      <c r="AQ352" s="249"/>
      <c r="AR352" s="249"/>
      <c r="AS352" s="248"/>
      <c r="AT352" s="249"/>
      <c r="AU352" s="249"/>
      <c r="AV352" s="246"/>
      <c r="AW352" s="15"/>
      <c r="AX352" s="15"/>
      <c r="AY352" s="250"/>
      <c r="AZ352" s="250"/>
      <c r="BA352" s="250"/>
      <c r="BB352" s="250"/>
      <c r="BC352" s="250"/>
      <c r="BD352" s="250"/>
      <c r="BE352" s="250"/>
      <c r="BF352" s="250"/>
      <c r="BG352" s="250"/>
      <c r="BH352" s="250"/>
      <c r="BI352" s="250"/>
      <c r="BJ352" s="250"/>
      <c r="BK352" s="250"/>
      <c r="BL352" s="250"/>
      <c r="BM352" s="251"/>
      <c r="BN352" s="15"/>
    </row>
    <row r="353" outlineLevel="1"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250"/>
      <c r="T353" s="250"/>
      <c r="U353" s="250"/>
      <c r="V353" s="250"/>
      <c r="W353" s="250"/>
      <c r="X353" s="250"/>
      <c r="Y353" s="250"/>
      <c r="Z353" s="250"/>
      <c r="AA353" s="250"/>
      <c r="AB353" s="250"/>
      <c r="AC353" s="250"/>
      <c r="AD353" s="250"/>
      <c r="AE353" s="250"/>
      <c r="AF353" s="251"/>
      <c r="AG353" s="15"/>
      <c r="AH353" s="249"/>
      <c r="AI353" s="248"/>
      <c r="AJ353" s="248"/>
      <c r="AK353" s="248"/>
      <c r="AL353" s="248"/>
      <c r="AM353" s="248"/>
      <c r="AN353" s="248"/>
      <c r="AO353" s="249"/>
      <c r="AP353" s="249"/>
      <c r="AQ353" s="249"/>
      <c r="AR353" s="249"/>
      <c r="AS353" s="248"/>
      <c r="AT353" s="249"/>
      <c r="AU353" s="249"/>
      <c r="AV353" s="246"/>
      <c r="AW353" s="15"/>
      <c r="AX353" s="15"/>
      <c r="AY353" s="170"/>
      <c r="AZ353" s="170"/>
      <c r="BA353" s="170"/>
      <c r="BB353" s="170"/>
      <c r="BC353" s="170"/>
      <c r="BD353" s="170"/>
      <c r="BE353" s="170"/>
      <c r="BF353" s="170"/>
      <c r="BG353" s="170"/>
      <c r="BH353" s="170"/>
      <c r="BI353" s="170"/>
      <c r="BJ353" s="170"/>
      <c r="BK353" s="170"/>
      <c r="BL353" s="170"/>
      <c r="BM353" s="170"/>
      <c r="BN353" s="15"/>
    </row>
    <row r="354" outlineLevel="1"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70"/>
      <c r="T354" s="170"/>
      <c r="U354" s="170"/>
      <c r="V354" s="170"/>
      <c r="W354" s="170"/>
      <c r="X354" s="170"/>
      <c r="Y354" s="170"/>
      <c r="Z354" s="170"/>
      <c r="AA354" s="170"/>
      <c r="AB354" s="170"/>
      <c r="AC354" s="170"/>
      <c r="AD354" s="170"/>
      <c r="AE354" s="170"/>
      <c r="AF354" s="170"/>
      <c r="AG354" s="15"/>
      <c r="AH354" s="249"/>
      <c r="AI354" s="248"/>
      <c r="AJ354" s="248"/>
      <c r="AK354" s="248"/>
      <c r="AL354" s="248"/>
      <c r="AM354" s="248"/>
      <c r="AN354" s="248"/>
      <c r="AO354" s="248"/>
      <c r="AP354" s="248"/>
      <c r="AQ354" s="248"/>
      <c r="AR354" s="248"/>
      <c r="AS354" s="248"/>
      <c r="AT354" s="248"/>
      <c r="AU354" s="248"/>
      <c r="AV354" s="254"/>
      <c r="AW354" s="15"/>
      <c r="AX354" s="15"/>
      <c r="AY354" s="252"/>
      <c r="AZ354" s="252"/>
      <c r="BA354" s="252"/>
      <c r="BB354" s="252"/>
      <c r="BC354" s="252"/>
      <c r="BD354" s="252"/>
      <c r="BE354" s="252"/>
      <c r="BF354" s="249"/>
      <c r="BG354" s="249"/>
      <c r="BH354" s="249"/>
      <c r="BI354" s="249"/>
      <c r="BJ354" s="249"/>
      <c r="BK354" s="249"/>
      <c r="BL354" s="249"/>
      <c r="BM354" s="246"/>
      <c r="BN354" s="15"/>
    </row>
    <row r="355" outlineLevel="1"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249"/>
      <c r="S355" s="248"/>
      <c r="T355" s="248"/>
      <c r="U355" s="248"/>
      <c r="V355" s="248"/>
      <c r="W355" s="248"/>
      <c r="X355" s="248"/>
      <c r="Y355" s="248"/>
      <c r="Z355" s="249"/>
      <c r="AA355" s="248"/>
      <c r="AB355" s="248"/>
      <c r="AC355" s="248"/>
      <c r="AD355" s="248"/>
      <c r="AE355" s="249"/>
      <c r="AF355" s="254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252"/>
      <c r="AZ355" s="252"/>
      <c r="BA355" s="252"/>
      <c r="BB355" s="252"/>
      <c r="BC355" s="252"/>
      <c r="BD355" s="252"/>
      <c r="BE355" s="252"/>
      <c r="BF355" s="249"/>
      <c r="BG355" s="249"/>
      <c r="BH355" s="249"/>
      <c r="BI355" s="249"/>
      <c r="BJ355" s="249"/>
      <c r="BK355" s="249"/>
      <c r="BL355" s="249"/>
      <c r="BM355" s="246"/>
      <c r="BN355" s="15"/>
    </row>
    <row r="356" outlineLevel="1"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249"/>
      <c r="S356" s="248"/>
      <c r="T356" s="248"/>
      <c r="U356" s="248"/>
      <c r="V356" s="248"/>
      <c r="W356" s="248"/>
      <c r="X356" s="248"/>
      <c r="Y356" s="248"/>
      <c r="Z356" s="249"/>
      <c r="AA356" s="248"/>
      <c r="AB356" s="248"/>
      <c r="AC356" s="248"/>
      <c r="AD356" s="248"/>
      <c r="AE356" s="249"/>
      <c r="AF356" s="254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252"/>
      <c r="AZ356" s="249"/>
      <c r="BA356" s="249"/>
      <c r="BB356" s="252"/>
      <c r="BC356" s="249"/>
      <c r="BD356" s="252"/>
      <c r="BE356" s="249"/>
      <c r="BF356" s="249"/>
      <c r="BG356" s="249"/>
      <c r="BH356" s="249"/>
      <c r="BI356" s="249"/>
      <c r="BJ356" s="249"/>
      <c r="BK356" s="249"/>
      <c r="BL356" s="249"/>
      <c r="BM356" s="246"/>
      <c r="BN356" s="15"/>
    </row>
    <row r="357" outlineLevel="1"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249"/>
      <c r="T357" s="249"/>
      <c r="U357" s="249"/>
      <c r="V357" s="249"/>
      <c r="W357" s="249"/>
      <c r="X357" s="249"/>
      <c r="Y357" s="249"/>
      <c r="Z357" s="249"/>
      <c r="AA357" s="249"/>
      <c r="AB357" s="249"/>
      <c r="AC357" s="249"/>
      <c r="AD357" s="249"/>
      <c r="AE357" s="249"/>
      <c r="AF357" s="246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252"/>
      <c r="AZ357" s="249"/>
      <c r="BA357" s="249"/>
      <c r="BB357" s="252"/>
      <c r="BC357" s="252"/>
      <c r="BD357" s="249"/>
      <c r="BE357" s="249"/>
      <c r="BF357" s="249"/>
      <c r="BG357" s="252"/>
      <c r="BH357" s="249"/>
      <c r="BI357" s="249"/>
      <c r="BJ357" s="249"/>
      <c r="BK357" s="249"/>
      <c r="BL357" s="249"/>
      <c r="BM357" s="246"/>
      <c r="BN357" s="15"/>
    </row>
    <row r="358" outlineLevel="1"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249"/>
      <c r="S358" s="249"/>
      <c r="T358" s="249"/>
      <c r="U358" s="249"/>
      <c r="V358" s="249"/>
      <c r="W358" s="249"/>
      <c r="X358" s="249"/>
      <c r="Y358" s="249"/>
      <c r="Z358" s="249"/>
      <c r="AA358" s="249"/>
      <c r="AB358" s="249"/>
      <c r="AC358" s="249"/>
      <c r="AD358" s="249"/>
      <c r="AE358" s="249"/>
      <c r="AF358" s="246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252"/>
      <c r="AZ358" s="252"/>
      <c r="BA358" s="252"/>
      <c r="BB358" s="252"/>
      <c r="BC358" s="252"/>
      <c r="BD358" s="252"/>
      <c r="BE358" s="252"/>
      <c r="BF358" s="252"/>
      <c r="BG358" s="249"/>
      <c r="BH358" s="249"/>
      <c r="BI358" s="249"/>
      <c r="BJ358" s="249"/>
      <c r="BK358" s="249"/>
      <c r="BL358" s="249"/>
      <c r="BM358" s="246"/>
      <c r="BN358" s="15"/>
    </row>
    <row r="359" outlineLevel="1"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249"/>
      <c r="S359" s="248"/>
      <c r="T359" s="248"/>
      <c r="U359" s="248"/>
      <c r="V359" s="248"/>
      <c r="W359" s="248"/>
      <c r="X359" s="248"/>
      <c r="Y359" s="248"/>
      <c r="Z359" s="248"/>
      <c r="AA359" s="248"/>
      <c r="AB359" s="248"/>
      <c r="AC359" s="248"/>
      <c r="AD359" s="248"/>
      <c r="AE359" s="248"/>
      <c r="AF359" s="254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252"/>
      <c r="AZ359" s="252"/>
      <c r="BA359" s="252"/>
      <c r="BB359" s="252"/>
      <c r="BC359" s="252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</row>
    <row r="360" outlineLevel="1">
      <c r="R360" s="256"/>
      <c r="S360" s="257"/>
      <c r="T360" s="257"/>
      <c r="U360" s="257"/>
      <c r="V360" s="257"/>
      <c r="W360" s="257"/>
      <c r="X360" s="257"/>
      <c r="Y360" s="257"/>
      <c r="Z360" s="257"/>
      <c r="AA360" s="257"/>
      <c r="AB360" s="257"/>
      <c r="AC360" s="257"/>
      <c r="AD360" s="257"/>
      <c r="AE360" s="257"/>
      <c r="AF360" s="265"/>
      <c r="AH360" s="261"/>
      <c r="AI360" s="315"/>
      <c r="AJ360" s="315"/>
      <c r="AK360" s="315"/>
      <c r="AL360" s="315"/>
      <c r="AM360" s="315"/>
      <c r="AN360" s="315"/>
      <c r="AO360" s="315"/>
      <c r="AP360" s="315"/>
      <c r="AQ360" s="315"/>
      <c r="AR360" s="315"/>
      <c r="AS360" s="315"/>
      <c r="AT360" s="315"/>
      <c r="AU360" s="315"/>
      <c r="AV360" s="316"/>
    </row>
    <row r="361" outlineLevel="1">
      <c r="R361" s="256"/>
      <c r="S361" s="257"/>
      <c r="T361" s="257"/>
      <c r="U361" s="257"/>
      <c r="V361" s="257"/>
      <c r="W361" s="257"/>
      <c r="X361" s="257"/>
      <c r="Y361" s="257"/>
      <c r="Z361" s="259"/>
      <c r="AA361" s="257"/>
      <c r="AB361" s="259"/>
      <c r="AC361" s="257"/>
      <c r="AD361" s="257"/>
      <c r="AE361" s="259"/>
      <c r="AF361" s="264"/>
      <c r="AH361" s="261"/>
      <c r="AI361" s="317"/>
      <c r="AJ361" s="317"/>
      <c r="AK361" s="317"/>
      <c r="AL361" s="317"/>
      <c r="AM361" s="317"/>
      <c r="AN361" s="317"/>
      <c r="AO361" s="317"/>
      <c r="AP361" s="317"/>
      <c r="AQ361" s="317"/>
      <c r="AR361" s="317"/>
      <c r="AS361" s="317"/>
      <c r="AT361" s="317"/>
      <c r="AU361" s="317"/>
      <c r="AV361" s="317"/>
    </row>
    <row r="362" outlineLevel="1">
      <c r="R362" s="256"/>
      <c r="S362" s="259"/>
      <c r="T362" s="259"/>
      <c r="U362" s="259"/>
      <c r="V362" s="259"/>
      <c r="W362" s="259"/>
      <c r="X362" s="259"/>
      <c r="Y362" s="259"/>
      <c r="Z362" s="259"/>
      <c r="AA362" s="259"/>
      <c r="AB362" s="259"/>
      <c r="AC362" s="259"/>
      <c r="AD362" s="259"/>
      <c r="AE362" s="259"/>
      <c r="AF362" s="264"/>
      <c r="AH362" s="256"/>
      <c r="AI362" s="257"/>
      <c r="AJ362" s="257"/>
      <c r="AK362" s="257"/>
      <c r="AL362" s="257"/>
      <c r="AM362" s="257"/>
      <c r="AN362" s="257"/>
      <c r="AO362" s="257"/>
      <c r="AP362" s="257"/>
      <c r="AQ362" s="257"/>
      <c r="AR362" s="257"/>
      <c r="AS362" s="257"/>
      <c r="AT362" s="257"/>
      <c r="AU362" s="257"/>
      <c r="AV362" s="265"/>
    </row>
    <row r="363" collapsed="1">
      <c r="A363" s="150"/>
      <c r="B363" s="318" t="s">
        <v>55</v>
      </c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319" t="s">
        <v>398</v>
      </c>
      <c r="S363" s="320">
        <v>1114643.0</v>
      </c>
      <c r="T363" s="320">
        <v>1102314.0</v>
      </c>
      <c r="U363" s="320">
        <v>1052712.0</v>
      </c>
      <c r="V363" s="320">
        <v>983994.0</v>
      </c>
      <c r="W363" s="320">
        <v>932352.0</v>
      </c>
      <c r="X363" s="320">
        <v>962519.0</v>
      </c>
      <c r="Y363" s="320">
        <v>742302.0</v>
      </c>
      <c r="Z363" s="321" t="s">
        <v>209</v>
      </c>
      <c r="AA363" s="320">
        <v>651612.0</v>
      </c>
      <c r="AB363" s="320">
        <v>618818.0</v>
      </c>
      <c r="AC363" s="320">
        <v>618818.0</v>
      </c>
      <c r="AD363" s="320">
        <v>618818.0</v>
      </c>
      <c r="AE363" s="321" t="s">
        <v>209</v>
      </c>
      <c r="AF363" s="322">
        <v>512620.0</v>
      </c>
      <c r="AG363" s="150"/>
      <c r="AH363" s="319" t="s">
        <v>329</v>
      </c>
      <c r="AI363" s="320">
        <v>48293.0</v>
      </c>
      <c r="AJ363" s="320">
        <v>36269.0</v>
      </c>
      <c r="AK363" s="320">
        <v>6345.0</v>
      </c>
      <c r="AL363" s="320">
        <v>50776.0</v>
      </c>
      <c r="AM363" s="321" t="s">
        <v>209</v>
      </c>
      <c r="AN363" s="320">
        <v>44644.0</v>
      </c>
      <c r="AO363" s="321" t="s">
        <v>209</v>
      </c>
      <c r="AP363" s="320">
        <v>48082.0</v>
      </c>
      <c r="AQ363" s="321" t="s">
        <v>209</v>
      </c>
      <c r="AR363" s="320">
        <v>40910.0</v>
      </c>
      <c r="AS363" s="320">
        <v>25193.0</v>
      </c>
      <c r="AT363" s="320">
        <v>25193.0</v>
      </c>
      <c r="AU363" s="320">
        <v>40079.0</v>
      </c>
      <c r="AV363" s="322">
        <v>40079.0</v>
      </c>
      <c r="AZ363" s="150"/>
      <c r="BA363" s="150"/>
      <c r="BB363" s="150"/>
      <c r="BC363" s="150"/>
      <c r="BD363" s="150"/>
      <c r="BE363" s="150"/>
      <c r="BF363" s="150"/>
      <c r="BG363" s="150"/>
      <c r="BH363" s="150"/>
      <c r="BI363" s="150"/>
      <c r="BJ363" s="150"/>
      <c r="BK363" s="150"/>
      <c r="BL363" s="150"/>
      <c r="BM363" s="150"/>
      <c r="BN363" s="150"/>
      <c r="BO363" s="150"/>
      <c r="BP363" s="150"/>
      <c r="BQ363" s="150"/>
      <c r="BR363" s="150"/>
      <c r="BS363" s="150"/>
      <c r="BT363" s="150"/>
      <c r="BU363" s="150"/>
      <c r="BV363" s="150"/>
      <c r="BW363" s="150"/>
      <c r="BX363" s="150"/>
      <c r="BY363" s="150"/>
      <c r="BZ363" s="150"/>
      <c r="CA363" s="150"/>
      <c r="CB363" s="150"/>
      <c r="CC363" s="150"/>
      <c r="CD363" s="150"/>
      <c r="CE363" s="150"/>
      <c r="CF363" s="150"/>
      <c r="CG363" s="150"/>
      <c r="CH363" s="150"/>
      <c r="CI363" s="150"/>
      <c r="CJ363" s="150"/>
      <c r="CK363" s="150"/>
      <c r="CL363" s="150"/>
      <c r="CM363" s="150"/>
      <c r="CN363" s="150"/>
      <c r="CO363" s="150"/>
      <c r="CP363" s="150"/>
      <c r="CQ363" s="150"/>
      <c r="CR363" s="150"/>
      <c r="CS363" s="150"/>
      <c r="CT363" s="150"/>
      <c r="CU363" s="150"/>
      <c r="CV363" s="150"/>
      <c r="CW363" s="150"/>
      <c r="CX363" s="150"/>
      <c r="CY363" s="150"/>
      <c r="CZ363" s="150"/>
      <c r="DA363" s="150"/>
      <c r="DB363" s="150"/>
      <c r="DC363" s="150"/>
      <c r="DD363" s="150"/>
    </row>
    <row r="364" hidden="1" outlineLevel="1">
      <c r="R364" s="319" t="s">
        <v>400</v>
      </c>
      <c r="S364" s="321">
        <v>18949.0</v>
      </c>
      <c r="T364" s="321">
        <v>18739.0</v>
      </c>
      <c r="U364" s="321">
        <v>17896.0</v>
      </c>
      <c r="V364" s="321">
        <v>16728.0</v>
      </c>
      <c r="W364" s="321">
        <v>1585.0</v>
      </c>
      <c r="X364" s="321">
        <v>16363.0</v>
      </c>
      <c r="Y364" s="321">
        <v>14846.0</v>
      </c>
      <c r="Z364" s="321" t="s">
        <v>209</v>
      </c>
      <c r="AA364" s="321">
        <v>39218.0</v>
      </c>
      <c r="AB364" s="321">
        <v>37245.0</v>
      </c>
      <c r="AC364" s="321">
        <v>37245.0</v>
      </c>
      <c r="AD364" s="321">
        <v>37245.0</v>
      </c>
      <c r="AE364" s="321" t="s">
        <v>209</v>
      </c>
      <c r="AF364" s="323">
        <v>30853.0</v>
      </c>
    </row>
    <row r="365" hidden="1" outlineLevel="1">
      <c r="B365" s="60" t="s">
        <v>214</v>
      </c>
      <c r="C365" s="60" t="s">
        <v>509</v>
      </c>
      <c r="D365" s="60" t="s">
        <v>510</v>
      </c>
      <c r="E365" s="60" t="s">
        <v>511</v>
      </c>
      <c r="F365" s="60" t="s">
        <v>512</v>
      </c>
      <c r="G365" s="60" t="s">
        <v>513</v>
      </c>
      <c r="H365" s="60" t="s">
        <v>514</v>
      </c>
      <c r="J365" s="60"/>
      <c r="R365" s="319" t="s">
        <v>406</v>
      </c>
      <c r="S365" s="320">
        <v>268677.0</v>
      </c>
      <c r="T365" s="320">
        <v>264185.0</v>
      </c>
      <c r="U365" s="320">
        <v>264185.0</v>
      </c>
      <c r="V365" s="320">
        <v>265420.0</v>
      </c>
      <c r="W365" s="320">
        <v>144451.0</v>
      </c>
      <c r="X365" s="320">
        <v>144071.0</v>
      </c>
      <c r="Y365" s="320">
        <v>144039.0</v>
      </c>
      <c r="Z365" s="321" t="s">
        <v>209</v>
      </c>
      <c r="AA365" s="320">
        <v>137863.0</v>
      </c>
      <c r="AB365" s="321" t="s">
        <v>209</v>
      </c>
      <c r="AC365" s="320">
        <v>135655.0</v>
      </c>
      <c r="AD365" s="320">
        <v>135655.0</v>
      </c>
      <c r="AE365" s="321" t="s">
        <v>209</v>
      </c>
      <c r="AF365" s="323" t="s">
        <v>209</v>
      </c>
    </row>
    <row r="366" hidden="1" outlineLevel="1">
      <c r="C366" s="324">
        <v>3.815086E8</v>
      </c>
      <c r="D366" s="324">
        <v>5.188106E8</v>
      </c>
      <c r="E366" s="324">
        <v>4.633352E8</v>
      </c>
      <c r="F366" s="324">
        <v>3.083339E8</v>
      </c>
      <c r="G366" s="324">
        <v>2.268537E8</v>
      </c>
      <c r="H366" s="325">
        <v>4432000.0</v>
      </c>
      <c r="R366" s="319" t="s">
        <v>408</v>
      </c>
      <c r="S366" s="320">
        <v>208930.0</v>
      </c>
      <c r="T366" s="320">
        <v>189520.0</v>
      </c>
      <c r="U366" s="320">
        <v>187248.0</v>
      </c>
      <c r="V366" s="320">
        <v>203535.0</v>
      </c>
      <c r="W366" s="320">
        <v>112046.0</v>
      </c>
      <c r="X366" s="320">
        <v>106783.0</v>
      </c>
      <c r="Y366" s="320">
        <v>102957.0</v>
      </c>
      <c r="Z366" s="321" t="s">
        <v>209</v>
      </c>
      <c r="AA366" s="320">
        <v>82919.0</v>
      </c>
      <c r="AB366" s="321" t="s">
        <v>209</v>
      </c>
      <c r="AC366" s="320">
        <v>75946.0</v>
      </c>
      <c r="AD366" s="320">
        <v>75946.0</v>
      </c>
      <c r="AE366" s="321" t="s">
        <v>209</v>
      </c>
      <c r="AF366" s="323" t="s">
        <v>209</v>
      </c>
    </row>
    <row r="367" hidden="1" outlineLevel="1">
      <c r="R367" s="319" t="s">
        <v>409</v>
      </c>
      <c r="S367" s="320">
        <v>9392.0</v>
      </c>
      <c r="T367" s="320">
        <v>23097.0</v>
      </c>
      <c r="U367" s="320">
        <v>19216.0</v>
      </c>
      <c r="V367" s="320">
        <v>1883.0</v>
      </c>
      <c r="W367" s="321"/>
    </row>
    <row r="368" hidden="1" outlineLevel="1">
      <c r="B368" s="326" t="s">
        <v>515</v>
      </c>
      <c r="C368" s="87" t="s">
        <v>140</v>
      </c>
      <c r="D368" s="87" t="s">
        <v>141</v>
      </c>
      <c r="E368" s="87" t="s">
        <v>142</v>
      </c>
      <c r="F368" s="88" t="s">
        <v>143</v>
      </c>
      <c r="G368" s="327" t="s">
        <v>139</v>
      </c>
      <c r="R368" s="328"/>
    </row>
    <row r="369" hidden="1" outlineLevel="1">
      <c r="B369" s="60" t="s">
        <v>516</v>
      </c>
      <c r="C369" s="324">
        <f t="shared" ref="C369:F369" si="101">(D366+C366)/2</f>
        <v>450159600</v>
      </c>
      <c r="D369" s="324">
        <f t="shared" si="101"/>
        <v>491072900</v>
      </c>
      <c r="E369" s="324">
        <f t="shared" si="101"/>
        <v>385834550</v>
      </c>
      <c r="F369" s="324">
        <f t="shared" si="101"/>
        <v>267593800</v>
      </c>
      <c r="G369" s="324">
        <f>(H366+C366)/2</f>
        <v>192970300</v>
      </c>
    </row>
    <row r="370" hidden="1" outlineLevel="1">
      <c r="B370" s="60" t="s">
        <v>517</v>
      </c>
      <c r="C370" s="324">
        <v>1.8519276E9</v>
      </c>
      <c r="D370" s="324">
        <v>1.610469E9</v>
      </c>
      <c r="E370" s="324">
        <v>1.7106145E9</v>
      </c>
      <c r="F370" s="324">
        <v>1.5579105E9</v>
      </c>
      <c r="G370" s="324">
        <v>2.1199E9</v>
      </c>
    </row>
    <row r="371" hidden="1" outlineLevel="1">
      <c r="B371" s="60" t="s">
        <v>20</v>
      </c>
      <c r="C371" s="324">
        <f t="shared" ref="C371:G371" si="102">C370/C369</f>
        <v>4.113935591</v>
      </c>
      <c r="D371" s="324">
        <f t="shared" si="102"/>
        <v>3.279490683</v>
      </c>
      <c r="E371" s="324">
        <f t="shared" si="102"/>
        <v>4.433544119</v>
      </c>
      <c r="F371" s="324">
        <f t="shared" si="102"/>
        <v>5.821923004</v>
      </c>
      <c r="G371" s="324">
        <f t="shared" si="102"/>
        <v>10.98562836</v>
      </c>
    </row>
    <row r="372" hidden="1" outlineLevel="1"/>
    <row r="373" hidden="1" outlineLevel="1">
      <c r="B373" s="60" t="s">
        <v>518</v>
      </c>
      <c r="C373" s="324">
        <v>1.3812421E9</v>
      </c>
      <c r="D373" s="324">
        <v>1.4787449E9</v>
      </c>
      <c r="E373" s="324">
        <v>2.106858E9</v>
      </c>
      <c r="F373" s="324">
        <v>1.1885323E9</v>
      </c>
    </row>
    <row r="374" hidden="1" outlineLevel="1">
      <c r="B374" s="60" t="s">
        <v>519</v>
      </c>
      <c r="C374" s="324">
        <v>4.576044E8</v>
      </c>
      <c r="D374" s="324">
        <v>7.239404E8</v>
      </c>
      <c r="E374" s="324">
        <v>8.609058E8</v>
      </c>
      <c r="F374" s="324">
        <v>7.275819E8</v>
      </c>
    </row>
    <row r="375" hidden="1" outlineLevel="1">
      <c r="B375" s="60" t="s">
        <v>17</v>
      </c>
      <c r="C375" s="324">
        <f t="shared" ref="C375:F375" si="103">(C373-C366)/C374</f>
        <v>2.184711292</v>
      </c>
      <c r="D375" s="324">
        <f t="shared" si="103"/>
        <v>1.325985261</v>
      </c>
      <c r="E375" s="324">
        <f t="shared" si="103"/>
        <v>1.909062292</v>
      </c>
      <c r="F375" s="324">
        <f t="shared" si="103"/>
        <v>1.209758517</v>
      </c>
    </row>
    <row r="376" hidden="1" outlineLevel="1"/>
    <row r="377" hidden="1" outlineLevel="1"/>
    <row r="378" hidden="1" outlineLevel="1">
      <c r="B378" s="138" t="s">
        <v>520</v>
      </c>
    </row>
    <row r="379" hidden="1" outlineLevel="1">
      <c r="B379" s="329" t="s">
        <v>31</v>
      </c>
      <c r="C379" s="56">
        <v>21.6</v>
      </c>
    </row>
    <row r="380" hidden="1" outlineLevel="1">
      <c r="B380" s="329" t="s">
        <v>32</v>
      </c>
      <c r="C380" s="56">
        <v>25.15</v>
      </c>
    </row>
    <row r="381" hidden="1" outlineLevel="1">
      <c r="B381" s="329" t="s">
        <v>33</v>
      </c>
      <c r="C381" s="56">
        <v>51.1</v>
      </c>
    </row>
    <row r="382" hidden="1" outlineLevel="1">
      <c r="B382" s="329" t="s">
        <v>34</v>
      </c>
      <c r="C382" s="56">
        <v>32.72</v>
      </c>
    </row>
    <row r="383" hidden="1" outlineLevel="1">
      <c r="B383" s="329" t="s">
        <v>36</v>
      </c>
      <c r="C383" s="56">
        <v>19.49</v>
      </c>
    </row>
    <row r="384" hidden="1" outlineLevel="1">
      <c r="B384" s="329" t="s">
        <v>37</v>
      </c>
      <c r="C384" s="56">
        <v>23.22</v>
      </c>
      <c r="AX384" s="269"/>
      <c r="AY384" s="269"/>
    </row>
    <row r="385" hidden="1" outlineLevel="1">
      <c r="B385" s="329" t="s">
        <v>38</v>
      </c>
      <c r="C385" s="56">
        <v>49.17</v>
      </c>
      <c r="AX385" s="60">
        <v>2021.0</v>
      </c>
      <c r="AY385" s="330"/>
    </row>
    <row r="386" hidden="1" outlineLevel="1">
      <c r="B386" s="329" t="s">
        <v>39</v>
      </c>
      <c r="C386" s="56">
        <v>32.66</v>
      </c>
      <c r="AX386" s="60">
        <v>3.8730637163E10</v>
      </c>
    </row>
    <row r="387" hidden="1" outlineLevel="1">
      <c r="B387" s="329" t="s">
        <v>41</v>
      </c>
      <c r="C387" s="56">
        <v>16.48</v>
      </c>
      <c r="AX387" s="60">
        <v>1.6816679778E10</v>
      </c>
    </row>
    <row r="388" hidden="1" outlineLevel="1">
      <c r="B388" s="329" t="s">
        <v>42</v>
      </c>
      <c r="C388" s="56">
        <v>19.67</v>
      </c>
      <c r="K388" s="46"/>
      <c r="L388" s="46"/>
      <c r="M388" s="46"/>
      <c r="N388" s="46"/>
      <c r="O388" s="46"/>
      <c r="AX388" s="60">
        <v>5.5547316941E10</v>
      </c>
    </row>
    <row r="389" hidden="1" outlineLevel="1">
      <c r="B389" s="329" t="s">
        <v>43</v>
      </c>
      <c r="C389" s="56">
        <v>39.52</v>
      </c>
      <c r="K389" s="46"/>
      <c r="L389" s="46"/>
      <c r="M389" s="46"/>
      <c r="N389" s="46"/>
      <c r="O389" s="46"/>
      <c r="AX389" s="60">
        <v>-3.3333261254E10</v>
      </c>
    </row>
    <row r="390" hidden="1" outlineLevel="1">
      <c r="B390" s="329" t="s">
        <v>44</v>
      </c>
      <c r="C390" s="56">
        <v>24.35</v>
      </c>
      <c r="AX390" s="60">
        <v>2.2214055687E10</v>
      </c>
    </row>
    <row r="391" hidden="1" outlineLevel="1">
      <c r="AX391" s="60">
        <v>1.49700732E9</v>
      </c>
    </row>
    <row r="392" hidden="1" outlineLevel="1">
      <c r="AX392" s="60">
        <v>2.3711063007E10</v>
      </c>
    </row>
    <row r="393" hidden="1" outlineLevel="1">
      <c r="AX393" s="60">
        <v>2.97732684E8</v>
      </c>
    </row>
    <row r="394" hidden="1" outlineLevel="1">
      <c r="AX394" s="60">
        <v>-1.297732684E9</v>
      </c>
    </row>
    <row r="395" hidden="1" outlineLevel="1">
      <c r="AX395" s="60">
        <v>2.2711063007E10</v>
      </c>
    </row>
    <row r="396" hidden="1" outlineLevel="1">
      <c r="AX396" s="60">
        <v>1.3206068628E10</v>
      </c>
    </row>
    <row r="397" hidden="1" outlineLevel="1">
      <c r="R397" s="269"/>
      <c r="S397" s="269"/>
      <c r="T397" s="269"/>
      <c r="U397" s="269"/>
      <c r="V397" s="269"/>
      <c r="W397" s="269"/>
      <c r="X397" s="269"/>
      <c r="Y397" s="269"/>
      <c r="Z397" s="269"/>
      <c r="AA397" s="269"/>
      <c r="AB397" s="269"/>
      <c r="AC397" s="269"/>
      <c r="AD397" s="269"/>
      <c r="AE397" s="269"/>
      <c r="AF397" s="269"/>
      <c r="AX397" s="60">
        <v>-8.373025534E9</v>
      </c>
    </row>
    <row r="398" collapsed="1">
      <c r="A398" s="269"/>
      <c r="B398" s="331" t="s">
        <v>58</v>
      </c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AG398" s="269"/>
      <c r="AH398" s="269"/>
      <c r="AI398" s="269"/>
      <c r="AJ398" s="269"/>
      <c r="AK398" s="269"/>
      <c r="AL398" s="269"/>
      <c r="AM398" s="269"/>
      <c r="AN398" s="269"/>
      <c r="AO398" s="269"/>
      <c r="AP398" s="269"/>
      <c r="AQ398" s="269"/>
      <c r="AR398" s="269"/>
      <c r="AS398" s="269"/>
      <c r="AT398" s="269"/>
      <c r="AU398" s="269"/>
      <c r="AV398" s="269"/>
      <c r="AW398" s="269"/>
      <c r="AX398" s="60">
        <v>2.7544106101E10</v>
      </c>
      <c r="AZ398" s="269"/>
      <c r="BA398" s="269"/>
      <c r="BB398" s="269"/>
      <c r="BC398" s="269"/>
      <c r="BD398" s="269"/>
      <c r="BE398" s="269"/>
      <c r="BF398" s="269"/>
      <c r="BG398" s="269"/>
      <c r="BH398" s="269"/>
      <c r="BI398" s="269"/>
      <c r="BJ398" s="269"/>
      <c r="BK398" s="269"/>
      <c r="BL398" s="269"/>
      <c r="BM398" s="269"/>
      <c r="BN398" s="269"/>
      <c r="BO398" s="269"/>
      <c r="BP398" s="269"/>
      <c r="BQ398" s="269"/>
      <c r="BR398" s="269"/>
      <c r="BS398" s="269"/>
      <c r="BT398" s="269"/>
      <c r="BU398" s="269"/>
      <c r="BV398" s="269"/>
      <c r="BW398" s="269"/>
      <c r="BX398" s="269"/>
      <c r="BY398" s="269"/>
      <c r="BZ398" s="269"/>
      <c r="CA398" s="269"/>
      <c r="CB398" s="269"/>
      <c r="CC398" s="269"/>
      <c r="CD398" s="269"/>
      <c r="CE398" s="269"/>
      <c r="CF398" s="269"/>
      <c r="CG398" s="269"/>
      <c r="CH398" s="269"/>
      <c r="CI398" s="269"/>
      <c r="CJ398" s="269"/>
      <c r="CK398" s="269"/>
      <c r="CL398" s="269"/>
      <c r="CM398" s="269"/>
      <c r="CN398" s="269"/>
      <c r="CO398" s="269"/>
      <c r="CP398" s="269"/>
      <c r="CQ398" s="269"/>
      <c r="CR398" s="269"/>
      <c r="CS398" s="269"/>
      <c r="CT398" s="269"/>
      <c r="CU398" s="269"/>
      <c r="CV398" s="269"/>
      <c r="CW398" s="269"/>
      <c r="CX398" s="269"/>
      <c r="CY398" s="269"/>
      <c r="CZ398" s="269"/>
      <c r="DA398" s="269"/>
      <c r="DB398" s="269"/>
      <c r="DC398" s="269"/>
      <c r="DD398" s="269"/>
    </row>
    <row r="399" hidden="1" outlineLevel="1">
      <c r="A399" s="15"/>
      <c r="B399" s="332" t="s">
        <v>521</v>
      </c>
      <c r="C399" s="15"/>
      <c r="D399" s="15"/>
      <c r="E399" s="15"/>
      <c r="F399" s="15"/>
      <c r="G399" s="15"/>
      <c r="H399" s="15"/>
      <c r="I399" s="15"/>
      <c r="J399" s="332" t="s">
        <v>522</v>
      </c>
      <c r="K399" s="15"/>
      <c r="L399" s="15"/>
      <c r="M399" s="15"/>
      <c r="N399" s="15"/>
      <c r="O399" s="15"/>
      <c r="P399" s="15"/>
      <c r="Q399" s="15"/>
      <c r="R399" s="332" t="s">
        <v>523</v>
      </c>
      <c r="S399" s="15"/>
      <c r="T399" s="15"/>
      <c r="U399" s="15"/>
      <c r="V399" s="15"/>
      <c r="W399" s="15"/>
      <c r="X399" s="15"/>
      <c r="Y399" s="15"/>
      <c r="Z399" s="332" t="s">
        <v>524</v>
      </c>
      <c r="AA399" s="15"/>
      <c r="AB399" s="15"/>
      <c r="AC399" s="15"/>
      <c r="AD399" s="15"/>
      <c r="AE399" s="15"/>
      <c r="AF399" s="15"/>
      <c r="AG399" s="15"/>
      <c r="AH399" s="332" t="s">
        <v>58</v>
      </c>
      <c r="AI399" s="15"/>
      <c r="AJ399" s="15"/>
      <c r="AK399" s="15"/>
      <c r="AL399" s="15"/>
      <c r="AM399" s="15"/>
      <c r="AN399" s="15"/>
      <c r="AO399" s="151" t="s">
        <v>178</v>
      </c>
      <c r="AP399" s="221"/>
      <c r="AQ399" s="15"/>
      <c r="AR399" s="15" t="s">
        <v>169</v>
      </c>
      <c r="AS399" s="156">
        <v>2026.0</v>
      </c>
      <c r="AT399" s="156">
        <v>2025.0</v>
      </c>
      <c r="AU399" s="156">
        <v>2024.0</v>
      </c>
      <c r="AV399" s="156">
        <v>2023.0</v>
      </c>
      <c r="AW399" s="156">
        <v>2022.0</v>
      </c>
      <c r="AX399" s="156">
        <v>1.1254861E7</v>
      </c>
      <c r="AY399" s="15"/>
      <c r="AZ399" s="232"/>
      <c r="BA399" s="232"/>
      <c r="BB399" s="23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</row>
    <row r="400" hidden="1" outlineLevel="1">
      <c r="A400" s="15"/>
      <c r="B400" s="157" t="s">
        <v>170</v>
      </c>
      <c r="C400" s="158" t="s">
        <v>171</v>
      </c>
      <c r="D400" s="158" t="s">
        <v>139</v>
      </c>
      <c r="E400" s="158" t="s">
        <v>140</v>
      </c>
      <c r="F400" s="158" t="s">
        <v>141</v>
      </c>
      <c r="G400" s="158" t="s">
        <v>142</v>
      </c>
      <c r="H400" s="159" t="s">
        <v>143</v>
      </c>
      <c r="I400" s="15"/>
      <c r="J400" s="157" t="s">
        <v>170</v>
      </c>
      <c r="K400" s="158" t="s">
        <v>171</v>
      </c>
      <c r="L400" s="158" t="s">
        <v>139</v>
      </c>
      <c r="M400" s="158" t="s">
        <v>140</v>
      </c>
      <c r="N400" s="158" t="s">
        <v>141</v>
      </c>
      <c r="O400" s="158" t="s">
        <v>142</v>
      </c>
      <c r="P400" s="159" t="s">
        <v>143</v>
      </c>
      <c r="Q400" s="15"/>
      <c r="R400" s="157" t="s">
        <v>170</v>
      </c>
      <c r="S400" s="158" t="s">
        <v>171</v>
      </c>
      <c r="T400" s="158" t="s">
        <v>139</v>
      </c>
      <c r="U400" s="158" t="s">
        <v>140</v>
      </c>
      <c r="V400" s="158" t="s">
        <v>141</v>
      </c>
      <c r="W400" s="158" t="s">
        <v>142</v>
      </c>
      <c r="X400" s="159" t="s">
        <v>143</v>
      </c>
      <c r="Y400" s="15"/>
      <c r="Z400" s="157" t="s">
        <v>170</v>
      </c>
      <c r="AA400" s="158" t="s">
        <v>172</v>
      </c>
      <c r="AB400" s="158" t="s">
        <v>139</v>
      </c>
      <c r="AC400" s="158" t="s">
        <v>140</v>
      </c>
      <c r="AD400" s="158" t="s">
        <v>141</v>
      </c>
      <c r="AE400" s="158" t="s">
        <v>142</v>
      </c>
      <c r="AF400" s="159" t="s">
        <v>143</v>
      </c>
      <c r="AG400" s="15"/>
      <c r="AH400" s="161" t="s">
        <v>173</v>
      </c>
      <c r="AI400" s="162">
        <v>2025.0</v>
      </c>
      <c r="AJ400" s="162">
        <v>2024.0</v>
      </c>
      <c r="AK400" s="162">
        <v>2023.0</v>
      </c>
      <c r="AL400" s="162">
        <v>2022.0</v>
      </c>
      <c r="AM400" s="162">
        <v>2021.0</v>
      </c>
      <c r="AN400" s="15"/>
      <c r="AO400" s="15"/>
      <c r="AP400" s="15"/>
      <c r="AQ400" s="15"/>
      <c r="AR400" s="15" t="s">
        <v>430</v>
      </c>
      <c r="AS400" s="156">
        <v>2.7594260766E10</v>
      </c>
      <c r="AT400" s="156">
        <v>5.6682621652E10</v>
      </c>
      <c r="AU400" s="156">
        <v>6.9839539529E10</v>
      </c>
      <c r="AV400" s="156">
        <v>3.8730637163E10</v>
      </c>
      <c r="AW400" s="156">
        <v>6.9839539529E10</v>
      </c>
      <c r="AX400" s="156">
        <v>1.471798379E9</v>
      </c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</row>
    <row r="401" hidden="1" outlineLevel="1">
      <c r="A401" s="15"/>
      <c r="B401" s="157" t="s">
        <v>180</v>
      </c>
      <c r="C401" s="167">
        <v>46203.0</v>
      </c>
      <c r="D401" s="167">
        <v>46022.0</v>
      </c>
      <c r="E401" s="167">
        <v>45657.0</v>
      </c>
      <c r="F401" s="167">
        <v>45291.0</v>
      </c>
      <c r="G401" s="167">
        <v>44926.0</v>
      </c>
      <c r="H401" s="167">
        <v>44561.0</v>
      </c>
      <c r="I401" s="15"/>
      <c r="J401" s="157" t="s">
        <v>180</v>
      </c>
      <c r="K401" s="167">
        <v>46203.0</v>
      </c>
      <c r="L401" s="167">
        <v>46022.0</v>
      </c>
      <c r="M401" s="167">
        <v>45657.0</v>
      </c>
      <c r="N401" s="167">
        <v>45291.0</v>
      </c>
      <c r="O401" s="167">
        <v>44926.0</v>
      </c>
      <c r="P401" s="167">
        <v>44561.0</v>
      </c>
      <c r="Q401" s="15"/>
      <c r="R401" s="157" t="s">
        <v>180</v>
      </c>
      <c r="S401" s="167">
        <v>46203.0</v>
      </c>
      <c r="T401" s="167">
        <v>46022.0</v>
      </c>
      <c r="U401" s="167">
        <v>45657.0</v>
      </c>
      <c r="V401" s="167">
        <v>45291.0</v>
      </c>
      <c r="W401" s="167">
        <v>44926.0</v>
      </c>
      <c r="X401" s="167">
        <v>44561.0</v>
      </c>
      <c r="Y401" s="15"/>
      <c r="Z401" s="157" t="s">
        <v>180</v>
      </c>
      <c r="AA401" s="167">
        <v>46297.0</v>
      </c>
      <c r="AB401" s="167">
        <v>46022.0</v>
      </c>
      <c r="AC401" s="167">
        <v>45657.0</v>
      </c>
      <c r="AD401" s="167">
        <v>45291.0</v>
      </c>
      <c r="AE401" s="167">
        <v>44926.0</v>
      </c>
      <c r="AF401" s="167">
        <v>44561.0</v>
      </c>
      <c r="AG401" s="15"/>
      <c r="AH401" s="15" t="s">
        <v>181</v>
      </c>
      <c r="AI401" s="333">
        <v>2.25799669734E11</v>
      </c>
      <c r="AJ401" s="333">
        <v>1.68007044537E11</v>
      </c>
      <c r="AK401" s="333">
        <v>5.2286426282E10</v>
      </c>
      <c r="AL401" s="333">
        <v>1.54393059177E11</v>
      </c>
      <c r="AM401" s="333">
        <v>3.52351492551E11</v>
      </c>
      <c r="AN401" s="15"/>
      <c r="AO401" s="40"/>
      <c r="AP401" s="21" t="str">
        <f>"Bulan "&amp;$C$3&amp;"2026"</f>
        <v>Bulan 2026</v>
      </c>
      <c r="AQ401" s="15"/>
      <c r="AR401" s="15" t="s">
        <v>431</v>
      </c>
      <c r="AS401" s="156">
        <v>1.55336695944E11</v>
      </c>
      <c r="AT401" s="156">
        <v>5.3009890248E10</v>
      </c>
      <c r="AU401" s="156">
        <v>3.6599392643E10</v>
      </c>
      <c r="AV401" s="156">
        <v>1.6816679778E10</v>
      </c>
      <c r="AW401" s="156">
        <v>3.6599392643E10</v>
      </c>
      <c r="AX401" s="156">
        <v>8359422.0</v>
      </c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</row>
    <row r="402" hidden="1" outlineLevel="1">
      <c r="A402" s="15"/>
      <c r="B402" s="231" t="s">
        <v>525</v>
      </c>
      <c r="C402" s="172">
        <v>310145.0</v>
      </c>
      <c r="D402" s="172">
        <v>225800.0</v>
      </c>
      <c r="E402" s="172">
        <v>168007.0</v>
      </c>
      <c r="F402" s="172">
        <v>52286.0</v>
      </c>
      <c r="G402" s="172">
        <v>154393.0</v>
      </c>
      <c r="H402" s="173">
        <v>352351.0</v>
      </c>
      <c r="I402" s="15"/>
      <c r="J402" s="237" t="s">
        <v>184</v>
      </c>
      <c r="K402" s="172">
        <v>6647.0</v>
      </c>
      <c r="L402" s="172">
        <v>13620.0</v>
      </c>
      <c r="M402" s="172">
        <v>8056.0</v>
      </c>
      <c r="N402" s="172">
        <v>1195.0</v>
      </c>
      <c r="O402" s="188">
        <v>509.07</v>
      </c>
      <c r="P402" s="173">
        <v>4437.0</v>
      </c>
      <c r="Q402" s="15"/>
      <c r="R402" s="237" t="s">
        <v>185</v>
      </c>
      <c r="S402" s="172">
        <v>5029.0</v>
      </c>
      <c r="T402" s="172">
        <v>4339.0</v>
      </c>
      <c r="U402" s="172">
        <v>2985.0</v>
      </c>
      <c r="V402" s="172">
        <v>60135.0</v>
      </c>
      <c r="W402" s="172">
        <v>-38251.0</v>
      </c>
      <c r="X402" s="173">
        <v>4289.0</v>
      </c>
      <c r="Y402" s="15"/>
      <c r="Z402" s="231" t="s">
        <v>526</v>
      </c>
      <c r="AA402" s="172">
        <v>142570.0</v>
      </c>
      <c r="AB402" s="172">
        <v>191174.0</v>
      </c>
      <c r="AC402" s="172">
        <v>103688.0</v>
      </c>
      <c r="AD402" s="172">
        <v>162012.0</v>
      </c>
      <c r="AE402" s="172">
        <v>162012.0</v>
      </c>
      <c r="AF402" s="173">
        <v>294861.0</v>
      </c>
      <c r="AG402" s="15"/>
      <c r="AH402" s="15" t="s">
        <v>187</v>
      </c>
      <c r="AI402" s="333">
        <v>-1.70719322124E11</v>
      </c>
      <c r="AJ402" s="333">
        <v>-1.26321418635E11</v>
      </c>
      <c r="AK402" s="333">
        <v>-5.0293288807E10</v>
      </c>
      <c r="AL402" s="333">
        <v>-1.55279309889E11</v>
      </c>
      <c r="AM402" s="333">
        <v>-2.94384492194E11</v>
      </c>
      <c r="AN402" s="15"/>
      <c r="AO402" s="40" t="s">
        <v>193</v>
      </c>
      <c r="AP402" s="30"/>
      <c r="AQ402" s="15"/>
      <c r="AR402" s="15" t="s">
        <v>434</v>
      </c>
      <c r="AS402" s="156">
        <v>1.8293095671E11</v>
      </c>
      <c r="AT402" s="156">
        <v>1.096925119E11</v>
      </c>
      <c r="AU402" s="156">
        <v>1.06438932172E11</v>
      </c>
      <c r="AV402" s="156">
        <v>5.5547316941E10</v>
      </c>
      <c r="AW402" s="156">
        <v>1.06438932172E11</v>
      </c>
      <c r="AX402" s="156">
        <v>5594658.0</v>
      </c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</row>
    <row r="403" hidden="1" outlineLevel="1">
      <c r="A403" s="15"/>
      <c r="B403" s="157" t="s">
        <v>527</v>
      </c>
      <c r="C403" s="185">
        <v>0.6532</v>
      </c>
      <c r="D403" s="185">
        <v>0.344</v>
      </c>
      <c r="E403" s="185">
        <v>2.2132</v>
      </c>
      <c r="F403" s="184">
        <v>-0.6613</v>
      </c>
      <c r="G403" s="184">
        <v>-0.5618</v>
      </c>
      <c r="H403" s="198">
        <v>0.0516</v>
      </c>
      <c r="I403" s="15"/>
      <c r="J403" s="237" t="s">
        <v>189</v>
      </c>
      <c r="K403" s="172">
        <v>6647.0</v>
      </c>
      <c r="L403" s="172">
        <v>13620.0</v>
      </c>
      <c r="M403" s="172">
        <v>8056.0</v>
      </c>
      <c r="N403" s="172">
        <v>1195.0</v>
      </c>
      <c r="O403" s="188">
        <v>509.07</v>
      </c>
      <c r="P403" s="173">
        <v>4437.0</v>
      </c>
      <c r="Q403" s="15"/>
      <c r="R403" s="237" t="s">
        <v>190</v>
      </c>
      <c r="S403" s="188">
        <v>399.24</v>
      </c>
      <c r="T403" s="188" t="s">
        <v>209</v>
      </c>
      <c r="U403" s="188" t="s">
        <v>209</v>
      </c>
      <c r="V403" s="172">
        <v>3628.0</v>
      </c>
      <c r="W403" s="172">
        <v>8984.0</v>
      </c>
      <c r="X403" s="173">
        <v>8404.0</v>
      </c>
      <c r="Y403" s="15"/>
      <c r="Z403" s="157" t="s">
        <v>191</v>
      </c>
      <c r="AA403" s="184">
        <v>-0.2903</v>
      </c>
      <c r="AB403" s="185">
        <v>0.8438</v>
      </c>
      <c r="AC403" s="184">
        <v>-0.36</v>
      </c>
      <c r="AD403" s="239">
        <v>0.0</v>
      </c>
      <c r="AE403" s="184">
        <v>-0.4505</v>
      </c>
      <c r="AF403" s="187" t="s">
        <v>209</v>
      </c>
      <c r="AG403" s="15"/>
      <c r="AH403" s="15" t="s">
        <v>192</v>
      </c>
      <c r="AI403" s="333">
        <v>5.508034761E10</v>
      </c>
      <c r="AJ403" s="333">
        <v>4.1685625902E10</v>
      </c>
      <c r="AK403" s="333">
        <v>1.993137475E9</v>
      </c>
      <c r="AL403" s="333">
        <v>-8.86250712E8</v>
      </c>
      <c r="AM403" s="333">
        <v>5.7967000357E10</v>
      </c>
      <c r="AN403" s="15"/>
      <c r="AO403" s="40" t="s">
        <v>199</v>
      </c>
      <c r="AP403" s="30"/>
      <c r="AQ403" s="15"/>
      <c r="AR403" s="15" t="s">
        <v>435</v>
      </c>
      <c r="AS403" s="156">
        <v>-6.8696759385E10</v>
      </c>
      <c r="AT403" s="156">
        <v>-5.2839848631E10</v>
      </c>
      <c r="AU403" s="156">
        <v>-6.9231430693E10</v>
      </c>
      <c r="AV403" s="156">
        <v>-3.3333261254E10</v>
      </c>
      <c r="AW403" s="156">
        <v>-6.9231430693E10</v>
      </c>
      <c r="AX403" s="156">
        <v>0.0</v>
      </c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</row>
    <row r="404" hidden="1" outlineLevel="1">
      <c r="A404" s="15"/>
      <c r="B404" s="237" t="s">
        <v>194</v>
      </c>
      <c r="C404" s="172">
        <v>238829.0</v>
      </c>
      <c r="D404" s="172">
        <v>171589.0</v>
      </c>
      <c r="E404" s="172">
        <v>126793.0</v>
      </c>
      <c r="F404" s="172">
        <v>50625.0</v>
      </c>
      <c r="G404" s="172">
        <v>155578.0</v>
      </c>
      <c r="H404" s="173">
        <v>294959.0</v>
      </c>
      <c r="I404" s="15"/>
      <c r="J404" s="157" t="s">
        <v>195</v>
      </c>
      <c r="K404" s="185">
        <v>0.318</v>
      </c>
      <c r="L404" s="185">
        <v>0.6906</v>
      </c>
      <c r="M404" s="185">
        <v>5.7404</v>
      </c>
      <c r="N404" s="185">
        <v>1.3479</v>
      </c>
      <c r="O404" s="184">
        <v>-0.8853</v>
      </c>
      <c r="P404" s="198">
        <v>1.2429</v>
      </c>
      <c r="Q404" s="15"/>
      <c r="R404" s="237" t="s">
        <v>196</v>
      </c>
      <c r="S404" s="172">
        <v>-100951.0</v>
      </c>
      <c r="T404" s="172">
        <v>-33031.0</v>
      </c>
      <c r="U404" s="172">
        <v>-29054.0</v>
      </c>
      <c r="V404" s="172">
        <v>-150891.0</v>
      </c>
      <c r="W404" s="172">
        <v>36453.0</v>
      </c>
      <c r="X404" s="173">
        <v>10122.0</v>
      </c>
      <c r="Y404" s="15"/>
      <c r="Z404" s="237" t="s">
        <v>197</v>
      </c>
      <c r="AA404" s="172">
        <v>320047.0</v>
      </c>
      <c r="AB404" s="172">
        <v>272760.0</v>
      </c>
      <c r="AC404" s="172">
        <v>129096.0</v>
      </c>
      <c r="AD404" s="172">
        <v>187697.0</v>
      </c>
      <c r="AE404" s="172">
        <v>306819.0</v>
      </c>
      <c r="AF404" s="173">
        <v>436244.0</v>
      </c>
      <c r="AG404" s="15"/>
      <c r="AH404" s="15" t="s">
        <v>198</v>
      </c>
      <c r="AI404" s="333">
        <v>-4.7531992E8</v>
      </c>
      <c r="AJ404" s="333">
        <v>-6.036270397E9</v>
      </c>
      <c r="AK404" s="333">
        <v>1.26568474509E11</v>
      </c>
      <c r="AL404" s="333">
        <v>-1.5884128268E10</v>
      </c>
      <c r="AM404" s="333">
        <v>-1.5850215014E10</v>
      </c>
      <c r="AN404" s="15"/>
      <c r="AO404" s="40" t="s">
        <v>205</v>
      </c>
      <c r="AP404" s="30"/>
      <c r="AQ404" s="15"/>
      <c r="AR404" s="15" t="s">
        <v>437</v>
      </c>
      <c r="AS404" s="156">
        <v>1.14234197325E11</v>
      </c>
      <c r="AT404" s="156">
        <v>5.6852663269E10</v>
      </c>
      <c r="AU404" s="156">
        <v>3.7207501479E10</v>
      </c>
      <c r="AV404" s="156">
        <v>2.2214055687E10</v>
      </c>
      <c r="AW404" s="156">
        <v>3.7207501479E10</v>
      </c>
      <c r="AX404" s="156">
        <v>1.49700732E9</v>
      </c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</row>
    <row r="405" hidden="1" outlineLevel="1">
      <c r="A405" s="15"/>
      <c r="B405" s="237" t="s">
        <v>200</v>
      </c>
      <c r="C405" s="172">
        <v>71316.0</v>
      </c>
      <c r="D405" s="172">
        <v>54211.0</v>
      </c>
      <c r="E405" s="172">
        <v>41214.0</v>
      </c>
      <c r="F405" s="172">
        <v>1662.0</v>
      </c>
      <c r="G405" s="172">
        <v>-1184.0</v>
      </c>
      <c r="H405" s="173">
        <v>57392.0</v>
      </c>
      <c r="I405" s="15"/>
      <c r="J405" s="237" t="s">
        <v>201</v>
      </c>
      <c r="K405" s="172">
        <v>206298.0</v>
      </c>
      <c r="L405" s="172">
        <v>159318.0</v>
      </c>
      <c r="M405" s="172">
        <v>121108.0</v>
      </c>
      <c r="N405" s="172">
        <v>94482.0</v>
      </c>
      <c r="O405" s="172">
        <v>106407.0</v>
      </c>
      <c r="P405" s="173">
        <v>141818.0</v>
      </c>
      <c r="Q405" s="15"/>
      <c r="R405" s="237" t="s">
        <v>202</v>
      </c>
      <c r="S405" s="172">
        <v>-95523.0</v>
      </c>
      <c r="T405" s="172">
        <v>-28692.0</v>
      </c>
      <c r="U405" s="172">
        <v>-26069.0</v>
      </c>
      <c r="V405" s="172">
        <v>-87128.0</v>
      </c>
      <c r="W405" s="172">
        <v>7186.0</v>
      </c>
      <c r="X405" s="173">
        <v>22815.0</v>
      </c>
      <c r="Y405" s="15"/>
      <c r="Z405" s="334" t="s">
        <v>203</v>
      </c>
      <c r="AA405" s="208">
        <v>44.0</v>
      </c>
      <c r="AB405" s="208">
        <v>58.69</v>
      </c>
      <c r="AC405" s="208">
        <v>31.52</v>
      </c>
      <c r="AD405" s="208">
        <v>49.25</v>
      </c>
      <c r="AE405" s="208">
        <v>49.25</v>
      </c>
      <c r="AF405" s="273">
        <v>89.64</v>
      </c>
      <c r="AG405" s="15"/>
      <c r="AH405" s="15" t="s">
        <v>204</v>
      </c>
      <c r="AI405" s="333">
        <v>-1.1193874E7</v>
      </c>
      <c r="AJ405" s="333">
        <v>1.808902E7</v>
      </c>
      <c r="AK405" s="333">
        <v>1.21904857E8</v>
      </c>
      <c r="AL405" s="333">
        <v>1.5083845E7</v>
      </c>
      <c r="AM405" s="333">
        <v>4.4794046E7</v>
      </c>
      <c r="AN405" s="15"/>
      <c r="AO405" s="40" t="s">
        <v>212</v>
      </c>
      <c r="AP405" s="30"/>
      <c r="AQ405" s="15"/>
      <c r="AR405" s="15" t="s">
        <v>438</v>
      </c>
      <c r="AS405" s="156">
        <v>1.929810398E10</v>
      </c>
      <c r="AT405" s="156">
        <v>7.67793218E9</v>
      </c>
      <c r="AU405" s="156">
        <v>3.434140528E9</v>
      </c>
      <c r="AV405" s="156">
        <v>1.49700732E9</v>
      </c>
      <c r="AW405" s="156">
        <v>3.434140528E9</v>
      </c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</row>
    <row r="406" hidden="1" outlineLevel="1">
      <c r="A406" s="15"/>
      <c r="B406" s="237" t="s">
        <v>206</v>
      </c>
      <c r="C406" s="172">
        <v>52857.0</v>
      </c>
      <c r="D406" s="172">
        <v>41608.0</v>
      </c>
      <c r="E406" s="172">
        <v>29592.0</v>
      </c>
      <c r="F406" s="172">
        <v>30122.0</v>
      </c>
      <c r="G406" s="172">
        <v>29369.0</v>
      </c>
      <c r="H406" s="173">
        <v>35844.0</v>
      </c>
      <c r="I406" s="15"/>
      <c r="J406" s="237" t="s">
        <v>439</v>
      </c>
      <c r="K406" s="188">
        <v>4.45</v>
      </c>
      <c r="L406" s="188">
        <v>132.72</v>
      </c>
      <c r="M406" s="188">
        <v>41.13</v>
      </c>
      <c r="N406" s="188">
        <v>285.05</v>
      </c>
      <c r="O406" s="188">
        <v>245.84</v>
      </c>
      <c r="P406" s="189">
        <v>81.44</v>
      </c>
      <c r="Q406" s="15"/>
      <c r="R406" s="274" t="s">
        <v>208</v>
      </c>
      <c r="S406" s="293" t="s">
        <v>209</v>
      </c>
      <c r="T406" s="293" t="s">
        <v>209</v>
      </c>
      <c r="U406" s="293" t="s">
        <v>209</v>
      </c>
      <c r="V406" s="293" t="s">
        <v>209</v>
      </c>
      <c r="W406" s="292">
        <v>-0.6851</v>
      </c>
      <c r="X406" s="295" t="s">
        <v>209</v>
      </c>
      <c r="Y406" s="15"/>
      <c r="Z406" s="174" t="s">
        <v>210</v>
      </c>
      <c r="AA406" s="188">
        <v>28.35</v>
      </c>
      <c r="AB406" s="188">
        <v>44.06</v>
      </c>
      <c r="AC406" s="188">
        <v>34.73</v>
      </c>
      <c r="AD406" s="188">
        <v>2.69</v>
      </c>
      <c r="AE406" s="188" t="s">
        <v>209</v>
      </c>
      <c r="AF406" s="189">
        <v>68.74</v>
      </c>
      <c r="AG406" s="15"/>
      <c r="AH406" s="15" t="s">
        <v>211</v>
      </c>
      <c r="AI406" s="333">
        <v>-2.7242142507E10</v>
      </c>
      <c r="AJ406" s="333">
        <v>-1.5126021088E10</v>
      </c>
      <c r="AK406" s="333">
        <v>-9.965479322E9</v>
      </c>
      <c r="AL406" s="333">
        <v>-1.4216373632E10</v>
      </c>
      <c r="AM406" s="333">
        <v>-2.2353329894E10</v>
      </c>
      <c r="AN406" s="15"/>
      <c r="AO406" s="40" t="s">
        <v>218</v>
      </c>
      <c r="AP406" s="30"/>
      <c r="AQ406" s="15"/>
      <c r="AR406" s="15" t="s">
        <v>273</v>
      </c>
      <c r="AS406" s="156">
        <v>1.33532301305E11</v>
      </c>
      <c r="AT406" s="156">
        <v>6.4530595449E10</v>
      </c>
      <c r="AU406" s="156">
        <v>4.0641642007E10</v>
      </c>
      <c r="AV406" s="156">
        <v>2.3711063007E10</v>
      </c>
      <c r="AW406" s="156">
        <v>4.0641642007E10</v>
      </c>
      <c r="AX406" s="156">
        <v>1.01395512E8</v>
      </c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</row>
    <row r="407" hidden="1" outlineLevel="1">
      <c r="A407" s="15"/>
      <c r="B407" s="237" t="s">
        <v>213</v>
      </c>
      <c r="C407" s="172">
        <v>2002.0</v>
      </c>
      <c r="D407" s="172">
        <v>1991.0</v>
      </c>
      <c r="E407" s="188">
        <v>563.94</v>
      </c>
      <c r="F407" s="172">
        <v>1874.0</v>
      </c>
      <c r="G407" s="188">
        <v>928.08</v>
      </c>
      <c r="H407" s="189">
        <v>165.2</v>
      </c>
      <c r="I407" s="15"/>
      <c r="J407" s="237" t="s">
        <v>207</v>
      </c>
      <c r="K407" s="172">
        <v>206303.0</v>
      </c>
      <c r="L407" s="172">
        <v>159451.0</v>
      </c>
      <c r="M407" s="172">
        <v>121149.0</v>
      </c>
      <c r="N407" s="172">
        <v>94767.0</v>
      </c>
      <c r="O407" s="172">
        <v>106652.0</v>
      </c>
      <c r="P407" s="173">
        <v>141900.0</v>
      </c>
      <c r="Q407" s="15"/>
      <c r="R407" s="206" t="s">
        <v>215</v>
      </c>
      <c r="S407" s="222">
        <v>-10438.0</v>
      </c>
      <c r="T407" s="222">
        <v>-10455.0</v>
      </c>
      <c r="U407" s="222">
        <v>-13244.0</v>
      </c>
      <c r="V407" s="222">
        <v>-42240.0</v>
      </c>
      <c r="W407" s="222">
        <v>-31873.0</v>
      </c>
      <c r="X407" s="223">
        <v>-69220.0</v>
      </c>
      <c r="Y407" s="15"/>
      <c r="Z407" s="174" t="s">
        <v>216</v>
      </c>
      <c r="AA407" s="188">
        <v>0.46</v>
      </c>
      <c r="AB407" s="188">
        <v>0.85</v>
      </c>
      <c r="AC407" s="188">
        <v>0.62</v>
      </c>
      <c r="AD407" s="188">
        <v>3.1</v>
      </c>
      <c r="AE407" s="188">
        <v>1.05</v>
      </c>
      <c r="AF407" s="189">
        <v>0.84</v>
      </c>
      <c r="AG407" s="15"/>
      <c r="AH407" s="15" t="s">
        <v>217</v>
      </c>
      <c r="AI407" s="333">
        <v>-1.7045947468E10</v>
      </c>
      <c r="AJ407" s="333">
        <v>-1.5501091365E10</v>
      </c>
      <c r="AK407" s="333">
        <v>-2.23621056E10</v>
      </c>
      <c r="AL407" s="333">
        <v>-1.6378642998E10</v>
      </c>
      <c r="AM407" s="333">
        <v>-1.4230199412E10</v>
      </c>
      <c r="AN407" s="15"/>
      <c r="AO407" s="40" t="s">
        <v>225</v>
      </c>
      <c r="AP407" s="30"/>
      <c r="AQ407" s="15"/>
      <c r="AR407" s="15" t="s">
        <v>440</v>
      </c>
      <c r="AS407" s="156">
        <v>3.080288181E9</v>
      </c>
      <c r="AT407" s="156">
        <v>2.167259784E9</v>
      </c>
      <c r="AU407" s="156">
        <v>2.53047293E9</v>
      </c>
      <c r="AV407" s="156">
        <v>2.97732684E8</v>
      </c>
      <c r="AW407" s="156">
        <v>2.53047293E9</v>
      </c>
      <c r="AX407" s="156">
        <v>1.472281228E9</v>
      </c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</row>
    <row r="408" hidden="1" outlineLevel="1">
      <c r="A408" s="15"/>
      <c r="B408" s="237" t="s">
        <v>220</v>
      </c>
      <c r="C408" s="172">
        <v>54859.0</v>
      </c>
      <c r="D408" s="172">
        <v>43598.0</v>
      </c>
      <c r="E408" s="172">
        <v>30156.0</v>
      </c>
      <c r="F408" s="172">
        <v>31996.0</v>
      </c>
      <c r="G408" s="172">
        <v>30297.0</v>
      </c>
      <c r="H408" s="173">
        <v>36009.0</v>
      </c>
      <c r="I408" s="15"/>
      <c r="J408" s="237" t="s">
        <v>214</v>
      </c>
      <c r="K408" s="172">
        <v>139372.0</v>
      </c>
      <c r="L408" s="172">
        <v>84285.0</v>
      </c>
      <c r="M408" s="172">
        <v>99653.0</v>
      </c>
      <c r="N408" s="172">
        <v>96777.0</v>
      </c>
      <c r="O408" s="172">
        <v>52234.0</v>
      </c>
      <c r="P408" s="173">
        <v>76193.0</v>
      </c>
      <c r="Q408" s="15"/>
      <c r="R408" s="237" t="s">
        <v>222</v>
      </c>
      <c r="S408" s="188" t="s">
        <v>209</v>
      </c>
      <c r="T408" s="188" t="s">
        <v>209</v>
      </c>
      <c r="U408" s="188" t="s">
        <v>209</v>
      </c>
      <c r="V408" s="172">
        <v>109343.0</v>
      </c>
      <c r="W408" s="188" t="s">
        <v>209</v>
      </c>
      <c r="X408" s="189" t="s">
        <v>209</v>
      </c>
      <c r="Y408" s="15"/>
      <c r="Z408" s="174" t="s">
        <v>223</v>
      </c>
      <c r="AA408" s="188">
        <v>0.59</v>
      </c>
      <c r="AB408" s="188">
        <v>0.8</v>
      </c>
      <c r="AC408" s="188">
        <v>0.44</v>
      </c>
      <c r="AD408" s="188">
        <v>0.7</v>
      </c>
      <c r="AE408" s="188">
        <v>0.94</v>
      </c>
      <c r="AF408" s="189">
        <v>1.4</v>
      </c>
      <c r="AG408" s="15"/>
      <c r="AH408" s="15" t="s">
        <v>224</v>
      </c>
      <c r="AI408" s="335"/>
      <c r="AJ408" s="333">
        <v>-3.601744893E9</v>
      </c>
      <c r="AK408" s="333">
        <v>-1.0285161748E10</v>
      </c>
      <c r="AL408" s="333">
        <v>-1.2385200733E10</v>
      </c>
      <c r="AM408" s="333">
        <v>-1.5269619255E10</v>
      </c>
      <c r="AN408" s="15"/>
      <c r="AO408" s="40" t="s">
        <v>232</v>
      </c>
      <c r="AP408" s="30"/>
      <c r="AQ408" s="15"/>
      <c r="AR408" s="15" t="s">
        <v>441</v>
      </c>
      <c r="AS408" s="156">
        <v>-2.63343865E9</v>
      </c>
      <c r="AT408" s="156">
        <v>-1.982018713E9</v>
      </c>
      <c r="AU408" s="156">
        <v>-2.519370582E9</v>
      </c>
      <c r="AV408" s="156">
        <v>-1.297732684E9</v>
      </c>
      <c r="AW408" s="156">
        <v>-2.519370582E9</v>
      </c>
      <c r="AX408" s="156">
        <v>1.479968E8</v>
      </c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</row>
    <row r="409" hidden="1" outlineLevel="1">
      <c r="A409" s="15"/>
      <c r="B409" s="237" t="s">
        <v>227</v>
      </c>
      <c r="C409" s="172">
        <v>16457.0</v>
      </c>
      <c r="D409" s="172">
        <v>10612.0</v>
      </c>
      <c r="E409" s="172">
        <v>11059.0</v>
      </c>
      <c r="F409" s="172">
        <v>-30334.0</v>
      </c>
      <c r="G409" s="172">
        <v>-31481.0</v>
      </c>
      <c r="H409" s="173">
        <v>21383.0</v>
      </c>
      <c r="I409" s="15"/>
      <c r="J409" s="237" t="s">
        <v>221</v>
      </c>
      <c r="K409" s="188" t="s">
        <v>209</v>
      </c>
      <c r="L409" s="188">
        <v>0.03</v>
      </c>
      <c r="M409" s="188">
        <v>504.04</v>
      </c>
      <c r="N409" s="188">
        <v>215.69</v>
      </c>
      <c r="O409" s="172">
        <v>1962.0</v>
      </c>
      <c r="P409" s="173">
        <v>1376.0</v>
      </c>
      <c r="Q409" s="15"/>
      <c r="R409" s="237" t="s">
        <v>528</v>
      </c>
      <c r="S409" s="188" t="s">
        <v>209</v>
      </c>
      <c r="T409" s="188" t="s">
        <v>209</v>
      </c>
      <c r="U409" s="188" t="s">
        <v>209</v>
      </c>
      <c r="V409" s="172">
        <v>25000.0</v>
      </c>
      <c r="W409" s="188" t="s">
        <v>209</v>
      </c>
      <c r="X409" s="189" t="s">
        <v>209</v>
      </c>
      <c r="Y409" s="15"/>
      <c r="Z409" s="174" t="s">
        <v>230</v>
      </c>
      <c r="AA409" s="188">
        <v>0.59</v>
      </c>
      <c r="AB409" s="188">
        <v>0.8</v>
      </c>
      <c r="AC409" s="188">
        <v>0.44</v>
      </c>
      <c r="AD409" s="188">
        <v>0.7</v>
      </c>
      <c r="AE409" s="188">
        <v>0.94</v>
      </c>
      <c r="AF409" s="189">
        <v>1.4</v>
      </c>
      <c r="AG409" s="15"/>
      <c r="AH409" s="15" t="s">
        <v>231</v>
      </c>
      <c r="AI409" s="335"/>
      <c r="AJ409" s="333">
        <v>-2.452614524E9</v>
      </c>
      <c r="AK409" s="333">
        <v>-1.9404805829E10</v>
      </c>
      <c r="AL409" s="333">
        <v>-3.51401138E9</v>
      </c>
      <c r="AM409" s="333">
        <v>-6.25389805E8</v>
      </c>
      <c r="AN409" s="15"/>
      <c r="AO409" s="40" t="s">
        <v>239</v>
      </c>
      <c r="AP409" s="336">
        <v>5.305406309E9</v>
      </c>
      <c r="AQ409" s="15"/>
      <c r="AR409" s="15" t="s">
        <v>442</v>
      </c>
      <c r="AS409" s="156">
        <v>1.33979150836E11</v>
      </c>
      <c r="AT409" s="156">
        <v>6.471583652E10</v>
      </c>
      <c r="AU409" s="156">
        <v>4.0652744355E10</v>
      </c>
      <c r="AV409" s="156">
        <v>2.2711063007E10</v>
      </c>
      <c r="AW409" s="156">
        <v>4.0652744355E10</v>
      </c>
      <c r="AX409" s="156">
        <v>1.72167354E9</v>
      </c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</row>
    <row r="410" hidden="1" outlineLevel="1">
      <c r="A410" s="15"/>
      <c r="B410" s="237" t="s">
        <v>234</v>
      </c>
      <c r="C410" s="172">
        <v>-12470.0</v>
      </c>
      <c r="D410" s="172">
        <v>-6659.0</v>
      </c>
      <c r="E410" s="172">
        <v>-3602.0</v>
      </c>
      <c r="F410" s="172">
        <v>-10285.0</v>
      </c>
      <c r="G410" s="172">
        <v>-12385.0</v>
      </c>
      <c r="H410" s="173">
        <v>-15270.0</v>
      </c>
      <c r="I410" s="15"/>
      <c r="J410" s="237" t="s">
        <v>228</v>
      </c>
      <c r="K410" s="172">
        <v>1955.0</v>
      </c>
      <c r="L410" s="172">
        <v>17706.0</v>
      </c>
      <c r="M410" s="188" t="s">
        <v>209</v>
      </c>
      <c r="N410" s="188" t="s">
        <v>209</v>
      </c>
      <c r="O410" s="188">
        <v>106.02</v>
      </c>
      <c r="P410" s="189" t="s">
        <v>209</v>
      </c>
      <c r="Q410" s="15"/>
      <c r="R410" s="237" t="s">
        <v>449</v>
      </c>
      <c r="S410" s="188">
        <v>-699.72</v>
      </c>
      <c r="T410" s="188" t="s">
        <v>209</v>
      </c>
      <c r="U410" s="188" t="s">
        <v>209</v>
      </c>
      <c r="V410" s="188" t="s">
        <v>209</v>
      </c>
      <c r="W410" s="188" t="s">
        <v>209</v>
      </c>
      <c r="X410" s="189" t="s">
        <v>209</v>
      </c>
      <c r="Y410" s="15"/>
      <c r="Z410" s="174" t="s">
        <v>244</v>
      </c>
      <c r="AA410" s="188" t="s">
        <v>209</v>
      </c>
      <c r="AB410" s="188" t="s">
        <v>209</v>
      </c>
      <c r="AC410" s="188" t="s">
        <v>209</v>
      </c>
      <c r="AD410" s="188" t="s">
        <v>209</v>
      </c>
      <c r="AE410" s="188">
        <v>22.55</v>
      </c>
      <c r="AF410" s="189">
        <v>12.92</v>
      </c>
      <c r="AG410" s="15"/>
      <c r="AH410" s="15" t="s">
        <v>238</v>
      </c>
      <c r="AI410" s="333">
        <v>5.859058715E9</v>
      </c>
      <c r="AJ410" s="333">
        <v>5.022243052E9</v>
      </c>
      <c r="AK410" s="333">
        <v>6.6544059485E10</v>
      </c>
      <c r="AL410" s="333">
        <v>-4.736539561E10</v>
      </c>
      <c r="AM410" s="333">
        <v>5.533256037E9</v>
      </c>
      <c r="AN410" s="15"/>
      <c r="AO410" s="40" t="s">
        <v>246</v>
      </c>
      <c r="AP410" s="30"/>
      <c r="AQ410" s="15"/>
      <c r="AR410" s="15" t="s">
        <v>444</v>
      </c>
      <c r="AS410" s="156">
        <v>5.2290500019E10</v>
      </c>
      <c r="AT410" s="156">
        <v>3.9372516512E10</v>
      </c>
      <c r="AU410" s="156">
        <v>2.3417212861E10</v>
      </c>
      <c r="AV410" s="156">
        <v>1.3206068628E10</v>
      </c>
      <c r="AW410" s="156">
        <v>2.3417212861E10</v>
      </c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</row>
    <row r="411" hidden="1" outlineLevel="1">
      <c r="A411" s="15"/>
      <c r="B411" s="237" t="s">
        <v>241</v>
      </c>
      <c r="C411" s="172">
        <v>1115.0</v>
      </c>
      <c r="D411" s="188">
        <v>11.19</v>
      </c>
      <c r="E411" s="188">
        <v>18.09</v>
      </c>
      <c r="F411" s="188">
        <v>121.9</v>
      </c>
      <c r="G411" s="188">
        <v>15.08</v>
      </c>
      <c r="H411" s="189">
        <v>44.79</v>
      </c>
      <c r="I411" s="15"/>
      <c r="J411" s="237" t="s">
        <v>235</v>
      </c>
      <c r="K411" s="172">
        <v>354277.0</v>
      </c>
      <c r="L411" s="172">
        <v>275062.0</v>
      </c>
      <c r="M411" s="172">
        <v>229362.0</v>
      </c>
      <c r="N411" s="172">
        <v>192956.0</v>
      </c>
      <c r="O411" s="172">
        <v>161464.0</v>
      </c>
      <c r="P411" s="173">
        <v>223906.0</v>
      </c>
      <c r="Q411" s="15"/>
      <c r="R411" s="237" t="s">
        <v>236</v>
      </c>
      <c r="S411" s="172">
        <v>-11138.0</v>
      </c>
      <c r="T411" s="172">
        <v>-10455.0</v>
      </c>
      <c r="U411" s="172">
        <v>-13244.0</v>
      </c>
      <c r="V411" s="172">
        <v>92103.0</v>
      </c>
      <c r="W411" s="172">
        <v>-31873.0</v>
      </c>
      <c r="X411" s="173">
        <v>-69220.0</v>
      </c>
      <c r="Y411" s="15"/>
      <c r="Z411" s="337" t="s">
        <v>250</v>
      </c>
      <c r="AA411" s="188">
        <v>1.03</v>
      </c>
      <c r="AB411" s="188">
        <v>1.21</v>
      </c>
      <c r="AC411" s="188">
        <v>0.77</v>
      </c>
      <c r="AD411" s="188">
        <v>3.59</v>
      </c>
      <c r="AE411" s="188">
        <v>1.99</v>
      </c>
      <c r="AF411" s="189">
        <v>1.24</v>
      </c>
      <c r="AG411" s="15"/>
      <c r="AH411" s="15" t="s">
        <v>245</v>
      </c>
      <c r="AI411" s="333">
        <v>-1.04513442E9</v>
      </c>
      <c r="AJ411" s="335"/>
      <c r="AK411" s="335"/>
      <c r="AL411" s="335"/>
      <c r="AM411" s="335"/>
      <c r="AN411" s="15"/>
      <c r="AO411" s="191" t="s">
        <v>252</v>
      </c>
      <c r="AP411" s="30"/>
      <c r="AQ411" s="15"/>
      <c r="AR411" s="15" t="s">
        <v>446</v>
      </c>
      <c r="AS411" s="156">
        <v>-6.5981350095E10</v>
      </c>
      <c r="AT411" s="156">
        <v>-5.1261256691E10</v>
      </c>
      <c r="AU411" s="156">
        <v>-2.5049377223E10</v>
      </c>
      <c r="AV411" s="156">
        <v>-8.373025534E9</v>
      </c>
      <c r="AW411" s="156">
        <v>-2.5049377223E10</v>
      </c>
      <c r="AX411" s="156">
        <v>1.1934452814E10</v>
      </c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</row>
    <row r="412" hidden="1" outlineLevel="1">
      <c r="A412" s="15"/>
      <c r="B412" s="237" t="s">
        <v>247</v>
      </c>
      <c r="C412" s="188">
        <v>0.89</v>
      </c>
      <c r="D412" s="188">
        <v>0.89</v>
      </c>
      <c r="E412" s="188">
        <v>13.35</v>
      </c>
      <c r="F412" s="188" t="s">
        <v>209</v>
      </c>
      <c r="G412" s="188" t="s">
        <v>209</v>
      </c>
      <c r="H412" s="189" t="s">
        <v>209</v>
      </c>
      <c r="I412" s="15"/>
      <c r="J412" s="237" t="s">
        <v>242</v>
      </c>
      <c r="K412" s="172">
        <v>85782.0</v>
      </c>
      <c r="L412" s="172">
        <v>88256.0</v>
      </c>
      <c r="M412" s="172">
        <v>81940.0</v>
      </c>
      <c r="N412" s="172">
        <v>73498.0</v>
      </c>
      <c r="O412" s="172">
        <v>194266.0</v>
      </c>
      <c r="P412" s="173">
        <v>171377.0</v>
      </c>
      <c r="Q412" s="15"/>
      <c r="R412" s="206" t="s">
        <v>243</v>
      </c>
      <c r="S412" s="208" t="s">
        <v>209</v>
      </c>
      <c r="T412" s="222">
        <v>45746.0</v>
      </c>
      <c r="U412" s="222">
        <v>46174.0</v>
      </c>
      <c r="V412" s="208" t="s">
        <v>209</v>
      </c>
      <c r="W412" s="222">
        <v>25636.0</v>
      </c>
      <c r="X412" s="273" t="s">
        <v>209</v>
      </c>
      <c r="Y412" s="15"/>
      <c r="Z412" s="174" t="s">
        <v>257</v>
      </c>
      <c r="AA412" s="188">
        <v>14.85</v>
      </c>
      <c r="AB412" s="188">
        <v>17.82</v>
      </c>
      <c r="AC412" s="188">
        <v>8.14</v>
      </c>
      <c r="AD412" s="188" t="s">
        <v>209</v>
      </c>
      <c r="AE412" s="188" t="s">
        <v>209</v>
      </c>
      <c r="AF412" s="189">
        <v>14.65</v>
      </c>
      <c r="AG412" s="15"/>
      <c r="AH412" s="15" t="s">
        <v>251</v>
      </c>
      <c r="AI412" s="333">
        <v>-4.74454909E8</v>
      </c>
      <c r="AJ412" s="335"/>
      <c r="AK412" s="335"/>
      <c r="AL412" s="335"/>
      <c r="AM412" s="335"/>
      <c r="AN412" s="15"/>
      <c r="AO412" s="191" t="s">
        <v>259</v>
      </c>
      <c r="AP412" s="30"/>
      <c r="AQ412" s="15"/>
      <c r="AR412" s="15" t="s">
        <v>447</v>
      </c>
      <c r="AS412" s="156">
        <v>1.2028830076E11</v>
      </c>
      <c r="AT412" s="156">
        <v>5.2827096341E10</v>
      </c>
      <c r="AU412" s="156">
        <v>3.9020579993E10</v>
      </c>
      <c r="AV412" s="156">
        <v>2.7544106101E10</v>
      </c>
      <c r="AW412" s="156">
        <v>3.9020579993E10</v>
      </c>
      <c r="AX412" s="156">
        <v>3.33719008E8</v>
      </c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</row>
    <row r="413" hidden="1" outlineLevel="1">
      <c r="A413" s="15"/>
      <c r="B413" s="237" t="s">
        <v>254</v>
      </c>
      <c r="C413" s="172">
        <v>1328.0</v>
      </c>
      <c r="D413" s="172">
        <v>1893.0</v>
      </c>
      <c r="E413" s="172">
        <v>-2466.0</v>
      </c>
      <c r="F413" s="172">
        <v>-1827.0</v>
      </c>
      <c r="G413" s="172">
        <v>-3514.0</v>
      </c>
      <c r="H413" s="189">
        <v>-625.39</v>
      </c>
      <c r="I413" s="15"/>
      <c r="J413" s="237" t="s">
        <v>255</v>
      </c>
      <c r="K413" s="172">
        <v>3299.0</v>
      </c>
      <c r="L413" s="172">
        <v>3264.0</v>
      </c>
      <c r="M413" s="172">
        <v>3734.0</v>
      </c>
      <c r="N413" s="172">
        <v>5821.0</v>
      </c>
      <c r="O413" s="172">
        <v>12228.0</v>
      </c>
      <c r="P413" s="173">
        <v>3113.0</v>
      </c>
      <c r="Q413" s="15"/>
      <c r="R413" s="237" t="s">
        <v>249</v>
      </c>
      <c r="S413" s="188" t="s">
        <v>209</v>
      </c>
      <c r="T413" s="188" t="s">
        <v>209</v>
      </c>
      <c r="U413" s="188" t="s">
        <v>209</v>
      </c>
      <c r="V413" s="172">
        <v>4020.0</v>
      </c>
      <c r="W413" s="188" t="s">
        <v>209</v>
      </c>
      <c r="X413" s="189" t="s">
        <v>209</v>
      </c>
      <c r="Y413" s="15"/>
      <c r="Z413" s="206" t="s">
        <v>264</v>
      </c>
      <c r="AA413" s="208">
        <v>19.45</v>
      </c>
      <c r="AB413" s="208">
        <v>25.7</v>
      </c>
      <c r="AC413" s="208">
        <v>11.67</v>
      </c>
      <c r="AD413" s="208" t="s">
        <v>209</v>
      </c>
      <c r="AE413" s="208" t="s">
        <v>209</v>
      </c>
      <c r="AF413" s="273">
        <v>20.4</v>
      </c>
      <c r="AG413" s="15"/>
      <c r="AH413" s="15" t="s">
        <v>258</v>
      </c>
      <c r="AI413" s="333">
        <v>-1.519589329E9</v>
      </c>
      <c r="AJ413" s="333">
        <v>-2.036952583E9</v>
      </c>
      <c r="AK413" s="333">
        <v>-6.409361365E9</v>
      </c>
      <c r="AL413" s="333">
        <v>9.114023056E9</v>
      </c>
      <c r="AM413" s="333">
        <v>-1.243806339E9</v>
      </c>
      <c r="AN413" s="15"/>
      <c r="AO413" s="196" t="s">
        <v>266</v>
      </c>
      <c r="AP413" s="30"/>
      <c r="AQ413" s="15"/>
      <c r="AR413" s="15" t="s">
        <v>450</v>
      </c>
      <c r="AS413" s="156">
        <v>5.305406309E9</v>
      </c>
      <c r="AT413" s="156">
        <v>1.388317744E9</v>
      </c>
      <c r="AU413" s="156">
        <v>2.10130036E8</v>
      </c>
      <c r="AV413" s="156">
        <v>1.1254861E7</v>
      </c>
      <c r="AW413" s="156">
        <v>2.10130036E8</v>
      </c>
      <c r="AX413" s="156">
        <v>9.9450678E7</v>
      </c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</row>
    <row r="414" hidden="1" outlineLevel="1">
      <c r="A414" s="15"/>
      <c r="B414" s="237" t="s">
        <v>261</v>
      </c>
      <c r="C414" s="172">
        <v>6431.0</v>
      </c>
      <c r="D414" s="172">
        <v>5859.0</v>
      </c>
      <c r="E414" s="172">
        <v>5022.0</v>
      </c>
      <c r="F414" s="172">
        <v>-42325.0</v>
      </c>
      <c r="G414" s="172">
        <v>-47365.0</v>
      </c>
      <c r="H414" s="173">
        <v>5533.0</v>
      </c>
      <c r="I414" s="15"/>
      <c r="J414" s="338" t="s">
        <v>262</v>
      </c>
      <c r="K414" s="339">
        <v>443357.0</v>
      </c>
      <c r="L414" s="339">
        <v>366582.0</v>
      </c>
      <c r="M414" s="339">
        <v>315037.0</v>
      </c>
      <c r="N414" s="339">
        <v>272275.0</v>
      </c>
      <c r="O414" s="339">
        <v>367959.0</v>
      </c>
      <c r="P414" s="340">
        <v>398395.0</v>
      </c>
      <c r="Q414" s="15"/>
      <c r="R414" s="237" t="s">
        <v>256</v>
      </c>
      <c r="S414" s="172">
        <v>60480.0</v>
      </c>
      <c r="T414" s="172">
        <v>45746.0</v>
      </c>
      <c r="U414" s="172">
        <v>46174.0</v>
      </c>
      <c r="V414" s="172">
        <v>4020.0</v>
      </c>
      <c r="W414" s="172">
        <v>25636.0</v>
      </c>
      <c r="X414" s="189" t="s">
        <v>209</v>
      </c>
      <c r="Y414" s="15"/>
      <c r="Z414" s="174" t="s">
        <v>277</v>
      </c>
      <c r="AA414" s="188">
        <v>0.76</v>
      </c>
      <c r="AB414" s="188">
        <v>0.5</v>
      </c>
      <c r="AC414" s="188">
        <v>0.31</v>
      </c>
      <c r="AD414" s="188">
        <v>0.12</v>
      </c>
      <c r="AE414" s="188">
        <v>0.92</v>
      </c>
      <c r="AF414" s="189">
        <v>0.66</v>
      </c>
      <c r="AG414" s="15"/>
      <c r="AH414" s="15" t="s">
        <v>265</v>
      </c>
      <c r="AI414" s="333">
        <v>4.324406976E9</v>
      </c>
      <c r="AJ414" s="333">
        <v>3.162981176E9</v>
      </c>
      <c r="AK414" s="333">
        <v>6.0126451338E10</v>
      </c>
      <c r="AL414" s="333">
        <v>-3.8258209198E10</v>
      </c>
      <c r="AM414" s="333">
        <v>4.284389381E9</v>
      </c>
      <c r="AN414" s="15"/>
      <c r="AO414" s="196" t="s">
        <v>272</v>
      </c>
      <c r="AP414" s="30"/>
      <c r="AQ414" s="15"/>
      <c r="AR414" s="15" t="s">
        <v>452</v>
      </c>
      <c r="AS414" s="156">
        <v>2.439534758E9</v>
      </c>
      <c r="AT414" s="156">
        <v>2.037547296E9</v>
      </c>
      <c r="AU414" s="156">
        <v>1.944653032E9</v>
      </c>
      <c r="AV414" s="156">
        <v>1.471798379E9</v>
      </c>
      <c r="AW414" s="156">
        <v>1.944653032E9</v>
      </c>
      <c r="AX414" s="156">
        <v>5.2145034E7</v>
      </c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</row>
    <row r="415" hidden="1" outlineLevel="1">
      <c r="A415" s="15"/>
      <c r="B415" s="237" t="s">
        <v>268</v>
      </c>
      <c r="C415" s="188" t="s">
        <v>209</v>
      </c>
      <c r="D415" s="188" t="s">
        <v>209</v>
      </c>
      <c r="E415" s="188" t="s">
        <v>209</v>
      </c>
      <c r="F415" s="172">
        <v>108869.0</v>
      </c>
      <c r="G415" s="188" t="s">
        <v>209</v>
      </c>
      <c r="H415" s="189" t="s">
        <v>209</v>
      </c>
      <c r="I415" s="15"/>
      <c r="J415" s="157" t="s">
        <v>269</v>
      </c>
      <c r="K415" s="243">
        <v>12273.0</v>
      </c>
      <c r="L415" s="243">
        <v>2644.0</v>
      </c>
      <c r="M415" s="243">
        <v>4068.0</v>
      </c>
      <c r="N415" s="243">
        <v>8758.0</v>
      </c>
      <c r="O415" s="243">
        <v>26458.0</v>
      </c>
      <c r="P415" s="290">
        <v>39150.0</v>
      </c>
      <c r="Q415" s="15"/>
      <c r="R415" s="237" t="s">
        <v>263</v>
      </c>
      <c r="S415" s="188" t="s">
        <v>209</v>
      </c>
      <c r="T415" s="188" t="s">
        <v>209</v>
      </c>
      <c r="U415" s="188" t="s">
        <v>209</v>
      </c>
      <c r="V415" s="172">
        <v>-22620.0</v>
      </c>
      <c r="W415" s="172">
        <v>-1438.0</v>
      </c>
      <c r="X415" s="173">
        <v>-2657.0</v>
      </c>
      <c r="Y415" s="15"/>
      <c r="Z415" s="174" t="s">
        <v>284</v>
      </c>
      <c r="AA415" s="188">
        <v>8.54</v>
      </c>
      <c r="AB415" s="188">
        <v>7.81</v>
      </c>
      <c r="AC415" s="188">
        <v>4.62</v>
      </c>
      <c r="AD415" s="188" t="s">
        <v>209</v>
      </c>
      <c r="AE415" s="188" t="s">
        <v>209</v>
      </c>
      <c r="AF415" s="189">
        <v>4.65</v>
      </c>
      <c r="AG415" s="15"/>
      <c r="AH415" s="15"/>
      <c r="AI415" s="335"/>
      <c r="AJ415" s="335"/>
      <c r="AK415" s="335"/>
      <c r="AL415" s="335"/>
      <c r="AM415" s="335"/>
      <c r="AN415" s="15"/>
      <c r="AO415" s="191" t="s">
        <v>279</v>
      </c>
      <c r="AP415" s="30"/>
      <c r="AQ415" s="15"/>
      <c r="AR415" s="15" t="s">
        <v>453</v>
      </c>
      <c r="AS415" s="156">
        <v>2.67819105E9</v>
      </c>
      <c r="AT415" s="156">
        <v>8.88941527E8</v>
      </c>
      <c r="AU415" s="156">
        <v>5.90148429E8</v>
      </c>
      <c r="AV415" s="156">
        <v>8359422.0</v>
      </c>
      <c r="AW415" s="156">
        <v>5.90148429E8</v>
      </c>
      <c r="AX415" s="156">
        <v>4.541583641E9</v>
      </c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</row>
    <row r="416" hidden="1" outlineLevel="1">
      <c r="A416" s="15"/>
      <c r="B416" s="237" t="s">
        <v>281</v>
      </c>
      <c r="C416" s="172">
        <v>6431.0</v>
      </c>
      <c r="D416" s="172">
        <v>5859.0</v>
      </c>
      <c r="E416" s="172">
        <v>5022.0</v>
      </c>
      <c r="F416" s="172">
        <v>66544.0</v>
      </c>
      <c r="G416" s="172">
        <v>-47365.0</v>
      </c>
      <c r="H416" s="173">
        <v>5533.0</v>
      </c>
      <c r="I416" s="15"/>
      <c r="J416" s="289" t="s">
        <v>275</v>
      </c>
      <c r="K416" s="243">
        <v>2064.0</v>
      </c>
      <c r="L416" s="186" t="s">
        <v>209</v>
      </c>
      <c r="M416" s="186" t="s">
        <v>209</v>
      </c>
      <c r="N416" s="186" t="s">
        <v>209</v>
      </c>
      <c r="O416" s="243">
        <v>8434.0</v>
      </c>
      <c r="P416" s="290">
        <v>1630.0</v>
      </c>
      <c r="Q416" s="15"/>
      <c r="R416" s="237" t="s">
        <v>270</v>
      </c>
      <c r="S416" s="188" t="s">
        <v>209</v>
      </c>
      <c r="T416" s="188">
        <v>-139.38</v>
      </c>
      <c r="U416" s="188" t="s">
        <v>209</v>
      </c>
      <c r="V416" s="172">
        <v>-1768.0</v>
      </c>
      <c r="W416" s="172">
        <v>-3438.0</v>
      </c>
      <c r="X416" s="173">
        <v>-9811.0</v>
      </c>
      <c r="Y416" s="15"/>
      <c r="Z416" s="174" t="s">
        <v>294</v>
      </c>
      <c r="AA416" s="188">
        <v>0.74</v>
      </c>
      <c r="AB416" s="188">
        <v>0.44</v>
      </c>
      <c r="AC416" s="188">
        <v>0.28</v>
      </c>
      <c r="AD416" s="188">
        <v>0.12</v>
      </c>
      <c r="AE416" s="188">
        <v>0.92</v>
      </c>
      <c r="AF416" s="189">
        <v>0.64</v>
      </c>
      <c r="AG416" s="15"/>
      <c r="AH416" s="15" t="s">
        <v>278</v>
      </c>
      <c r="AI416" s="333">
        <f t="shared" ref="AI416:AM416" si="104">AI403+AI404+AI406+AI407</f>
        <v>10316937715</v>
      </c>
      <c r="AJ416" s="333">
        <f t="shared" si="104"/>
        <v>5022243052</v>
      </c>
      <c r="AK416" s="333">
        <f t="shared" si="104"/>
        <v>96234027062</v>
      </c>
      <c r="AL416" s="333">
        <f t="shared" si="104"/>
        <v>-47365395610</v>
      </c>
      <c r="AM416" s="333">
        <f t="shared" si="104"/>
        <v>5533256037</v>
      </c>
      <c r="AN416" s="15"/>
      <c r="AO416" s="15"/>
      <c r="AP416" s="15"/>
      <c r="AQ416" s="15"/>
      <c r="AR416" s="15" t="s">
        <v>455</v>
      </c>
      <c r="AS416" s="156">
        <v>4.790672365E9</v>
      </c>
      <c r="AT416" s="156">
        <v>1.556551198E9</v>
      </c>
      <c r="AU416" s="156">
        <v>4.49071249E8</v>
      </c>
      <c r="AV416" s="156">
        <v>5594658.0</v>
      </c>
      <c r="AW416" s="156">
        <v>4.49071249E8</v>
      </c>
      <c r="AX416" s="156">
        <v>1.26797899E8</v>
      </c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</row>
    <row r="417" hidden="1" outlineLevel="1">
      <c r="A417" s="15"/>
      <c r="B417" s="237" t="s">
        <v>286</v>
      </c>
      <c r="C417" s="172">
        <v>1403.0</v>
      </c>
      <c r="D417" s="172">
        <v>1520.0</v>
      </c>
      <c r="E417" s="172">
        <v>2037.0</v>
      </c>
      <c r="F417" s="172">
        <v>6409.0</v>
      </c>
      <c r="G417" s="172">
        <v>-9114.0</v>
      </c>
      <c r="H417" s="173">
        <v>1244.0</v>
      </c>
      <c r="I417" s="15"/>
      <c r="J417" s="289" t="s">
        <v>282</v>
      </c>
      <c r="K417" s="243">
        <v>183650.0</v>
      </c>
      <c r="L417" s="186" t="s">
        <v>209</v>
      </c>
      <c r="M417" s="186" t="s">
        <v>209</v>
      </c>
      <c r="N417" s="243">
        <v>26400.0</v>
      </c>
      <c r="O417" s="243">
        <v>148697.0</v>
      </c>
      <c r="P417" s="290">
        <v>124500.0</v>
      </c>
      <c r="Q417" s="15"/>
      <c r="R417" s="237" t="s">
        <v>276</v>
      </c>
      <c r="S417" s="172">
        <v>48680.0</v>
      </c>
      <c r="T417" s="188">
        <v>-139.38</v>
      </c>
      <c r="U417" s="188" t="s">
        <v>209</v>
      </c>
      <c r="V417" s="172">
        <v>-24388.0</v>
      </c>
      <c r="W417" s="172">
        <v>-4876.0</v>
      </c>
      <c r="X417" s="173">
        <v>-12468.0</v>
      </c>
      <c r="Y417" s="15"/>
      <c r="Z417" s="174" t="s">
        <v>300</v>
      </c>
      <c r="AA417" s="188">
        <v>8.24</v>
      </c>
      <c r="AB417" s="188">
        <v>6.92</v>
      </c>
      <c r="AC417" s="188">
        <v>4.11</v>
      </c>
      <c r="AD417" s="188">
        <v>-1.03</v>
      </c>
      <c r="AE417" s="188">
        <v>-7.05</v>
      </c>
      <c r="AF417" s="189">
        <v>4.5</v>
      </c>
      <c r="AG417" s="15"/>
      <c r="AH417" s="15" t="s">
        <v>136</v>
      </c>
      <c r="AI417" s="333">
        <f t="shared" ref="AI417:AM417" si="105">AI414/AI401</f>
        <v>0.01915152038</v>
      </c>
      <c r="AJ417" s="333">
        <f t="shared" si="105"/>
        <v>0.01882647948</v>
      </c>
      <c r="AK417" s="333">
        <f t="shared" si="105"/>
        <v>1.149943793</v>
      </c>
      <c r="AL417" s="333">
        <f t="shared" si="105"/>
        <v>-0.2477974684</v>
      </c>
      <c r="AM417" s="333">
        <f t="shared" si="105"/>
        <v>0.01215941885</v>
      </c>
      <c r="AN417" s="15"/>
      <c r="AO417" s="15"/>
      <c r="AP417" s="15"/>
      <c r="AQ417" s="15"/>
      <c r="AR417" s="15" t="s">
        <v>456</v>
      </c>
      <c r="AS417" s="156">
        <v>4.084299498E9</v>
      </c>
      <c r="AT417" s="156">
        <v>1.806574415E9</v>
      </c>
      <c r="AU417" s="156">
        <v>2.40137782E8</v>
      </c>
      <c r="AV417" s="156">
        <v>0.0</v>
      </c>
      <c r="AW417" s="156">
        <v>2.40137782E8</v>
      </c>
      <c r="AX417" s="156">
        <v>5.2573187E7</v>
      </c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</row>
    <row r="418" hidden="1" outlineLevel="1">
      <c r="A418" s="15"/>
      <c r="B418" s="237" t="s">
        <v>185</v>
      </c>
      <c r="C418" s="172">
        <v>5029.0</v>
      </c>
      <c r="D418" s="172">
        <v>4339.0</v>
      </c>
      <c r="E418" s="172">
        <v>2985.0</v>
      </c>
      <c r="F418" s="172">
        <v>60135.0</v>
      </c>
      <c r="G418" s="172">
        <v>-38251.0</v>
      </c>
      <c r="H418" s="173">
        <v>4289.0</v>
      </c>
      <c r="I418" s="15"/>
      <c r="J418" s="289" t="s">
        <v>287</v>
      </c>
      <c r="K418" s="186">
        <v>153.56</v>
      </c>
      <c r="L418" s="243">
        <v>118980.0</v>
      </c>
      <c r="M418" s="243">
        <v>72574.0</v>
      </c>
      <c r="N418" s="243">
        <v>1680.0</v>
      </c>
      <c r="O418" s="243">
        <v>10040.0</v>
      </c>
      <c r="P418" s="290">
        <v>8485.0</v>
      </c>
      <c r="Q418" s="15"/>
      <c r="R418" s="237" t="s">
        <v>283</v>
      </c>
      <c r="S418" s="172">
        <v>109160.0</v>
      </c>
      <c r="T418" s="172">
        <v>45606.0</v>
      </c>
      <c r="U418" s="172">
        <v>46174.0</v>
      </c>
      <c r="V418" s="172">
        <v>-20368.0</v>
      </c>
      <c r="W418" s="172">
        <v>20760.0</v>
      </c>
      <c r="X418" s="173">
        <v>-12468.0</v>
      </c>
      <c r="Y418" s="15"/>
      <c r="Z418" s="174" t="s">
        <v>304</v>
      </c>
      <c r="AA418" s="188">
        <v>-1.67</v>
      </c>
      <c r="AB418" s="188">
        <v>-2.71</v>
      </c>
      <c r="AC418" s="188">
        <v>-1.66</v>
      </c>
      <c r="AD418" s="188">
        <v>-0.21</v>
      </c>
      <c r="AE418" s="188">
        <v>-6.42</v>
      </c>
      <c r="AF418" s="189">
        <v>-2.89</v>
      </c>
      <c r="AG418" s="15"/>
      <c r="AH418" s="15"/>
      <c r="AI418" s="335"/>
      <c r="AJ418" s="335"/>
      <c r="AK418" s="335"/>
      <c r="AL418" s="335"/>
      <c r="AM418" s="335"/>
      <c r="AN418" s="15"/>
      <c r="AO418" s="151" t="s">
        <v>295</v>
      </c>
      <c r="AP418" s="15"/>
      <c r="AQ418" s="15"/>
      <c r="AR418" s="15" t="s">
        <v>457</v>
      </c>
      <c r="AS418" s="156">
        <v>1.929810398E10</v>
      </c>
      <c r="AT418" s="156">
        <v>7.67793218E9</v>
      </c>
      <c r="AU418" s="156">
        <v>3.434140528E9</v>
      </c>
      <c r="AV418" s="156">
        <v>1.49700732E9</v>
      </c>
      <c r="AW418" s="156">
        <v>3.434140528E9</v>
      </c>
      <c r="AX418" s="156">
        <v>8.220569294E9</v>
      </c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</row>
    <row r="419" hidden="1" outlineLevel="1">
      <c r="A419" s="15"/>
      <c r="B419" s="237" t="s">
        <v>306</v>
      </c>
      <c r="C419" s="172">
        <v>5029.0</v>
      </c>
      <c r="D419" s="172">
        <v>4339.0</v>
      </c>
      <c r="E419" s="172">
        <v>2985.0</v>
      </c>
      <c r="F419" s="172">
        <v>60135.0</v>
      </c>
      <c r="G419" s="172">
        <v>-38251.0</v>
      </c>
      <c r="H419" s="173">
        <v>4289.0</v>
      </c>
      <c r="I419" s="15"/>
      <c r="J419" s="289" t="s">
        <v>292</v>
      </c>
      <c r="K419" s="186" t="s">
        <v>209</v>
      </c>
      <c r="L419" s="186">
        <v>296.13</v>
      </c>
      <c r="M419" s="186" t="s">
        <v>209</v>
      </c>
      <c r="N419" s="186" t="s">
        <v>209</v>
      </c>
      <c r="O419" s="186">
        <v>88.48</v>
      </c>
      <c r="P419" s="187">
        <v>169.15</v>
      </c>
      <c r="Q419" s="15"/>
      <c r="R419" s="237" t="s">
        <v>459</v>
      </c>
      <c r="S419" s="188" t="s">
        <v>209</v>
      </c>
      <c r="T419" s="188" t="s">
        <v>209</v>
      </c>
      <c r="U419" s="188" t="s">
        <v>209</v>
      </c>
      <c r="V419" s="188" t="s">
        <v>209</v>
      </c>
      <c r="W419" s="188" t="s">
        <v>209</v>
      </c>
      <c r="X419" s="173">
        <v>64805.0</v>
      </c>
      <c r="Y419" s="15"/>
      <c r="Z419" s="174" t="s">
        <v>309</v>
      </c>
      <c r="AA419" s="188">
        <v>0.82</v>
      </c>
      <c r="AB419" s="188">
        <v>0.66</v>
      </c>
      <c r="AC419" s="188">
        <v>0.57</v>
      </c>
      <c r="AD419" s="188">
        <v>0.16</v>
      </c>
      <c r="AE419" s="188">
        <v>0.4</v>
      </c>
      <c r="AF419" s="189">
        <v>0.98</v>
      </c>
      <c r="AG419" s="15"/>
      <c r="AH419" s="15" t="s">
        <v>529</v>
      </c>
      <c r="AI419" s="335"/>
      <c r="AJ419" s="335"/>
      <c r="AK419" s="335"/>
      <c r="AL419" s="335"/>
      <c r="AM419" s="335"/>
      <c r="AN419" s="15"/>
      <c r="AO419" s="15"/>
      <c r="AP419" s="15"/>
      <c r="AQ419" s="15"/>
      <c r="AR419" s="138" t="s">
        <v>458</v>
      </c>
      <c r="AS419" s="15"/>
      <c r="AT419" s="15"/>
      <c r="AU419" s="15"/>
      <c r="AV419" s="15"/>
      <c r="AW419" s="15"/>
      <c r="AX419" s="156">
        <v>0.0</v>
      </c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</row>
    <row r="420" hidden="1" outlineLevel="1">
      <c r="A420" s="15"/>
      <c r="B420" s="157" t="s">
        <v>312</v>
      </c>
      <c r="C420" s="185">
        <v>0.5035</v>
      </c>
      <c r="D420" s="185">
        <v>0.4536</v>
      </c>
      <c r="E420" s="184">
        <v>-0.9504</v>
      </c>
      <c r="F420" s="186" t="s">
        <v>209</v>
      </c>
      <c r="G420" s="186" t="s">
        <v>209</v>
      </c>
      <c r="H420" s="341">
        <v>-0.1988</v>
      </c>
      <c r="I420" s="15"/>
      <c r="J420" s="289" t="s">
        <v>298</v>
      </c>
      <c r="K420" s="243">
        <v>1361.0</v>
      </c>
      <c r="L420" s="243">
        <v>3067.0</v>
      </c>
      <c r="M420" s="186">
        <v>187.58</v>
      </c>
      <c r="N420" s="186">
        <v>402.97</v>
      </c>
      <c r="O420" s="186">
        <v>4.25</v>
      </c>
      <c r="P420" s="290">
        <v>3536.0</v>
      </c>
      <c r="Q420" s="15"/>
      <c r="R420" s="237" t="s">
        <v>288</v>
      </c>
      <c r="S420" s="188">
        <v>-895.59</v>
      </c>
      <c r="T420" s="188">
        <v>-895.59</v>
      </c>
      <c r="U420" s="188" t="s">
        <v>209</v>
      </c>
      <c r="V420" s="188" t="s">
        <v>209</v>
      </c>
      <c r="W420" s="188" t="s">
        <v>209</v>
      </c>
      <c r="X420" s="189" t="s">
        <v>209</v>
      </c>
      <c r="Y420" s="15"/>
      <c r="Z420" s="174" t="s">
        <v>20</v>
      </c>
      <c r="AA420" s="188">
        <v>1.94</v>
      </c>
      <c r="AB420" s="188">
        <v>1.87</v>
      </c>
      <c r="AC420" s="188">
        <v>1.29</v>
      </c>
      <c r="AD420" s="188">
        <v>0.68</v>
      </c>
      <c r="AE420" s="188">
        <v>2.42</v>
      </c>
      <c r="AF420" s="189">
        <v>4.1</v>
      </c>
      <c r="AG420" s="15"/>
      <c r="AH420" s="15" t="s">
        <v>169</v>
      </c>
      <c r="AI420" s="333">
        <v>2025.0</v>
      </c>
      <c r="AJ420" s="333">
        <v>2024.0</v>
      </c>
      <c r="AK420" s="333">
        <v>2023.0</v>
      </c>
      <c r="AL420" s="333">
        <v>2022.0</v>
      </c>
      <c r="AM420" s="333">
        <v>2021.0</v>
      </c>
      <c r="AN420" s="15"/>
      <c r="AO420" s="40"/>
      <c r="AP420" s="21" t="str">
        <f>"Bulan "&amp;$C$3&amp;" 2026"</f>
        <v>Bulan  2026</v>
      </c>
      <c r="AQ420" s="15"/>
      <c r="AR420" s="15" t="s">
        <v>460</v>
      </c>
      <c r="AS420" s="156">
        <v>2.912067377E9</v>
      </c>
      <c r="AT420" s="156">
        <v>9.52420174E8</v>
      </c>
      <c r="AU420" s="156">
        <v>3.12754339E8</v>
      </c>
      <c r="AV420" s="156">
        <v>1.01395512E8</v>
      </c>
      <c r="AW420" s="156">
        <v>3.12754339E8</v>
      </c>
      <c r="AX420" s="156">
        <v>2.5602E8</v>
      </c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</row>
    <row r="421" hidden="1" outlineLevel="1">
      <c r="A421" s="15"/>
      <c r="B421" s="237" t="s">
        <v>317</v>
      </c>
      <c r="C421" s="172">
        <v>3240.0</v>
      </c>
      <c r="D421" s="172">
        <v>3240.0</v>
      </c>
      <c r="E421" s="172">
        <v>3240.0</v>
      </c>
      <c r="F421" s="172">
        <v>3240.0</v>
      </c>
      <c r="G421" s="172">
        <v>3240.0</v>
      </c>
      <c r="H421" s="173">
        <v>3240.0</v>
      </c>
      <c r="I421" s="15"/>
      <c r="J421" s="289" t="s">
        <v>313</v>
      </c>
      <c r="K421" s="243">
        <v>199501.0</v>
      </c>
      <c r="L421" s="243">
        <v>124987.0</v>
      </c>
      <c r="M421" s="243">
        <v>76830.0</v>
      </c>
      <c r="N421" s="243">
        <v>37241.0</v>
      </c>
      <c r="O421" s="243">
        <v>193722.0</v>
      </c>
      <c r="P421" s="290">
        <v>177470.0</v>
      </c>
      <c r="Q421" s="15"/>
      <c r="R421" s="237" t="s">
        <v>417</v>
      </c>
      <c r="S421" s="188" t="s">
        <v>209</v>
      </c>
      <c r="T421" s="188" t="s">
        <v>209</v>
      </c>
      <c r="U421" s="188" t="s">
        <v>209</v>
      </c>
      <c r="V421" s="172">
        <v>16080.0</v>
      </c>
      <c r="W421" s="188" t="s">
        <v>209</v>
      </c>
      <c r="X421" s="173">
        <v>-3474.0</v>
      </c>
      <c r="Y421" s="15"/>
      <c r="Z421" s="174" t="s">
        <v>17</v>
      </c>
      <c r="AA421" s="188">
        <v>1.07</v>
      </c>
      <c r="AB421" s="188">
        <v>1.39</v>
      </c>
      <c r="AC421" s="188">
        <v>1.68</v>
      </c>
      <c r="AD421" s="188">
        <v>2.58</v>
      </c>
      <c r="AE421" s="188">
        <v>0.55</v>
      </c>
      <c r="AF421" s="189">
        <v>0.83</v>
      </c>
      <c r="AG421" s="15"/>
      <c r="AH421" s="15" t="s">
        <v>530</v>
      </c>
      <c r="AI421" s="333">
        <v>2.25799669734E11</v>
      </c>
      <c r="AJ421" s="333">
        <v>1.68007044537E11</v>
      </c>
      <c r="AK421" s="333">
        <v>5.2286426282E10</v>
      </c>
      <c r="AL421" s="333">
        <v>1.54393059177E11</v>
      </c>
      <c r="AM421" s="333">
        <v>3.52351492551E11</v>
      </c>
      <c r="AN421" s="15"/>
      <c r="AO421" s="40" t="s">
        <v>310</v>
      </c>
      <c r="AP421" s="30"/>
      <c r="AQ421" s="15"/>
      <c r="AR421" s="15" t="s">
        <v>461</v>
      </c>
      <c r="AS421" s="156">
        <v>8.18409598E8</v>
      </c>
      <c r="AT421" s="156">
        <v>1.16536792E8</v>
      </c>
      <c r="AU421" s="156">
        <v>5.5328222E7</v>
      </c>
      <c r="AV421" s="156">
        <v>1.472281228E9</v>
      </c>
      <c r="AW421" s="156">
        <v>5.5328222E7</v>
      </c>
      <c r="AX421" s="156">
        <v>2.5345139E8</v>
      </c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</row>
    <row r="422" hidden="1" outlineLevel="1">
      <c r="A422" s="15"/>
      <c r="B422" s="237" t="s">
        <v>322</v>
      </c>
      <c r="C422" s="172">
        <v>3240.0</v>
      </c>
      <c r="D422" s="172">
        <v>3240.0</v>
      </c>
      <c r="E422" s="172">
        <v>3240.0</v>
      </c>
      <c r="F422" s="172">
        <v>3240.0</v>
      </c>
      <c r="G422" s="172">
        <v>3240.0</v>
      </c>
      <c r="H422" s="173">
        <v>3240.0</v>
      </c>
      <c r="I422" s="15"/>
      <c r="J422" s="289" t="s">
        <v>318</v>
      </c>
      <c r="K422" s="186">
        <v>319.75</v>
      </c>
      <c r="L422" s="186" t="s">
        <v>209</v>
      </c>
      <c r="M422" s="186">
        <v>660.0</v>
      </c>
      <c r="N422" s="186">
        <v>660.0</v>
      </c>
      <c r="O422" s="186">
        <v>303.54</v>
      </c>
      <c r="P422" s="290">
        <v>5127.0</v>
      </c>
      <c r="Q422" s="15"/>
      <c r="R422" s="237" t="s">
        <v>293</v>
      </c>
      <c r="S422" s="172">
        <v>108264.0</v>
      </c>
      <c r="T422" s="172">
        <v>44711.0</v>
      </c>
      <c r="U422" s="172">
        <v>46174.0</v>
      </c>
      <c r="V422" s="172">
        <v>-4288.0</v>
      </c>
      <c r="W422" s="172">
        <v>20760.0</v>
      </c>
      <c r="X422" s="173">
        <v>48863.0</v>
      </c>
      <c r="Y422" s="15"/>
      <c r="Z422" s="174" t="s">
        <v>14</v>
      </c>
      <c r="AA422" s="188">
        <v>1.78</v>
      </c>
      <c r="AB422" s="188">
        <v>2.2</v>
      </c>
      <c r="AC422" s="188">
        <v>2.99</v>
      </c>
      <c r="AD422" s="188">
        <v>5.18</v>
      </c>
      <c r="AE422" s="188">
        <v>0.83</v>
      </c>
      <c r="AF422" s="189">
        <v>1.26</v>
      </c>
      <c r="AG422" s="15"/>
      <c r="AH422" s="15" t="s">
        <v>531</v>
      </c>
      <c r="AI422" s="333">
        <v>-1.70719322124E11</v>
      </c>
      <c r="AJ422" s="333">
        <v>-1.26321418635E11</v>
      </c>
      <c r="AK422" s="333">
        <v>-5.0293288807E10</v>
      </c>
      <c r="AL422" s="333">
        <v>-1.55279309889E11</v>
      </c>
      <c r="AM422" s="333">
        <v>-2.94384492194E11</v>
      </c>
      <c r="AN422" s="15"/>
      <c r="AO422" s="40" t="s">
        <v>315</v>
      </c>
      <c r="AP422" s="30"/>
      <c r="AQ422" s="15"/>
      <c r="AR422" s="15" t="s">
        <v>462</v>
      </c>
      <c r="AS422" s="156">
        <v>1.201205483E10</v>
      </c>
      <c r="AT422" s="156">
        <v>3.899310769E9</v>
      </c>
      <c r="AU422" s="156">
        <v>2.108708775E9</v>
      </c>
      <c r="AV422" s="156">
        <v>1.479968E8</v>
      </c>
      <c r="AW422" s="156">
        <v>2.108708775E9</v>
      </c>
      <c r="AX422" s="156">
        <v>3.504E7</v>
      </c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</row>
    <row r="423" hidden="1" outlineLevel="1">
      <c r="A423" s="15"/>
      <c r="B423" s="157" t="s">
        <v>532</v>
      </c>
      <c r="C423" s="186" t="s">
        <v>209</v>
      </c>
      <c r="D423" s="186" t="s">
        <v>209</v>
      </c>
      <c r="E423" s="186" t="s">
        <v>209</v>
      </c>
      <c r="F423" s="186" t="s">
        <v>209</v>
      </c>
      <c r="G423" s="186" t="s">
        <v>209</v>
      </c>
      <c r="H423" s="341">
        <v>0.25</v>
      </c>
      <c r="I423" s="15"/>
      <c r="J423" s="289" t="s">
        <v>323</v>
      </c>
      <c r="K423" s="186" t="s">
        <v>209</v>
      </c>
      <c r="L423" s="186">
        <v>319.75</v>
      </c>
      <c r="M423" s="186" t="s">
        <v>209</v>
      </c>
      <c r="N423" s="186" t="s">
        <v>209</v>
      </c>
      <c r="O423" s="186" t="s">
        <v>209</v>
      </c>
      <c r="P423" s="187">
        <v>88.48</v>
      </c>
      <c r="Q423" s="15"/>
      <c r="R423" s="206" t="s">
        <v>299</v>
      </c>
      <c r="S423" s="222">
        <v>1604.0</v>
      </c>
      <c r="T423" s="222">
        <v>5564.0</v>
      </c>
      <c r="U423" s="222">
        <v>6861.0</v>
      </c>
      <c r="V423" s="208">
        <v>686.16</v>
      </c>
      <c r="W423" s="222">
        <v>-3928.0</v>
      </c>
      <c r="X423" s="223">
        <v>2459.0</v>
      </c>
      <c r="Y423" s="15"/>
      <c r="Z423" s="174" t="s">
        <v>330</v>
      </c>
      <c r="AA423" s="199">
        <v>0.0211</v>
      </c>
      <c r="AB423" s="199">
        <v>0.0183</v>
      </c>
      <c r="AC423" s="199">
        <v>0.0128</v>
      </c>
      <c r="AD423" s="199">
        <v>0.2972</v>
      </c>
      <c r="AE423" s="199">
        <v>-0.1998</v>
      </c>
      <c r="AF423" s="200">
        <v>0.0241</v>
      </c>
      <c r="AG423" s="15"/>
      <c r="AH423" s="15" t="s">
        <v>533</v>
      </c>
      <c r="AI423" s="333">
        <v>5.508034761E10</v>
      </c>
      <c r="AJ423" s="333">
        <v>4.1685625902E10</v>
      </c>
      <c r="AK423" s="333">
        <v>1.993137475E9</v>
      </c>
      <c r="AL423" s="333">
        <v>-8.86250712E8</v>
      </c>
      <c r="AM423" s="333">
        <v>5.7967000357E10</v>
      </c>
      <c r="AN423" s="15"/>
      <c r="AO423" s="40" t="s">
        <v>320</v>
      </c>
      <c r="AP423" s="30"/>
      <c r="AQ423" s="15"/>
      <c r="AR423" s="15" t="s">
        <v>463</v>
      </c>
      <c r="AS423" s="156">
        <v>1.5742531805E10</v>
      </c>
      <c r="AT423" s="156">
        <v>4.968267735E9</v>
      </c>
      <c r="AU423" s="156">
        <v>2.476791336E9</v>
      </c>
      <c r="AV423" s="156">
        <v>1.72167354E9</v>
      </c>
      <c r="AW423" s="156">
        <v>2.476791336E9</v>
      </c>
      <c r="AX423" s="156">
        <v>2.5905802945E10</v>
      </c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</row>
    <row r="424" hidden="1" outlineLevel="1">
      <c r="A424" s="15"/>
      <c r="B424" s="237" t="s">
        <v>327</v>
      </c>
      <c r="C424" s="188">
        <v>1.55</v>
      </c>
      <c r="D424" s="188">
        <v>1.34</v>
      </c>
      <c r="E424" s="188">
        <v>0.92</v>
      </c>
      <c r="F424" s="188">
        <v>18.56</v>
      </c>
      <c r="G424" s="188">
        <v>-11.81</v>
      </c>
      <c r="H424" s="189">
        <v>1.32</v>
      </c>
      <c r="I424" s="15"/>
      <c r="J424" s="289" t="s">
        <v>328</v>
      </c>
      <c r="K424" s="243">
        <v>2405.0</v>
      </c>
      <c r="L424" s="243">
        <v>2248.0</v>
      </c>
      <c r="M424" s="243">
        <v>1949.0</v>
      </c>
      <c r="N424" s="243">
        <v>1939.0</v>
      </c>
      <c r="O424" s="243">
        <v>1624.0</v>
      </c>
      <c r="P424" s="290">
        <v>5143.0</v>
      </c>
      <c r="Q424" s="15"/>
      <c r="R424" s="206" t="s">
        <v>303</v>
      </c>
      <c r="S424" s="222">
        <v>-105961.0</v>
      </c>
      <c r="T424" s="222">
        <v>-39147.0</v>
      </c>
      <c r="U424" s="222">
        <v>-39313.0</v>
      </c>
      <c r="V424" s="222">
        <v>-129369.0</v>
      </c>
      <c r="W424" s="222">
        <v>-24688.0</v>
      </c>
      <c r="X424" s="223">
        <v>-46405.0</v>
      </c>
      <c r="Y424" s="15"/>
      <c r="Z424" s="174" t="s">
        <v>336</v>
      </c>
      <c r="AA424" s="199">
        <v>0.0271</v>
      </c>
      <c r="AB424" s="199">
        <v>0.0195</v>
      </c>
      <c r="AC424" s="199">
        <v>0.0235</v>
      </c>
      <c r="AD424" s="199">
        <v>-0.0592</v>
      </c>
      <c r="AE424" s="199">
        <v>-0.0513</v>
      </c>
      <c r="AF424" s="200">
        <v>0.0373</v>
      </c>
      <c r="AG424" s="15"/>
      <c r="AH424" s="15" t="s">
        <v>534</v>
      </c>
      <c r="AI424" s="335"/>
      <c r="AJ424" s="335"/>
      <c r="AK424" s="335"/>
      <c r="AL424" s="335"/>
      <c r="AM424" s="335"/>
      <c r="AN424" s="15"/>
      <c r="AO424" s="40" t="s">
        <v>325</v>
      </c>
      <c r="AP424" s="30"/>
      <c r="AQ424" s="15"/>
      <c r="AR424" s="138" t="s">
        <v>465</v>
      </c>
      <c r="AS424" s="15"/>
      <c r="AT424" s="15"/>
      <c r="AU424" s="15"/>
      <c r="AV424" s="15"/>
      <c r="AW424" s="15"/>
      <c r="AX424" s="156">
        <v>2.7627476485E10</v>
      </c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</row>
    <row r="425" hidden="1" outlineLevel="1">
      <c r="A425" s="15"/>
      <c r="B425" s="237" t="s">
        <v>333</v>
      </c>
      <c r="C425" s="188">
        <v>1.55</v>
      </c>
      <c r="D425" s="188">
        <v>1.34</v>
      </c>
      <c r="E425" s="188">
        <v>0.92</v>
      </c>
      <c r="F425" s="188">
        <v>18.56</v>
      </c>
      <c r="G425" s="188">
        <v>-11.81</v>
      </c>
      <c r="H425" s="189">
        <v>1.32</v>
      </c>
      <c r="I425" s="15"/>
      <c r="J425" s="289" t="s">
        <v>422</v>
      </c>
      <c r="K425" s="186" t="s">
        <v>209</v>
      </c>
      <c r="L425" s="186" t="s">
        <v>209</v>
      </c>
      <c r="M425" s="186" t="s">
        <v>209</v>
      </c>
      <c r="N425" s="186" t="s">
        <v>209</v>
      </c>
      <c r="O425" s="186">
        <v>0.0</v>
      </c>
      <c r="P425" s="187" t="s">
        <v>209</v>
      </c>
      <c r="Q425" s="15"/>
      <c r="R425" s="157" t="s">
        <v>308</v>
      </c>
      <c r="S425" s="186" t="s">
        <v>209</v>
      </c>
      <c r="T425" s="186" t="s">
        <v>209</v>
      </c>
      <c r="U425" s="186" t="s">
        <v>209</v>
      </c>
      <c r="V425" s="186" t="s">
        <v>209</v>
      </c>
      <c r="W425" s="186" t="s">
        <v>209</v>
      </c>
      <c r="X425" s="187" t="s">
        <v>209</v>
      </c>
      <c r="Y425" s="15"/>
      <c r="Z425" s="174" t="s">
        <v>342</v>
      </c>
      <c r="AA425" s="199">
        <v>0.0312</v>
      </c>
      <c r="AB425" s="199">
        <v>0.0243</v>
      </c>
      <c r="AC425" s="199">
        <v>0.0234</v>
      </c>
      <c r="AD425" s="199">
        <v>-0.0928</v>
      </c>
      <c r="AE425" s="199">
        <v>-0.0932</v>
      </c>
      <c r="AF425" s="200">
        <v>0.0527</v>
      </c>
      <c r="AG425" s="15"/>
      <c r="AH425" s="15" t="s">
        <v>535</v>
      </c>
      <c r="AI425" s="333">
        <v>-2.7242142507E10</v>
      </c>
      <c r="AJ425" s="333">
        <v>-1.5126021088E10</v>
      </c>
      <c r="AK425" s="333">
        <v>-9.965479322E9</v>
      </c>
      <c r="AL425" s="333">
        <v>-1.4216373632E10</v>
      </c>
      <c r="AM425" s="333">
        <v>-2.2353329894E10</v>
      </c>
      <c r="AN425" s="15"/>
      <c r="AO425" s="191" t="s">
        <v>331</v>
      </c>
      <c r="AP425" s="30"/>
      <c r="AQ425" s="15"/>
      <c r="AR425" s="15" t="s">
        <v>466</v>
      </c>
      <c r="AS425" s="156">
        <v>4.333371593E9</v>
      </c>
      <c r="AT425" s="156">
        <v>3.771066285E9</v>
      </c>
      <c r="AU425" s="156">
        <v>2.719116879E9</v>
      </c>
      <c r="AV425" s="156">
        <v>1.1934452814E10</v>
      </c>
      <c r="AW425" s="156">
        <v>2.719116879E9</v>
      </c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</row>
    <row r="426" hidden="1" outlineLevel="1">
      <c r="A426" s="15"/>
      <c r="B426" s="274" t="s">
        <v>339</v>
      </c>
      <c r="C426" s="294">
        <v>0.5035</v>
      </c>
      <c r="D426" s="294">
        <v>0.4536</v>
      </c>
      <c r="E426" s="292">
        <v>-0.9504</v>
      </c>
      <c r="F426" s="293" t="s">
        <v>209</v>
      </c>
      <c r="G426" s="293" t="s">
        <v>209</v>
      </c>
      <c r="H426" s="342">
        <v>-35.91</v>
      </c>
      <c r="I426" s="15"/>
      <c r="J426" s="311" t="s">
        <v>334</v>
      </c>
      <c r="K426" s="312">
        <v>202226.0</v>
      </c>
      <c r="L426" s="312">
        <v>127555.0</v>
      </c>
      <c r="M426" s="312">
        <v>79439.0</v>
      </c>
      <c r="N426" s="312">
        <v>39840.0</v>
      </c>
      <c r="O426" s="312">
        <v>195650.0</v>
      </c>
      <c r="P426" s="314">
        <v>187828.0</v>
      </c>
      <c r="Q426" s="15"/>
      <c r="R426" s="174" t="s">
        <v>314</v>
      </c>
      <c r="S426" s="199">
        <v>-0.3416</v>
      </c>
      <c r="T426" s="199">
        <v>-0.1734</v>
      </c>
      <c r="U426" s="199">
        <v>-0.234</v>
      </c>
      <c r="V426" s="199">
        <v>-2.4742</v>
      </c>
      <c r="W426" s="199">
        <v>-0.1599</v>
      </c>
      <c r="X426" s="200">
        <v>-0.1317</v>
      </c>
      <c r="Y426" s="15"/>
      <c r="Z426" s="206" t="s">
        <v>346</v>
      </c>
      <c r="AA426" s="207">
        <v>0.067</v>
      </c>
      <c r="AB426" s="207">
        <v>0.044</v>
      </c>
      <c r="AC426" s="207">
        <v>0.046</v>
      </c>
      <c r="AD426" s="207">
        <v>-0.129</v>
      </c>
      <c r="AE426" s="207">
        <v>-0.181</v>
      </c>
      <c r="AF426" s="209">
        <v>0.097</v>
      </c>
      <c r="AG426" s="15"/>
      <c r="AH426" s="15" t="s">
        <v>536</v>
      </c>
      <c r="AI426" s="333">
        <v>-1.7045947468E10</v>
      </c>
      <c r="AJ426" s="333">
        <v>-1.5501091365E10</v>
      </c>
      <c r="AK426" s="333">
        <v>-2.23621056E10</v>
      </c>
      <c r="AL426" s="333">
        <v>-1.6378642998E10</v>
      </c>
      <c r="AM426" s="333">
        <v>-1.4230199412E10</v>
      </c>
      <c r="AN426" s="15"/>
      <c r="AO426" s="196" t="s">
        <v>337</v>
      </c>
      <c r="AP426" s="30"/>
      <c r="AQ426" s="15"/>
      <c r="AR426" s="15" t="s">
        <v>467</v>
      </c>
      <c r="AS426" s="156">
        <v>6.59294427E8</v>
      </c>
      <c r="AT426" s="156">
        <v>4.65430602E8</v>
      </c>
      <c r="AU426" s="156">
        <v>3.29300523E8</v>
      </c>
      <c r="AV426" s="156">
        <v>3.33719008E8</v>
      </c>
      <c r="AW426" s="156">
        <v>3.29300523E8</v>
      </c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</row>
    <row r="427" hidden="1" outlineLevel="1">
      <c r="A427" s="15"/>
      <c r="B427" s="237" t="s">
        <v>303</v>
      </c>
      <c r="C427" s="172">
        <v>-105961.0</v>
      </c>
      <c r="D427" s="172">
        <v>-39147.0</v>
      </c>
      <c r="E427" s="172">
        <v>-39313.0</v>
      </c>
      <c r="F427" s="172">
        <v>-129369.0</v>
      </c>
      <c r="G427" s="172">
        <v>-24688.0</v>
      </c>
      <c r="H427" s="173">
        <v>-46405.0</v>
      </c>
      <c r="I427" s="15"/>
      <c r="J427" s="206" t="s">
        <v>340</v>
      </c>
      <c r="K427" s="222">
        <v>162012.0</v>
      </c>
      <c r="L427" s="222">
        <v>162012.0</v>
      </c>
      <c r="M427" s="222">
        <v>162012.0</v>
      </c>
      <c r="N427" s="222">
        <v>162012.0</v>
      </c>
      <c r="O427" s="222">
        <v>162012.0</v>
      </c>
      <c r="P427" s="223">
        <v>162012.0</v>
      </c>
      <c r="Q427" s="15"/>
      <c r="R427" s="237" t="s">
        <v>319</v>
      </c>
      <c r="S427" s="188">
        <v>-32.7</v>
      </c>
      <c r="T427" s="188">
        <v>-12.08</v>
      </c>
      <c r="U427" s="188">
        <v>-12.13</v>
      </c>
      <c r="V427" s="188">
        <v>-39.93</v>
      </c>
      <c r="W427" s="188">
        <v>-7.62</v>
      </c>
      <c r="X427" s="189">
        <v>-14.32</v>
      </c>
      <c r="Y427" s="15"/>
      <c r="Z427" s="174" t="s">
        <v>350</v>
      </c>
      <c r="AA427" s="199">
        <v>0.0353</v>
      </c>
      <c r="AB427" s="199">
        <v>0.0227</v>
      </c>
      <c r="AC427" s="199">
        <v>0.0288</v>
      </c>
      <c r="AD427" s="199">
        <v>0.3712</v>
      </c>
      <c r="AE427" s="199">
        <v>-0.2361</v>
      </c>
      <c r="AF427" s="200">
        <v>0.0146</v>
      </c>
      <c r="AG427" s="15"/>
      <c r="AH427" s="15" t="s">
        <v>537</v>
      </c>
      <c r="AI427" s="333">
        <v>1.0612257635E10</v>
      </c>
      <c r="AJ427" s="333">
        <v>1.1058513449E10</v>
      </c>
      <c r="AK427" s="333">
        <v>-3.0334447447E10</v>
      </c>
      <c r="AL427" s="333">
        <v>-3.1481267342E10</v>
      </c>
      <c r="AM427" s="333">
        <v>2.1383471051E10</v>
      </c>
      <c r="AN427" s="15"/>
      <c r="AO427" s="196" t="s">
        <v>343</v>
      </c>
      <c r="AP427" s="30"/>
      <c r="AQ427" s="15"/>
      <c r="AR427" s="15" t="s">
        <v>468</v>
      </c>
      <c r="AS427" s="156">
        <v>4.06957502E8</v>
      </c>
      <c r="AT427" s="156">
        <v>3.2758047E8</v>
      </c>
      <c r="AU427" s="156">
        <v>8.0854979E7</v>
      </c>
      <c r="AV427" s="156">
        <v>9.9450678E7</v>
      </c>
      <c r="AW427" s="156">
        <v>8.0854979E7</v>
      </c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</row>
    <row r="428" hidden="1" outlineLevel="1">
      <c r="A428" s="15"/>
      <c r="B428" s="237" t="s">
        <v>319</v>
      </c>
      <c r="C428" s="188">
        <v>-32.7</v>
      </c>
      <c r="D428" s="188">
        <v>-12.08</v>
      </c>
      <c r="E428" s="188">
        <v>-12.13</v>
      </c>
      <c r="F428" s="188">
        <v>-39.93</v>
      </c>
      <c r="G428" s="188">
        <v>-7.62</v>
      </c>
      <c r="H428" s="189">
        <v>-14.32</v>
      </c>
      <c r="I428" s="15"/>
      <c r="J428" s="237" t="s">
        <v>345</v>
      </c>
      <c r="K428" s="172">
        <v>28929.0</v>
      </c>
      <c r="L428" s="172">
        <v>28929.0</v>
      </c>
      <c r="M428" s="172">
        <v>28929.0</v>
      </c>
      <c r="N428" s="172">
        <v>28929.0</v>
      </c>
      <c r="O428" s="172">
        <v>28929.0</v>
      </c>
      <c r="P428" s="173">
        <v>28929.0</v>
      </c>
      <c r="Q428" s="15"/>
      <c r="R428" s="237" t="s">
        <v>335</v>
      </c>
      <c r="S428" s="172">
        <v>-115600.0</v>
      </c>
      <c r="T428" s="172">
        <v>-46665.0</v>
      </c>
      <c r="U428" s="172">
        <v>-43034.0</v>
      </c>
      <c r="V428" s="172">
        <v>-95541.0</v>
      </c>
      <c r="W428" s="172">
        <v>-1211.0</v>
      </c>
      <c r="X428" s="173">
        <v>-47219.0</v>
      </c>
      <c r="Y428" s="15"/>
      <c r="Z428" s="174" t="s">
        <v>355</v>
      </c>
      <c r="AA428" s="199">
        <v>-0.7432</v>
      </c>
      <c r="AB428" s="199">
        <v>-0.2048</v>
      </c>
      <c r="AC428" s="199">
        <v>-0.3791</v>
      </c>
      <c r="AD428" s="199">
        <v>-0.7985</v>
      </c>
      <c r="AE428" s="199">
        <v>-0.1524</v>
      </c>
      <c r="AF428" s="200">
        <v>-0.1574</v>
      </c>
      <c r="AG428" s="15"/>
      <c r="AH428" s="15" t="s">
        <v>538</v>
      </c>
      <c r="AI428" s="333">
        <v>-4.7531992E8</v>
      </c>
      <c r="AJ428" s="333">
        <v>-6.036270397E9</v>
      </c>
      <c r="AK428" s="333">
        <v>1.26568474509E11</v>
      </c>
      <c r="AL428" s="333">
        <v>1.5083845E7</v>
      </c>
      <c r="AM428" s="333">
        <v>4.4794046E7</v>
      </c>
      <c r="AN428" s="15"/>
      <c r="AO428" s="40" t="s">
        <v>347</v>
      </c>
      <c r="AP428" s="30"/>
      <c r="AQ428" s="15"/>
      <c r="AR428" s="15" t="s">
        <v>469</v>
      </c>
      <c r="AS428" s="156">
        <v>2822268.0</v>
      </c>
      <c r="AT428" s="156">
        <v>1.0152592E8</v>
      </c>
      <c r="AU428" s="156">
        <v>170000.0</v>
      </c>
      <c r="AV428" s="156">
        <v>5.2145034E7</v>
      </c>
      <c r="AW428" s="156">
        <v>170000.0</v>
      </c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</row>
    <row r="429" hidden="1" outlineLevel="1">
      <c r="A429" s="15"/>
      <c r="B429" s="237" t="s">
        <v>353</v>
      </c>
      <c r="C429" s="188" t="s">
        <v>209</v>
      </c>
      <c r="D429" s="188" t="s">
        <v>209</v>
      </c>
      <c r="E429" s="188">
        <v>0.276</v>
      </c>
      <c r="F429" s="188" t="s">
        <v>209</v>
      </c>
      <c r="G429" s="188" t="s">
        <v>209</v>
      </c>
      <c r="H429" s="189" t="s">
        <v>209</v>
      </c>
      <c r="I429" s="15"/>
      <c r="J429" s="237" t="s">
        <v>349</v>
      </c>
      <c r="K429" s="172">
        <v>50070.0</v>
      </c>
      <c r="L429" s="172">
        <v>47959.0</v>
      </c>
      <c r="M429" s="172">
        <v>44515.0</v>
      </c>
      <c r="N429" s="172">
        <v>41530.0</v>
      </c>
      <c r="O429" s="172">
        <v>-18605.0</v>
      </c>
      <c r="P429" s="173">
        <v>19646.0</v>
      </c>
      <c r="Q429" s="15"/>
      <c r="R429" s="237" t="s">
        <v>341</v>
      </c>
      <c r="S429" s="172">
        <v>-107806.0</v>
      </c>
      <c r="T429" s="172">
        <v>-42503.0</v>
      </c>
      <c r="U429" s="172">
        <v>-40783.0</v>
      </c>
      <c r="V429" s="172">
        <v>-89112.0</v>
      </c>
      <c r="W429" s="172">
        <v>6530.0</v>
      </c>
      <c r="X429" s="173">
        <v>-37676.0</v>
      </c>
      <c r="Y429" s="15"/>
      <c r="Z429" s="174" t="s">
        <v>359</v>
      </c>
      <c r="AA429" s="199">
        <v>0.0063</v>
      </c>
      <c r="AB429" s="188" t="s">
        <v>209</v>
      </c>
      <c r="AC429" s="199">
        <v>0.0088</v>
      </c>
      <c r="AD429" s="188" t="s">
        <v>209</v>
      </c>
      <c r="AE429" s="188" t="s">
        <v>209</v>
      </c>
      <c r="AF429" s="189" t="s">
        <v>209</v>
      </c>
      <c r="AG429" s="15"/>
      <c r="AH429" s="15" t="s">
        <v>539</v>
      </c>
      <c r="AI429" s="335"/>
      <c r="AJ429" s="333">
        <v>-2.452614524E9</v>
      </c>
      <c r="AK429" s="333">
        <v>-1.9404805829E10</v>
      </c>
      <c r="AL429" s="333">
        <v>-3.51401138E9</v>
      </c>
      <c r="AM429" s="333">
        <v>-6.25389805E8</v>
      </c>
      <c r="AN429" s="15"/>
      <c r="AO429" s="191" t="s">
        <v>351</v>
      </c>
      <c r="AP429" s="30"/>
      <c r="AQ429" s="15"/>
      <c r="AR429" s="15" t="s">
        <v>471</v>
      </c>
      <c r="AS429" s="156">
        <v>1.134054538E9</v>
      </c>
      <c r="AT429" s="156">
        <v>9.63503217E8</v>
      </c>
      <c r="AU429" s="156">
        <v>1.051233492E9</v>
      </c>
      <c r="AV429" s="156">
        <v>4.541583641E9</v>
      </c>
      <c r="AW429" s="156">
        <v>1.051233492E9</v>
      </c>
      <c r="AX429" s="156">
        <v>-8.885660079E9</v>
      </c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</row>
    <row r="430" hidden="1" outlineLevel="1">
      <c r="A430" s="15"/>
      <c r="B430" s="157" t="s">
        <v>357</v>
      </c>
      <c r="C430" s="186" t="s">
        <v>209</v>
      </c>
      <c r="D430" s="186" t="s">
        <v>209</v>
      </c>
      <c r="E430" s="186" t="s">
        <v>209</v>
      </c>
      <c r="F430" s="186" t="s">
        <v>209</v>
      </c>
      <c r="G430" s="186" t="s">
        <v>209</v>
      </c>
      <c r="H430" s="187" t="s">
        <v>209</v>
      </c>
      <c r="I430" s="15"/>
      <c r="J430" s="237" t="s">
        <v>354</v>
      </c>
      <c r="K430" s="172">
        <v>120.01</v>
      </c>
      <c r="L430" s="172">
        <v>127.54</v>
      </c>
      <c r="M430" s="172">
        <v>142.6</v>
      </c>
      <c r="N430" s="172">
        <v>-35.09</v>
      </c>
      <c r="O430" s="172">
        <v>-26.85</v>
      </c>
      <c r="P430" s="173">
        <v>-20.01</v>
      </c>
      <c r="Q430" s="15"/>
      <c r="R430" s="174" t="s">
        <v>324</v>
      </c>
      <c r="S430" s="172">
        <v>13057.0</v>
      </c>
      <c r="T430" s="172">
        <v>6615.0</v>
      </c>
      <c r="U430" s="172">
        <v>3602.0</v>
      </c>
      <c r="V430" s="172">
        <v>3885.0</v>
      </c>
      <c r="W430" s="172">
        <v>12385.0</v>
      </c>
      <c r="X430" s="173">
        <v>15218.0</v>
      </c>
      <c r="Y430" s="15"/>
      <c r="Z430" s="174" t="s">
        <v>363</v>
      </c>
      <c r="AA430" s="199">
        <v>0.1781</v>
      </c>
      <c r="AB430" s="199">
        <v>0.2064</v>
      </c>
      <c r="AC430" s="188" t="s">
        <v>209</v>
      </c>
      <c r="AD430" s="188" t="s">
        <v>209</v>
      </c>
      <c r="AE430" s="188" t="s">
        <v>209</v>
      </c>
      <c r="AF430" s="189" t="s">
        <v>209</v>
      </c>
      <c r="AG430" s="15"/>
      <c r="AH430" s="15" t="s">
        <v>540</v>
      </c>
      <c r="AI430" s="335"/>
      <c r="AJ430" s="333">
        <v>-3.601744893E9</v>
      </c>
      <c r="AK430" s="333">
        <v>-1.0285161748E10</v>
      </c>
      <c r="AL430" s="333">
        <v>-1.2385200733E10</v>
      </c>
      <c r="AM430" s="333">
        <v>-1.5269619255E10</v>
      </c>
      <c r="AN430" s="15"/>
      <c r="AO430" s="15"/>
      <c r="AP430" s="15"/>
      <c r="AQ430" s="15"/>
      <c r="AR430" s="15" t="s">
        <v>473</v>
      </c>
      <c r="AS430" s="156">
        <v>1.02181354E8</v>
      </c>
      <c r="AT430" s="156">
        <v>3.23180446E8</v>
      </c>
      <c r="AU430" s="156">
        <v>1.94099504E8</v>
      </c>
      <c r="AV430" s="156">
        <v>1.26797899E8</v>
      </c>
      <c r="AW430" s="156">
        <v>1.94099504E8</v>
      </c>
      <c r="AX430" s="156">
        <v>-3.03741926E8</v>
      </c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</row>
    <row r="431" hidden="1" outlineLevel="1">
      <c r="A431" s="15"/>
      <c r="B431" s="337" t="s">
        <v>361</v>
      </c>
      <c r="C431" s="203">
        <v>0.2299</v>
      </c>
      <c r="D431" s="199">
        <v>0.2401</v>
      </c>
      <c r="E431" s="199">
        <v>0.2453</v>
      </c>
      <c r="F431" s="199">
        <v>0.0318</v>
      </c>
      <c r="G431" s="199">
        <v>-0.0077</v>
      </c>
      <c r="H431" s="200">
        <v>0.1629</v>
      </c>
      <c r="I431" s="15"/>
      <c r="J431" s="247" t="s">
        <v>367</v>
      </c>
      <c r="K431" s="204">
        <v>241131.0</v>
      </c>
      <c r="L431" s="204">
        <v>239027.0</v>
      </c>
      <c r="M431" s="204">
        <v>235598.0</v>
      </c>
      <c r="N431" s="204">
        <v>232435.0</v>
      </c>
      <c r="O431" s="204">
        <v>172309.0</v>
      </c>
      <c r="P431" s="205">
        <v>210567.0</v>
      </c>
      <c r="Q431" s="15"/>
      <c r="R431" s="237" t="s">
        <v>329</v>
      </c>
      <c r="S431" s="172">
        <v>1477.0</v>
      </c>
      <c r="T431" s="188">
        <v>48.51</v>
      </c>
      <c r="U431" s="188" t="s">
        <v>209</v>
      </c>
      <c r="V431" s="188">
        <v>215.69</v>
      </c>
      <c r="W431" s="172">
        <v>3536.0</v>
      </c>
      <c r="X431" s="189" t="s">
        <v>209</v>
      </c>
      <c r="Y431" s="15"/>
      <c r="Z431" s="174" t="s">
        <v>470</v>
      </c>
      <c r="AA431" s="188" t="s">
        <v>209</v>
      </c>
      <c r="AB431" s="188" t="s">
        <v>209</v>
      </c>
      <c r="AC431" s="188" t="s">
        <v>209</v>
      </c>
      <c r="AD431" s="188" t="s">
        <v>209</v>
      </c>
      <c r="AE431" s="188" t="s">
        <v>209</v>
      </c>
      <c r="AF431" s="200">
        <v>-0.25</v>
      </c>
      <c r="AG431" s="15"/>
      <c r="AH431" s="15" t="s">
        <v>541</v>
      </c>
      <c r="AI431" s="333">
        <v>5.859058715E9</v>
      </c>
      <c r="AJ431" s="333">
        <v>5.022243052E9</v>
      </c>
      <c r="AK431" s="333">
        <v>6.6544059485E10</v>
      </c>
      <c r="AL431" s="333">
        <v>-4.736539561E10</v>
      </c>
      <c r="AM431" s="333">
        <v>5.533256037E9</v>
      </c>
      <c r="AN431" s="15"/>
      <c r="AO431" s="15"/>
      <c r="AP431" s="15"/>
      <c r="AQ431" s="15"/>
      <c r="AR431" s="15" t="s">
        <v>474</v>
      </c>
      <c r="AS431" s="156">
        <v>1.73964234E8</v>
      </c>
      <c r="AT431" s="156">
        <v>1.70069001E8</v>
      </c>
      <c r="AU431" s="156">
        <v>1.4620788E8</v>
      </c>
      <c r="AV431" s="156">
        <v>5.2573187E7</v>
      </c>
      <c r="AW431" s="156">
        <v>1.4620788E8</v>
      </c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</row>
    <row r="432" hidden="1" outlineLevel="1">
      <c r="A432" s="15"/>
      <c r="B432" s="337" t="s">
        <v>366</v>
      </c>
      <c r="C432" s="199">
        <v>0.0531</v>
      </c>
      <c r="D432" s="199">
        <v>0.047</v>
      </c>
      <c r="E432" s="199">
        <v>0.0658</v>
      </c>
      <c r="F432" s="199">
        <v>-0.5802</v>
      </c>
      <c r="G432" s="199">
        <v>-0.2039</v>
      </c>
      <c r="H432" s="200">
        <v>0.0607</v>
      </c>
      <c r="I432" s="15"/>
      <c r="J432" s="237" t="s">
        <v>371</v>
      </c>
      <c r="K432" s="172">
        <v>443357.0</v>
      </c>
      <c r="L432" s="172">
        <v>366582.0</v>
      </c>
      <c r="M432" s="172">
        <v>315037.0</v>
      </c>
      <c r="N432" s="172">
        <v>272275.0</v>
      </c>
      <c r="O432" s="172">
        <v>367959.0</v>
      </c>
      <c r="P432" s="173">
        <v>398395.0</v>
      </c>
      <c r="Q432" s="15"/>
      <c r="R432" s="15"/>
      <c r="S432" s="15"/>
      <c r="T432" s="15"/>
      <c r="U432" s="15"/>
      <c r="V432" s="15"/>
      <c r="W432" s="15"/>
      <c r="X432" s="15"/>
      <c r="Y432" s="15"/>
      <c r="Z432" s="174" t="s">
        <v>368</v>
      </c>
      <c r="AA432" s="199">
        <v>0.0063</v>
      </c>
      <c r="AB432" s="188" t="s">
        <v>209</v>
      </c>
      <c r="AC432" s="199">
        <v>0.0088</v>
      </c>
      <c r="AD432" s="188" t="s">
        <v>209</v>
      </c>
      <c r="AE432" s="188" t="s">
        <v>209</v>
      </c>
      <c r="AF432" s="200">
        <v>-0.25</v>
      </c>
      <c r="AG432" s="15"/>
      <c r="AH432" s="15" t="s">
        <v>542</v>
      </c>
      <c r="AI432" s="333">
        <v>-1.519589329E9</v>
      </c>
      <c r="AJ432" s="333">
        <v>-2.036952583E9</v>
      </c>
      <c r="AK432" s="333">
        <v>-6.409361365E9</v>
      </c>
      <c r="AL432" s="333">
        <v>9.114023056E9</v>
      </c>
      <c r="AM432" s="333">
        <v>-1.243806339E9</v>
      </c>
      <c r="AN432" s="15"/>
      <c r="AO432" s="151" t="s">
        <v>364</v>
      </c>
      <c r="AP432" s="15"/>
      <c r="AQ432" s="15"/>
      <c r="AR432" s="15" t="s">
        <v>475</v>
      </c>
      <c r="AS432" s="156">
        <v>3.32023667E8</v>
      </c>
      <c r="AT432" s="156">
        <v>3.20918999E8</v>
      </c>
      <c r="AU432" s="156">
        <v>5.38032976E8</v>
      </c>
      <c r="AV432" s="156">
        <v>8.220569294E9</v>
      </c>
      <c r="AW432" s="156">
        <v>5.38032976E8</v>
      </c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</row>
    <row r="433" hidden="1" outlineLevel="1">
      <c r="A433" s="15"/>
      <c r="B433" s="337" t="s">
        <v>370</v>
      </c>
      <c r="C433" s="199">
        <v>0.0162</v>
      </c>
      <c r="D433" s="199">
        <v>0.0192</v>
      </c>
      <c r="E433" s="199">
        <v>0.0178</v>
      </c>
      <c r="F433" s="199">
        <v>1.1501</v>
      </c>
      <c r="G433" s="199">
        <v>-0.2477</v>
      </c>
      <c r="H433" s="200">
        <v>0.0122</v>
      </c>
      <c r="I433" s="15"/>
      <c r="J433" s="174" t="s">
        <v>373</v>
      </c>
      <c r="K433" s="172">
        <v>184123.0</v>
      </c>
      <c r="L433" s="172">
        <v>119596.0</v>
      </c>
      <c r="M433" s="172">
        <v>73234.0</v>
      </c>
      <c r="N433" s="172">
        <v>28740.0</v>
      </c>
      <c r="O433" s="172">
        <v>159129.0</v>
      </c>
      <c r="P433" s="173">
        <v>138369.0</v>
      </c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 t="s">
        <v>543</v>
      </c>
      <c r="AI433" s="333">
        <v>-1.04513442E9</v>
      </c>
      <c r="AJ433" s="335"/>
      <c r="AK433" s="335"/>
      <c r="AL433" s="335"/>
      <c r="AM433" s="335"/>
      <c r="AN433" s="15"/>
      <c r="AO433" s="15"/>
      <c r="AP433" s="15"/>
      <c r="AQ433" s="15"/>
      <c r="AR433" s="15" t="s">
        <v>476</v>
      </c>
      <c r="AS433" s="156">
        <v>1.469807E8</v>
      </c>
      <c r="AT433" s="156">
        <v>1.18944005E8</v>
      </c>
      <c r="AU433" s="156">
        <v>1.51880588E8</v>
      </c>
      <c r="AV433" s="156">
        <v>0.0</v>
      </c>
      <c r="AW433" s="156">
        <v>1.51880588E8</v>
      </c>
      <c r="AX433" s="156">
        <v>-9.189402005E9</v>
      </c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</row>
    <row r="434" hidden="1" outlineLevel="1">
      <c r="A434" s="15"/>
      <c r="B434" s="174" t="s">
        <v>314</v>
      </c>
      <c r="C434" s="199">
        <v>-0.3416</v>
      </c>
      <c r="D434" s="199">
        <v>-0.1734</v>
      </c>
      <c r="E434" s="199">
        <v>-0.234</v>
      </c>
      <c r="F434" s="199">
        <v>-2.4742</v>
      </c>
      <c r="G434" s="199">
        <v>-0.1599</v>
      </c>
      <c r="H434" s="200">
        <v>-0.1317</v>
      </c>
      <c r="I434" s="15"/>
      <c r="J434" s="237" t="s">
        <v>377</v>
      </c>
      <c r="K434" s="172">
        <v>-177476.0</v>
      </c>
      <c r="L434" s="172">
        <v>-105975.0</v>
      </c>
      <c r="M434" s="172">
        <v>-65178.0</v>
      </c>
      <c r="N434" s="172">
        <v>-27545.0</v>
      </c>
      <c r="O434" s="172">
        <v>-158620.0</v>
      </c>
      <c r="P434" s="173">
        <v>-133932.0</v>
      </c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 t="s">
        <v>544</v>
      </c>
      <c r="AI434" s="333">
        <v>-4.74454909E8</v>
      </c>
      <c r="AJ434" s="335"/>
      <c r="AK434" s="335"/>
      <c r="AL434" s="335"/>
      <c r="AM434" s="335"/>
      <c r="AN434" s="15"/>
      <c r="AO434" s="40"/>
      <c r="AP434" s="21" t="str">
        <f>"Bulan "&amp;$C$3&amp;" 2026"</f>
        <v>Bulan  2026</v>
      </c>
      <c r="AQ434" s="15"/>
      <c r="AR434" s="15" t="s">
        <v>375</v>
      </c>
      <c r="AS434" s="156">
        <v>3.45446806E8</v>
      </c>
      <c r="AT434" s="156">
        <v>2.91631667E8</v>
      </c>
      <c r="AU434" s="156">
        <v>2.030225E8</v>
      </c>
      <c r="AV434" s="156">
        <v>2.5602E8</v>
      </c>
      <c r="AW434" s="156">
        <v>2.030225E8</v>
      </c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</row>
    <row r="435" hidden="1" outlineLevel="1">
      <c r="A435" s="15"/>
      <c r="B435" s="237" t="s">
        <v>376</v>
      </c>
      <c r="C435" s="172">
        <v>21551.0</v>
      </c>
      <c r="D435" s="172">
        <v>15307.0</v>
      </c>
      <c r="E435" s="172">
        <v>15860.0</v>
      </c>
      <c r="F435" s="172">
        <v>-26706.0</v>
      </c>
      <c r="G435" s="172">
        <v>-22497.0</v>
      </c>
      <c r="H435" s="173">
        <v>29787.0</v>
      </c>
      <c r="I435" s="15"/>
      <c r="J435" s="157" t="s">
        <v>545</v>
      </c>
      <c r="K435" s="186" t="s">
        <v>209</v>
      </c>
      <c r="L435" s="186" t="s">
        <v>209</v>
      </c>
      <c r="M435" s="186" t="s">
        <v>209</v>
      </c>
      <c r="N435" s="186" t="s">
        <v>209</v>
      </c>
      <c r="O435" s="186" t="s">
        <v>209</v>
      </c>
      <c r="P435" s="187" t="s">
        <v>209</v>
      </c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 t="s">
        <v>546</v>
      </c>
      <c r="AI435" s="333">
        <v>4.339469386E9</v>
      </c>
      <c r="AJ435" s="333">
        <v>2.985290469E9</v>
      </c>
      <c r="AK435" s="333">
        <v>6.013469812E10</v>
      </c>
      <c r="AL435" s="333">
        <v>-3.8251372554E10</v>
      </c>
      <c r="AM435" s="333">
        <v>4.289449698E9</v>
      </c>
      <c r="AN435" s="15"/>
      <c r="AO435" s="40" t="s">
        <v>374</v>
      </c>
      <c r="AP435" s="30"/>
      <c r="AQ435" s="15"/>
      <c r="AR435" s="15" t="s">
        <v>477</v>
      </c>
      <c r="AS435" s="156">
        <v>2.72725486E8</v>
      </c>
      <c r="AT435" s="156">
        <v>2.75470018E8</v>
      </c>
      <c r="AU435" s="156">
        <v>4.00843808E8</v>
      </c>
      <c r="AV435" s="156">
        <v>2.5345139E8</v>
      </c>
      <c r="AW435" s="156">
        <v>4.00843808E8</v>
      </c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</row>
    <row r="436" hidden="1" outlineLevel="1">
      <c r="A436" s="15"/>
      <c r="B436" s="157" t="s">
        <v>22</v>
      </c>
      <c r="C436" s="213">
        <v>0.0695</v>
      </c>
      <c r="D436" s="213">
        <v>0.0678</v>
      </c>
      <c r="E436" s="213">
        <v>0.0944</v>
      </c>
      <c r="F436" s="213">
        <v>-0.5108</v>
      </c>
      <c r="G436" s="213">
        <v>-0.1457</v>
      </c>
      <c r="H436" s="214">
        <v>0.0845</v>
      </c>
      <c r="I436" s="15"/>
      <c r="J436" s="237" t="s">
        <v>380</v>
      </c>
      <c r="K436" s="172">
        <v>-54.77</v>
      </c>
      <c r="L436" s="172">
        <v>-32.71</v>
      </c>
      <c r="M436" s="172">
        <v>-20.12</v>
      </c>
      <c r="N436" s="172">
        <v>-8.5</v>
      </c>
      <c r="O436" s="172">
        <v>-48.95</v>
      </c>
      <c r="P436" s="173">
        <v>-41.33</v>
      </c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 t="s">
        <v>547</v>
      </c>
      <c r="AI436" s="335"/>
      <c r="AJ436" s="333">
        <v>1.77690707E8</v>
      </c>
      <c r="AK436" s="333">
        <v>-8246782.0</v>
      </c>
      <c r="AL436" s="333">
        <v>-6836645.0</v>
      </c>
      <c r="AM436" s="333">
        <v>-5060317.0</v>
      </c>
      <c r="AN436" s="15"/>
      <c r="AO436" s="40" t="s">
        <v>378</v>
      </c>
      <c r="AP436" s="30"/>
      <c r="AQ436" s="15"/>
      <c r="AR436" s="15" t="s">
        <v>456</v>
      </c>
      <c r="AS436" s="156">
        <v>5.283E7</v>
      </c>
      <c r="AT436" s="156">
        <v>5.68362147E8</v>
      </c>
      <c r="AU436" s="156">
        <v>9.0777006E7</v>
      </c>
      <c r="AV436" s="156">
        <v>3.504E7</v>
      </c>
      <c r="AW436" s="156">
        <v>9.0777006E7</v>
      </c>
      <c r="AX436" s="160"/>
      <c r="AY436" s="229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</row>
    <row r="437" hidden="1" outlineLevel="1">
      <c r="A437" s="15"/>
      <c r="B437" s="237" t="s">
        <v>383</v>
      </c>
      <c r="C437" s="172">
        <v>5094.0</v>
      </c>
      <c r="D437" s="172">
        <v>4694.0</v>
      </c>
      <c r="E437" s="172">
        <v>4802.0</v>
      </c>
      <c r="F437" s="172">
        <v>3628.0</v>
      </c>
      <c r="G437" s="172">
        <v>8984.0</v>
      </c>
      <c r="H437" s="173">
        <v>8404.0</v>
      </c>
      <c r="I437" s="15"/>
      <c r="J437" s="237" t="s">
        <v>384</v>
      </c>
      <c r="K437" s="172">
        <v>3240.0</v>
      </c>
      <c r="L437" s="172">
        <v>3240.0</v>
      </c>
      <c r="M437" s="172">
        <v>3240.0</v>
      </c>
      <c r="N437" s="172">
        <v>3240.0</v>
      </c>
      <c r="O437" s="172">
        <v>3240.0</v>
      </c>
      <c r="P437" s="173">
        <v>3240.0</v>
      </c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 t="s">
        <v>548</v>
      </c>
      <c r="AI437" s="335"/>
      <c r="AJ437" s="335"/>
      <c r="AK437" s="335"/>
      <c r="AL437" s="335"/>
      <c r="AM437" s="335"/>
      <c r="AN437" s="15"/>
      <c r="AO437" s="196" t="s">
        <v>381</v>
      </c>
      <c r="AP437" s="30"/>
      <c r="AQ437" s="15"/>
      <c r="AR437" s="15" t="s">
        <v>463</v>
      </c>
      <c r="AS437" s="156">
        <v>7.962652575E9</v>
      </c>
      <c r="AT437" s="156">
        <v>7.697682777E9</v>
      </c>
      <c r="AU437" s="156">
        <v>5.905540135E9</v>
      </c>
      <c r="AV437" s="156">
        <v>2.5905802945E10</v>
      </c>
      <c r="AW437" s="156">
        <v>5.905540135E9</v>
      </c>
      <c r="AX437" s="160"/>
      <c r="AY437" s="168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</row>
    <row r="438" hidden="1" outlineLevel="1">
      <c r="A438" s="15"/>
      <c r="B438" s="237" t="s">
        <v>386</v>
      </c>
      <c r="C438" s="172">
        <v>16457.0</v>
      </c>
      <c r="D438" s="172">
        <v>10612.0</v>
      </c>
      <c r="E438" s="172">
        <v>11059.0</v>
      </c>
      <c r="F438" s="172">
        <v>-30334.0</v>
      </c>
      <c r="G438" s="172">
        <v>-31481.0</v>
      </c>
      <c r="H438" s="173">
        <v>21383.0</v>
      </c>
      <c r="I438" s="15"/>
      <c r="J438" s="237" t="s">
        <v>387</v>
      </c>
      <c r="K438" s="172">
        <v>3240.0</v>
      </c>
      <c r="L438" s="172">
        <v>3240.0</v>
      </c>
      <c r="M438" s="172">
        <v>3240.0</v>
      </c>
      <c r="N438" s="172">
        <v>3240.0</v>
      </c>
      <c r="O438" s="172">
        <v>3240.0</v>
      </c>
      <c r="P438" s="173">
        <v>3240.0</v>
      </c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 t="s">
        <v>549</v>
      </c>
      <c r="AI438" s="333">
        <v>-1.9310782E7</v>
      </c>
      <c r="AJ438" s="333">
        <v>2.27808599E8</v>
      </c>
      <c r="AK438" s="333">
        <v>-1.0572798E7</v>
      </c>
      <c r="AL438" s="333">
        <v>-8764929.0</v>
      </c>
      <c r="AM438" s="333">
        <v>-6487586.0</v>
      </c>
      <c r="AN438" s="15"/>
      <c r="AO438" s="215"/>
      <c r="AP438" s="216"/>
      <c r="AQ438" s="15"/>
      <c r="AR438" s="15" t="s">
        <v>457</v>
      </c>
      <c r="AS438" s="156">
        <v>2.370518438E10</v>
      </c>
      <c r="AT438" s="156">
        <v>1.2665950512E10</v>
      </c>
      <c r="AU438" s="156">
        <v>8.382331471E9</v>
      </c>
      <c r="AV438" s="156">
        <v>2.7627476485E10</v>
      </c>
      <c r="AW438" s="156">
        <v>8.382331471E9</v>
      </c>
      <c r="AX438" s="248"/>
      <c r="AY438" s="232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</row>
    <row r="439" hidden="1" outlineLevel="1">
      <c r="A439" s="15"/>
      <c r="B439" s="157" t="s">
        <v>390</v>
      </c>
      <c r="C439" s="213">
        <v>0.0531</v>
      </c>
      <c r="D439" s="213">
        <v>0.047</v>
      </c>
      <c r="E439" s="213">
        <v>0.0658</v>
      </c>
      <c r="F439" s="213">
        <v>-0.5802</v>
      </c>
      <c r="G439" s="213">
        <v>-0.2039</v>
      </c>
      <c r="H439" s="214">
        <v>0.0607</v>
      </c>
      <c r="I439" s="15"/>
      <c r="J439" s="237" t="s">
        <v>391</v>
      </c>
      <c r="K439" s="172">
        <v>154776.0</v>
      </c>
      <c r="L439" s="172">
        <v>150075.0</v>
      </c>
      <c r="M439" s="172">
        <v>152532.0</v>
      </c>
      <c r="N439" s="172">
        <v>155715.0</v>
      </c>
      <c r="O439" s="172">
        <v>-32258.0</v>
      </c>
      <c r="P439" s="173">
        <v>46436.0</v>
      </c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 t="s">
        <v>550</v>
      </c>
      <c r="AI439" s="333">
        <v>-4248372.0</v>
      </c>
      <c r="AJ439" s="333">
        <v>-5.0117892E7</v>
      </c>
      <c r="AK439" s="333">
        <v>2326016.0</v>
      </c>
      <c r="AL439" s="333">
        <v>1928284.0</v>
      </c>
      <c r="AM439" s="333">
        <v>1427269.0</v>
      </c>
      <c r="AN439" s="15"/>
      <c r="AO439" s="40" t="s">
        <v>388</v>
      </c>
      <c r="AP439" s="30"/>
      <c r="AQ439" s="15"/>
      <c r="AR439" s="15" t="s">
        <v>478</v>
      </c>
      <c r="AS439" s="156">
        <v>1.109049608E9</v>
      </c>
      <c r="AT439" s="156">
        <v>4784311.0</v>
      </c>
      <c r="AU439" s="15"/>
      <c r="AV439" s="15"/>
      <c r="AW439" s="15"/>
      <c r="AX439" s="160"/>
      <c r="AY439" s="236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</row>
    <row r="440" hidden="1" outlineLevel="1">
      <c r="A440" s="15"/>
      <c r="B440" s="206" t="s">
        <v>394</v>
      </c>
      <c r="C440" s="207">
        <v>0.2181</v>
      </c>
      <c r="D440" s="207">
        <v>0.2594</v>
      </c>
      <c r="E440" s="207">
        <v>0.4056</v>
      </c>
      <c r="F440" s="207">
        <v>0.0963</v>
      </c>
      <c r="G440" s="208" t="s">
        <v>209</v>
      </c>
      <c r="H440" s="209">
        <v>0.2248</v>
      </c>
      <c r="I440" s="15"/>
      <c r="J440" s="237" t="s">
        <v>395</v>
      </c>
      <c r="K440" s="172">
        <v>74.42</v>
      </c>
      <c r="L440" s="172">
        <v>73.77</v>
      </c>
      <c r="M440" s="172">
        <v>72.71</v>
      </c>
      <c r="N440" s="172">
        <v>71.73</v>
      </c>
      <c r="O440" s="172">
        <v>53.18</v>
      </c>
      <c r="P440" s="173">
        <v>64.99</v>
      </c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 t="s">
        <v>551</v>
      </c>
      <c r="AI440" s="333">
        <v>4.324406976E9</v>
      </c>
      <c r="AJ440" s="333">
        <v>3.162981176E9</v>
      </c>
      <c r="AK440" s="333">
        <v>6.0126451338E10</v>
      </c>
      <c r="AL440" s="333">
        <v>-3.8258209198E10</v>
      </c>
      <c r="AM440" s="333">
        <v>4.284389381E9</v>
      </c>
      <c r="AN440" s="15"/>
      <c r="AO440" s="40" t="s">
        <v>392</v>
      </c>
      <c r="AP440" s="30"/>
      <c r="AQ440" s="15"/>
      <c r="AR440" s="15" t="s">
        <v>479</v>
      </c>
      <c r="AS440" s="156">
        <v>6.0924409E7</v>
      </c>
      <c r="AT440" s="156">
        <v>0.0</v>
      </c>
      <c r="AU440" s="15"/>
      <c r="AV440" s="15"/>
      <c r="AW440" s="15"/>
      <c r="AX440" s="343"/>
      <c r="AY440" s="232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</row>
    <row r="441" hidden="1" outlineLevel="1">
      <c r="A441" s="15"/>
      <c r="B441" s="15"/>
      <c r="C441" s="15"/>
      <c r="D441" s="15"/>
      <c r="E441" s="15"/>
      <c r="F441" s="15"/>
      <c r="G441" s="15"/>
      <c r="H441" s="15"/>
      <c r="I441" s="15"/>
      <c r="J441" s="237" t="s">
        <v>398</v>
      </c>
      <c r="K441" s="172">
        <v>241131.0</v>
      </c>
      <c r="L441" s="172">
        <v>239027.0</v>
      </c>
      <c r="M441" s="172">
        <v>235598.0</v>
      </c>
      <c r="N441" s="172">
        <v>232435.0</v>
      </c>
      <c r="O441" s="172">
        <v>172309.0</v>
      </c>
      <c r="P441" s="173">
        <v>210567.0</v>
      </c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96" t="s">
        <v>396</v>
      </c>
      <c r="AP441" s="30"/>
      <c r="AQ441" s="15"/>
      <c r="AR441" s="15" t="s">
        <v>463</v>
      </c>
      <c r="AS441" s="156">
        <v>1.169974017E9</v>
      </c>
      <c r="AT441" s="156">
        <v>4784311.0</v>
      </c>
      <c r="AU441" s="15"/>
      <c r="AV441" s="15"/>
      <c r="AW441" s="15"/>
      <c r="AX441" s="344"/>
      <c r="AY441" s="232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</row>
    <row r="442" hidden="1" outlineLevel="1">
      <c r="A442" s="15"/>
      <c r="B442" s="15"/>
      <c r="C442" s="15"/>
      <c r="D442" s="15"/>
      <c r="E442" s="15"/>
      <c r="F442" s="15"/>
      <c r="G442" s="15"/>
      <c r="H442" s="15"/>
      <c r="I442" s="15"/>
      <c r="J442" s="237" t="s">
        <v>400</v>
      </c>
      <c r="K442" s="172">
        <v>74.42</v>
      </c>
      <c r="L442" s="172">
        <v>73.77</v>
      </c>
      <c r="M442" s="172">
        <v>72.71</v>
      </c>
      <c r="N442" s="172">
        <v>71.73</v>
      </c>
      <c r="O442" s="172">
        <v>53.18</v>
      </c>
      <c r="P442" s="173">
        <v>64.99</v>
      </c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 t="s">
        <v>552</v>
      </c>
      <c r="AI442" s="156">
        <v>1.34</v>
      </c>
      <c r="AJ442" s="156">
        <v>0.92</v>
      </c>
      <c r="AK442" s="156">
        <v>18.56</v>
      </c>
      <c r="AL442" s="156">
        <v>-11.91</v>
      </c>
      <c r="AM442" s="156">
        <v>1.32</v>
      </c>
      <c r="AN442" s="15"/>
      <c r="AO442" s="215"/>
      <c r="AP442" s="216"/>
      <c r="AQ442" s="15"/>
      <c r="AR442" s="138" t="s">
        <v>480</v>
      </c>
      <c r="AS442" s="15"/>
      <c r="AT442" s="15"/>
      <c r="AU442" s="15"/>
      <c r="AV442" s="15"/>
      <c r="AW442" s="15"/>
      <c r="AX442" s="165"/>
      <c r="AY442" s="236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</row>
    <row r="443" hidden="1" outlineLevel="1">
      <c r="A443" s="15"/>
      <c r="B443" s="15" t="s">
        <v>402</v>
      </c>
      <c r="C443" s="15"/>
      <c r="D443" s="15"/>
      <c r="E443" s="15"/>
      <c r="F443" s="15"/>
      <c r="G443" s="15"/>
      <c r="H443" s="15"/>
      <c r="I443" s="15"/>
      <c r="J443" s="237" t="s">
        <v>403</v>
      </c>
      <c r="K443" s="172">
        <v>15340.0</v>
      </c>
      <c r="L443" s="172">
        <v>15340.0</v>
      </c>
      <c r="M443" s="172">
        <v>15340.0</v>
      </c>
      <c r="N443" s="172">
        <v>15340.0</v>
      </c>
      <c r="O443" s="172">
        <v>66608.0</v>
      </c>
      <c r="P443" s="173">
        <v>66608.0</v>
      </c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40" t="s">
        <v>401</v>
      </c>
      <c r="AP443" s="30"/>
      <c r="AQ443" s="15"/>
      <c r="AR443" s="15" t="s">
        <v>482</v>
      </c>
      <c r="AS443" s="156">
        <v>-9.717528329E9</v>
      </c>
      <c r="AT443" s="156">
        <v>-3.937029958E9</v>
      </c>
      <c r="AU443" s="156">
        <v>-1.647963518E9</v>
      </c>
      <c r="AV443" s="156">
        <v>-8.885660079E9</v>
      </c>
      <c r="AW443" s="156">
        <v>-1.647963518E9</v>
      </c>
      <c r="AX443" s="16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</row>
    <row r="444" hidden="1" outlineLevel="1">
      <c r="A444" s="15"/>
      <c r="B444" s="220" t="s">
        <v>553</v>
      </c>
      <c r="C444" s="15"/>
      <c r="D444" s="15"/>
      <c r="E444" s="15"/>
      <c r="F444" s="15"/>
      <c r="G444" s="15"/>
      <c r="H444" s="15"/>
      <c r="I444" s="15"/>
      <c r="J444" s="237" t="s">
        <v>406</v>
      </c>
      <c r="K444" s="172">
        <v>39661.0</v>
      </c>
      <c r="L444" s="172">
        <v>39661.0</v>
      </c>
      <c r="M444" s="172">
        <v>39661.0</v>
      </c>
      <c r="N444" s="172">
        <v>27224.0</v>
      </c>
      <c r="O444" s="172">
        <v>36834.0</v>
      </c>
      <c r="P444" s="173">
        <v>35314.0</v>
      </c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40" t="s">
        <v>404</v>
      </c>
      <c r="AP444" s="30"/>
      <c r="AQ444" s="15"/>
      <c r="AR444" s="15" t="s">
        <v>483</v>
      </c>
      <c r="AS444" s="156">
        <v>-6.30222918E8</v>
      </c>
      <c r="AT444" s="156">
        <v>-1.63689606E8</v>
      </c>
      <c r="AU444" s="156">
        <v>-8.2235289E7</v>
      </c>
      <c r="AV444" s="156">
        <v>-3.03741926E8</v>
      </c>
      <c r="AW444" s="156">
        <v>-8.2235289E7</v>
      </c>
      <c r="AX444" s="16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</row>
    <row r="445" hidden="1" outlineLevel="1">
      <c r="A445" s="15"/>
      <c r="B445" s="15"/>
      <c r="C445" s="15"/>
      <c r="D445" s="15"/>
      <c r="E445" s="15"/>
      <c r="F445" s="15"/>
      <c r="G445" s="15"/>
      <c r="H445" s="15"/>
      <c r="I445" s="15"/>
      <c r="J445" s="237" t="s">
        <v>408</v>
      </c>
      <c r="K445" s="172">
        <v>50838.0</v>
      </c>
      <c r="L445" s="172">
        <v>50600.0</v>
      </c>
      <c r="M445" s="172">
        <v>39390.0</v>
      </c>
      <c r="N445" s="172">
        <v>40176.0</v>
      </c>
      <c r="O445" s="172">
        <v>102366.0</v>
      </c>
      <c r="P445" s="173">
        <v>101338.0</v>
      </c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96" t="s">
        <v>407</v>
      </c>
      <c r="AP445" s="30"/>
      <c r="AQ445" s="15"/>
      <c r="AR445" s="15" t="s">
        <v>456</v>
      </c>
      <c r="AS445" s="156">
        <v>-3.06513403E8</v>
      </c>
      <c r="AT445" s="156">
        <v>-1.4662332E8</v>
      </c>
      <c r="AU445" s="15"/>
      <c r="AV445" s="15"/>
      <c r="AW445" s="15"/>
      <c r="AX445" s="16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</row>
    <row r="446" hidden="1" outlineLevel="1">
      <c r="A446" s="15"/>
      <c r="B446" s="15"/>
      <c r="C446" s="15"/>
      <c r="D446" s="15"/>
      <c r="E446" s="15"/>
      <c r="F446" s="15"/>
      <c r="G446" s="15"/>
      <c r="H446" s="15"/>
      <c r="I446" s="15"/>
      <c r="J446" s="237" t="s">
        <v>409</v>
      </c>
      <c r="K446" s="172" t="s">
        <v>209</v>
      </c>
      <c r="L446" s="172" t="s">
        <v>209</v>
      </c>
      <c r="M446" s="172" t="s">
        <v>209</v>
      </c>
      <c r="N446" s="172" t="s">
        <v>209</v>
      </c>
      <c r="O446" s="172">
        <v>29326.0</v>
      </c>
      <c r="P446" s="173" t="s">
        <v>209</v>
      </c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 t="s">
        <v>484</v>
      </c>
      <c r="AS446" s="156">
        <v>-4.0521959E7</v>
      </c>
      <c r="AT446" s="156">
        <v>-9932037.0</v>
      </c>
      <c r="AU446" s="15"/>
      <c r="AV446" s="15"/>
      <c r="AW446" s="15"/>
      <c r="AX446" s="16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232"/>
      <c r="K447" s="232"/>
      <c r="L447" s="232"/>
      <c r="M447" s="232"/>
      <c r="N447" s="232"/>
      <c r="O447" s="23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 t="s">
        <v>463</v>
      </c>
      <c r="AS447" s="15"/>
      <c r="AT447" s="15"/>
      <c r="AU447" s="156">
        <v>-1.730198807E9</v>
      </c>
      <c r="AV447" s="156">
        <v>-9.189402005E9</v>
      </c>
      <c r="AW447" s="156">
        <v>-1.730198807E9</v>
      </c>
      <c r="AX447" s="16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250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</row>
    <row r="449">
      <c r="AN449" s="1"/>
      <c r="AX449" s="261"/>
      <c r="AY449" s="317"/>
    </row>
    <row r="450">
      <c r="A450" s="15"/>
      <c r="B450" s="15"/>
      <c r="C450" s="250"/>
      <c r="D450" s="250"/>
      <c r="E450" s="250"/>
      <c r="F450" s="250"/>
      <c r="G450" s="250"/>
      <c r="H450" s="250"/>
      <c r="I450" s="250"/>
      <c r="J450" s="250"/>
      <c r="K450" s="250"/>
      <c r="L450" s="250"/>
      <c r="M450" s="250"/>
      <c r="N450" s="250"/>
      <c r="O450" s="250"/>
      <c r="P450" s="250"/>
      <c r="Q450" s="250"/>
      <c r="R450" s="15"/>
      <c r="S450" s="250"/>
      <c r="T450" s="250"/>
      <c r="U450" s="250"/>
      <c r="V450" s="250"/>
      <c r="W450" s="250"/>
      <c r="X450" s="250"/>
      <c r="Y450" s="250"/>
      <c r="Z450" s="250"/>
      <c r="AA450" s="250"/>
      <c r="AB450" s="250"/>
      <c r="AC450" s="250"/>
      <c r="AD450" s="250"/>
      <c r="AE450" s="250"/>
      <c r="AF450" s="250"/>
      <c r="AG450" s="250"/>
      <c r="AH450" s="15"/>
      <c r="AI450" s="250"/>
      <c r="AJ450" s="250"/>
      <c r="AK450" s="250"/>
      <c r="AL450" s="250"/>
      <c r="AM450" s="250"/>
      <c r="AN450" s="250"/>
      <c r="AO450" s="250"/>
      <c r="AP450" s="250"/>
      <c r="AQ450" s="250"/>
      <c r="AR450" s="250"/>
      <c r="AS450" s="250"/>
      <c r="AT450" s="250"/>
      <c r="AU450" s="250"/>
      <c r="AV450" s="250"/>
      <c r="AW450" s="250"/>
      <c r="AX450" s="15"/>
      <c r="AY450" s="250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</row>
    <row r="451">
      <c r="A451" s="15"/>
      <c r="B451" s="157" t="s">
        <v>410</v>
      </c>
      <c r="C451" s="158" t="s">
        <v>144</v>
      </c>
      <c r="D451" s="158" t="s">
        <v>145</v>
      </c>
      <c r="E451" s="158" t="s">
        <v>146</v>
      </c>
      <c r="F451" s="158" t="s">
        <v>147</v>
      </c>
      <c r="G451" s="158" t="s">
        <v>148</v>
      </c>
      <c r="H451" s="158" t="s">
        <v>149</v>
      </c>
      <c r="I451" s="158" t="s">
        <v>150</v>
      </c>
      <c r="J451" s="158" t="s">
        <v>151</v>
      </c>
      <c r="K451" s="158" t="s">
        <v>152</v>
      </c>
      <c r="L451" s="158" t="s">
        <v>153</v>
      </c>
      <c r="M451" s="158" t="s">
        <v>154</v>
      </c>
      <c r="N451" s="158" t="s">
        <v>155</v>
      </c>
      <c r="O451" s="158" t="s">
        <v>156</v>
      </c>
      <c r="P451" s="158" t="s">
        <v>157</v>
      </c>
      <c r="Q451" s="229"/>
      <c r="R451" s="157" t="s">
        <v>410</v>
      </c>
      <c r="S451" s="158" t="s">
        <v>144</v>
      </c>
      <c r="T451" s="158" t="s">
        <v>145</v>
      </c>
      <c r="U451" s="158" t="s">
        <v>146</v>
      </c>
      <c r="V451" s="158" t="s">
        <v>147</v>
      </c>
      <c r="W451" s="158" t="s">
        <v>148</v>
      </c>
      <c r="X451" s="158" t="s">
        <v>149</v>
      </c>
      <c r="Y451" s="158" t="s">
        <v>150</v>
      </c>
      <c r="Z451" s="158" t="s">
        <v>151</v>
      </c>
      <c r="AA451" s="158" t="s">
        <v>152</v>
      </c>
      <c r="AB451" s="158" t="s">
        <v>153</v>
      </c>
      <c r="AC451" s="158" t="s">
        <v>154</v>
      </c>
      <c r="AD451" s="158" t="s">
        <v>155</v>
      </c>
      <c r="AE451" s="158" t="s">
        <v>156</v>
      </c>
      <c r="AF451" s="158" t="s">
        <v>157</v>
      </c>
      <c r="AG451" s="229"/>
      <c r="AH451" s="157" t="s">
        <v>410</v>
      </c>
      <c r="AI451" s="158" t="s">
        <v>144</v>
      </c>
      <c r="AJ451" s="158" t="s">
        <v>145</v>
      </c>
      <c r="AK451" s="158" t="s">
        <v>146</v>
      </c>
      <c r="AL451" s="158" t="s">
        <v>147</v>
      </c>
      <c r="AM451" s="158" t="s">
        <v>148</v>
      </c>
      <c r="AN451" s="158" t="s">
        <v>149</v>
      </c>
      <c r="AO451" s="158" t="s">
        <v>150</v>
      </c>
      <c r="AP451" s="158" t="s">
        <v>151</v>
      </c>
      <c r="AQ451" s="158" t="s">
        <v>152</v>
      </c>
      <c r="AR451" s="158" t="s">
        <v>153</v>
      </c>
      <c r="AS451" s="158" t="s">
        <v>154</v>
      </c>
      <c r="AT451" s="158" t="s">
        <v>155</v>
      </c>
      <c r="AU451" s="158" t="s">
        <v>156</v>
      </c>
      <c r="AV451" s="158" t="s">
        <v>157</v>
      </c>
      <c r="AW451" s="229"/>
      <c r="AX451" s="157" t="s">
        <v>410</v>
      </c>
      <c r="AY451" s="158" t="s">
        <v>172</v>
      </c>
      <c r="AZ451" s="158" t="s">
        <v>144</v>
      </c>
      <c r="BA451" s="158" t="s">
        <v>145</v>
      </c>
      <c r="BB451" s="158" t="s">
        <v>146</v>
      </c>
      <c r="BC451" s="158" t="s">
        <v>147</v>
      </c>
      <c r="BD451" s="158" t="s">
        <v>148</v>
      </c>
      <c r="BE451" s="158" t="s">
        <v>149</v>
      </c>
      <c r="BF451" s="158" t="s">
        <v>150</v>
      </c>
      <c r="BG451" s="158" t="s">
        <v>151</v>
      </c>
      <c r="BH451" s="158" t="s">
        <v>152</v>
      </c>
      <c r="BI451" s="158" t="s">
        <v>153</v>
      </c>
      <c r="BJ451" s="158" t="s">
        <v>154</v>
      </c>
      <c r="BK451" s="158" t="s">
        <v>155</v>
      </c>
      <c r="BL451" s="158" t="s">
        <v>156</v>
      </c>
      <c r="BM451" s="158" t="s">
        <v>157</v>
      </c>
      <c r="BN451" s="229"/>
      <c r="BO451" s="229"/>
      <c r="BP451" s="229"/>
      <c r="BQ451" s="229"/>
      <c r="BR451" s="229"/>
      <c r="BS451" s="230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</row>
    <row r="452">
      <c r="A452" s="15"/>
      <c r="B452" s="157" t="s">
        <v>180</v>
      </c>
      <c r="C452" s="167">
        <v>46203.0</v>
      </c>
      <c r="D452" s="167">
        <v>46112.0</v>
      </c>
      <c r="E452" s="167">
        <v>46022.0</v>
      </c>
      <c r="F452" s="167">
        <v>45930.0</v>
      </c>
      <c r="G452" s="167">
        <v>45838.0</v>
      </c>
      <c r="H452" s="167">
        <v>45747.0</v>
      </c>
      <c r="I452" s="167">
        <v>45657.0</v>
      </c>
      <c r="J452" s="167">
        <v>45565.0</v>
      </c>
      <c r="K452" s="167">
        <v>45473.0</v>
      </c>
      <c r="L452" s="167">
        <v>45382.0</v>
      </c>
      <c r="M452" s="167">
        <v>45291.0</v>
      </c>
      <c r="N452" s="167">
        <v>45199.0</v>
      </c>
      <c r="O452" s="167">
        <v>45107.0</v>
      </c>
      <c r="P452" s="167">
        <v>45016.0</v>
      </c>
      <c r="Q452" s="168"/>
      <c r="R452" s="157" t="s">
        <v>180</v>
      </c>
      <c r="S452" s="167">
        <v>46203.0</v>
      </c>
      <c r="T452" s="167">
        <v>46112.0</v>
      </c>
      <c r="U452" s="167">
        <v>46022.0</v>
      </c>
      <c r="V452" s="167">
        <v>45930.0</v>
      </c>
      <c r="W452" s="167">
        <v>45838.0</v>
      </c>
      <c r="X452" s="167">
        <v>45747.0</v>
      </c>
      <c r="Y452" s="167">
        <v>45657.0</v>
      </c>
      <c r="Z452" s="167">
        <v>45565.0</v>
      </c>
      <c r="AA452" s="167">
        <v>45473.0</v>
      </c>
      <c r="AB452" s="167">
        <v>45382.0</v>
      </c>
      <c r="AC452" s="167">
        <v>45291.0</v>
      </c>
      <c r="AD452" s="167">
        <v>45199.0</v>
      </c>
      <c r="AE452" s="167">
        <v>45107.0</v>
      </c>
      <c r="AF452" s="167">
        <v>45016.0</v>
      </c>
      <c r="AG452" s="168"/>
      <c r="AH452" s="157" t="s">
        <v>180</v>
      </c>
      <c r="AI452" s="167">
        <v>46203.0</v>
      </c>
      <c r="AJ452" s="167">
        <v>46112.0</v>
      </c>
      <c r="AK452" s="167">
        <v>46022.0</v>
      </c>
      <c r="AL452" s="167">
        <v>45930.0</v>
      </c>
      <c r="AM452" s="167">
        <v>45838.0</v>
      </c>
      <c r="AN452" s="167">
        <v>45747.0</v>
      </c>
      <c r="AO452" s="167">
        <v>45657.0</v>
      </c>
      <c r="AP452" s="167">
        <v>45565.0</v>
      </c>
      <c r="AQ452" s="167">
        <v>45473.0</v>
      </c>
      <c r="AR452" s="167">
        <v>45382.0</v>
      </c>
      <c r="AS452" s="167">
        <v>45291.0</v>
      </c>
      <c r="AT452" s="167">
        <v>45199.0</v>
      </c>
      <c r="AU452" s="167">
        <v>45107.0</v>
      </c>
      <c r="AV452" s="167">
        <v>45016.0</v>
      </c>
      <c r="AW452" s="168"/>
      <c r="AX452" s="157" t="s">
        <v>180</v>
      </c>
      <c r="AY452" s="167">
        <v>46304.0</v>
      </c>
      <c r="AZ452" s="167">
        <v>46203.0</v>
      </c>
      <c r="BA452" s="167">
        <v>46112.0</v>
      </c>
      <c r="BB452" s="167">
        <v>46022.0</v>
      </c>
      <c r="BC452" s="167">
        <v>45930.0</v>
      </c>
      <c r="BD452" s="167">
        <v>45838.0</v>
      </c>
      <c r="BE452" s="167">
        <v>45747.0</v>
      </c>
      <c r="BF452" s="167">
        <v>45657.0</v>
      </c>
      <c r="BG452" s="167">
        <v>45565.0</v>
      </c>
      <c r="BH452" s="167">
        <v>45473.0</v>
      </c>
      <c r="BI452" s="167">
        <v>45382.0</v>
      </c>
      <c r="BJ452" s="167">
        <v>45291.0</v>
      </c>
      <c r="BK452" s="167">
        <v>45199.0</v>
      </c>
      <c r="BL452" s="167">
        <v>45107.0</v>
      </c>
      <c r="BM452" s="167">
        <v>45016.0</v>
      </c>
      <c r="BN452" s="168"/>
      <c r="BO452" s="168"/>
      <c r="BP452" s="168"/>
      <c r="BQ452" s="168"/>
      <c r="BR452" s="168"/>
      <c r="BS452" s="168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</row>
    <row r="453">
      <c r="A453" s="15"/>
      <c r="B453" s="231" t="s">
        <v>554</v>
      </c>
      <c r="C453" s="172">
        <v>70655.0</v>
      </c>
      <c r="D453" s="172">
        <v>85258.0</v>
      </c>
      <c r="E453" s="172">
        <v>93908.0</v>
      </c>
      <c r="F453" s="172">
        <v>60324.0</v>
      </c>
      <c r="G453" s="172">
        <v>30934.0</v>
      </c>
      <c r="H453" s="172">
        <v>40633.0</v>
      </c>
      <c r="I453" s="172">
        <v>67242.0</v>
      </c>
      <c r="J453" s="172">
        <v>48789.0</v>
      </c>
      <c r="K453" s="172">
        <v>29541.0</v>
      </c>
      <c r="L453" s="172">
        <v>22435.0</v>
      </c>
      <c r="M453" s="172">
        <v>32691.0</v>
      </c>
      <c r="N453" s="172">
        <v>10827.0</v>
      </c>
      <c r="O453" s="172">
        <v>1569.0</v>
      </c>
      <c r="P453" s="172">
        <v>7199.0</v>
      </c>
      <c r="Q453" s="232"/>
      <c r="R453" s="233" t="s">
        <v>184</v>
      </c>
      <c r="S453" s="172">
        <v>6647.0</v>
      </c>
      <c r="T453" s="172">
        <v>11224.0</v>
      </c>
      <c r="U453" s="172">
        <v>13620.0</v>
      </c>
      <c r="V453" s="172">
        <v>4052.0</v>
      </c>
      <c r="W453" s="172">
        <v>5043.0</v>
      </c>
      <c r="X453" s="172">
        <v>1886.0</v>
      </c>
      <c r="Y453" s="172">
        <v>8056.0</v>
      </c>
      <c r="Z453" s="172">
        <v>2072.0</v>
      </c>
      <c r="AA453" s="188">
        <v>541.88</v>
      </c>
      <c r="AB453" s="172">
        <v>2567.0</v>
      </c>
      <c r="AC453" s="172">
        <v>1195.0</v>
      </c>
      <c r="AD453" s="172">
        <v>5170.0</v>
      </c>
      <c r="AE453" s="172">
        <v>1038.0</v>
      </c>
      <c r="AF453" s="172">
        <v>104645.0</v>
      </c>
      <c r="AG453" s="241"/>
      <c r="AH453" s="237" t="s">
        <v>185</v>
      </c>
      <c r="AI453" s="172">
        <v>508.78</v>
      </c>
      <c r="AJ453" s="172">
        <v>1603.0</v>
      </c>
      <c r="AK453" s="172">
        <v>300.4</v>
      </c>
      <c r="AL453" s="172">
        <v>2617.0</v>
      </c>
      <c r="AM453" s="172">
        <v>525.71</v>
      </c>
      <c r="AN453" s="172">
        <v>896.56</v>
      </c>
      <c r="AO453" s="172">
        <v>-385.16</v>
      </c>
      <c r="AP453" s="172">
        <v>2308.0</v>
      </c>
      <c r="AQ453" s="172">
        <v>3016.0</v>
      </c>
      <c r="AR453" s="172">
        <v>-1954.0</v>
      </c>
      <c r="AS453" s="172">
        <v>32905.0</v>
      </c>
      <c r="AT453" s="172">
        <v>4442.0</v>
      </c>
      <c r="AU453" s="188">
        <v>127.64</v>
      </c>
      <c r="AV453" s="172">
        <v>22660.0</v>
      </c>
      <c r="AW453" s="232"/>
      <c r="AX453" s="234" t="s">
        <v>555</v>
      </c>
      <c r="AY453" s="172">
        <v>145811.0</v>
      </c>
      <c r="AZ453" s="172">
        <v>178213.0</v>
      </c>
      <c r="BA453" s="172">
        <v>207375.0</v>
      </c>
      <c r="BB453" s="172">
        <v>191174.0</v>
      </c>
      <c r="BC453" s="172">
        <v>187934.0</v>
      </c>
      <c r="BD453" s="172">
        <v>90727.0</v>
      </c>
      <c r="BE453" s="172">
        <v>100447.0</v>
      </c>
      <c r="BF453" s="172">
        <v>103688.0</v>
      </c>
      <c r="BG453" s="172">
        <v>123129.0</v>
      </c>
      <c r="BH453" s="172">
        <v>61564.0</v>
      </c>
      <c r="BI453" s="172">
        <v>162012.0</v>
      </c>
      <c r="BJ453" s="172">
        <v>162012.0</v>
      </c>
      <c r="BK453" s="172">
        <v>184693.0</v>
      </c>
      <c r="BL453" s="172">
        <v>204135.0</v>
      </c>
      <c r="BM453" s="172">
        <v>162012.0</v>
      </c>
      <c r="BN453" s="232"/>
      <c r="BO453" s="232"/>
      <c r="BP453" s="232"/>
      <c r="BQ453" s="232"/>
      <c r="BR453" s="232"/>
      <c r="BS453" s="23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</row>
    <row r="454">
      <c r="A454" s="15"/>
      <c r="B454" s="157" t="s">
        <v>188</v>
      </c>
      <c r="C454" s="185">
        <v>1.284</v>
      </c>
      <c r="D454" s="185">
        <v>1.0982</v>
      </c>
      <c r="E454" s="185">
        <v>0.3966</v>
      </c>
      <c r="F454" s="185">
        <v>0.2364</v>
      </c>
      <c r="G454" s="185">
        <v>0.0472</v>
      </c>
      <c r="H454" s="185">
        <v>0.8112</v>
      </c>
      <c r="I454" s="185">
        <v>1.0569</v>
      </c>
      <c r="J454" s="185">
        <v>3.5061</v>
      </c>
      <c r="K454" s="185">
        <v>17.8236</v>
      </c>
      <c r="L454" s="185">
        <v>2.1165</v>
      </c>
      <c r="M454" s="185">
        <v>1.8024</v>
      </c>
      <c r="N454" s="184">
        <v>-0.7569</v>
      </c>
      <c r="O454" s="184">
        <v>-0.9707</v>
      </c>
      <c r="P454" s="184">
        <v>-0.8386</v>
      </c>
      <c r="Q454" s="236"/>
      <c r="R454" s="237" t="s">
        <v>189</v>
      </c>
      <c r="S454" s="172">
        <v>6647.0</v>
      </c>
      <c r="T454" s="172">
        <v>11224.0</v>
      </c>
      <c r="U454" s="172">
        <v>13620.0</v>
      </c>
      <c r="V454" s="172">
        <v>4052.0</v>
      </c>
      <c r="W454" s="172">
        <v>5043.0</v>
      </c>
      <c r="X454" s="172">
        <v>1886.0</v>
      </c>
      <c r="Y454" s="172">
        <v>8056.0</v>
      </c>
      <c r="Z454" s="172">
        <v>2072.0</v>
      </c>
      <c r="AA454" s="188">
        <v>541.88</v>
      </c>
      <c r="AB454" s="172">
        <v>2567.0</v>
      </c>
      <c r="AC454" s="172">
        <v>1195.0</v>
      </c>
      <c r="AD454" s="172">
        <v>5170.0</v>
      </c>
      <c r="AE454" s="172">
        <v>1038.0</v>
      </c>
      <c r="AF454" s="172">
        <v>104645.0</v>
      </c>
      <c r="AG454" s="241"/>
      <c r="AH454" s="237" t="s">
        <v>190</v>
      </c>
      <c r="AI454" s="172">
        <v>1251.0</v>
      </c>
      <c r="AJ454" s="172">
        <v>1461.0</v>
      </c>
      <c r="AK454" s="172">
        <v>-3521.0</v>
      </c>
      <c r="AL454" s="172">
        <v>1208.0</v>
      </c>
      <c r="AM454" s="172">
        <v>1156.0</v>
      </c>
      <c r="AN454" s="172">
        <v>1157.0</v>
      </c>
      <c r="AO454" s="172">
        <v>-3650.0</v>
      </c>
      <c r="AP454" s="172">
        <v>1305.0</v>
      </c>
      <c r="AQ454" s="172">
        <v>1166.0</v>
      </c>
      <c r="AR454" s="172">
        <v>1179.0</v>
      </c>
      <c r="AS454" s="172">
        <v>1367.0</v>
      </c>
      <c r="AT454" s="172">
        <v>536.03</v>
      </c>
      <c r="AU454" s="172">
        <v>256.91</v>
      </c>
      <c r="AV454" s="172">
        <v>1468.0</v>
      </c>
      <c r="AW454" s="232"/>
      <c r="AX454" s="157" t="s">
        <v>414</v>
      </c>
      <c r="AY454" s="184">
        <v>-0.3182</v>
      </c>
      <c r="AZ454" s="185">
        <v>0.9643</v>
      </c>
      <c r="BA454" s="185">
        <v>1.0645</v>
      </c>
      <c r="BB454" s="185">
        <v>0.8438</v>
      </c>
      <c r="BC454" s="185">
        <v>0.5263</v>
      </c>
      <c r="BD454" s="185">
        <v>0.4737</v>
      </c>
      <c r="BE454" s="184">
        <v>-0.38</v>
      </c>
      <c r="BF454" s="184">
        <v>-0.36</v>
      </c>
      <c r="BG454" s="184">
        <v>-0.3333</v>
      </c>
      <c r="BH454" s="184">
        <v>-0.6984</v>
      </c>
      <c r="BI454" s="239">
        <v>0.0</v>
      </c>
      <c r="BJ454" s="239">
        <v>0.0</v>
      </c>
      <c r="BK454" s="185">
        <v>0.0962</v>
      </c>
      <c r="BL454" s="184">
        <v>-0.0156</v>
      </c>
      <c r="BM454" s="184">
        <v>-0.375</v>
      </c>
      <c r="BN454" s="236"/>
      <c r="BO454" s="236"/>
      <c r="BP454" s="236"/>
      <c r="BQ454" s="232"/>
      <c r="BR454" s="232"/>
      <c r="BS454" s="23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</row>
    <row r="455">
      <c r="A455" s="15"/>
      <c r="B455" s="237" t="s">
        <v>194</v>
      </c>
      <c r="C455" s="172">
        <v>56051.0</v>
      </c>
      <c r="D455" s="172">
        <v>64340.0</v>
      </c>
      <c r="E455" s="172">
        <v>74680.0</v>
      </c>
      <c r="F455" s="172">
        <v>43759.0</v>
      </c>
      <c r="G455" s="172">
        <v>23014.0</v>
      </c>
      <c r="H455" s="172">
        <v>30136.0</v>
      </c>
      <c r="I455" s="172">
        <v>51186.0</v>
      </c>
      <c r="J455" s="172">
        <v>36392.0</v>
      </c>
      <c r="K455" s="172">
        <v>22227.0</v>
      </c>
      <c r="L455" s="172">
        <v>16987.0</v>
      </c>
      <c r="M455" s="172">
        <v>31269.0</v>
      </c>
      <c r="N455" s="172">
        <v>-8315.0</v>
      </c>
      <c r="O455" s="172">
        <v>-5584.0</v>
      </c>
      <c r="P455" s="172">
        <v>33255.0</v>
      </c>
      <c r="Q455" s="232"/>
      <c r="R455" s="238" t="s">
        <v>415</v>
      </c>
      <c r="S455" s="185">
        <v>0.318</v>
      </c>
      <c r="T455" s="185">
        <v>4.952</v>
      </c>
      <c r="U455" s="185">
        <v>0.6906</v>
      </c>
      <c r="V455" s="185">
        <v>0.9556</v>
      </c>
      <c r="W455" s="185">
        <v>8.3064</v>
      </c>
      <c r="X455" s="184">
        <v>-0.2654</v>
      </c>
      <c r="Y455" s="185">
        <v>5.7404</v>
      </c>
      <c r="Z455" s="184">
        <v>-0.5993</v>
      </c>
      <c r="AA455" s="184">
        <v>-0.4781</v>
      </c>
      <c r="AB455" s="184">
        <v>-0.9755</v>
      </c>
      <c r="AC455" s="185">
        <v>1.3479</v>
      </c>
      <c r="AD455" s="185">
        <v>7.1253</v>
      </c>
      <c r="AE455" s="184">
        <v>-0.6694</v>
      </c>
      <c r="AF455" s="185">
        <v>29.3215</v>
      </c>
      <c r="AG455" s="236"/>
      <c r="AH455" s="237" t="s">
        <v>196</v>
      </c>
      <c r="AI455" s="172">
        <v>-13105.0</v>
      </c>
      <c r="AJ455" s="172">
        <v>-62242.0</v>
      </c>
      <c r="AK455" s="172">
        <v>-20162.0</v>
      </c>
      <c r="AL455" s="172">
        <v>-5442.0</v>
      </c>
      <c r="AM455" s="172">
        <v>18131.0</v>
      </c>
      <c r="AN455" s="172">
        <v>-25558.0</v>
      </c>
      <c r="AO455" s="172">
        <v>-37414.0</v>
      </c>
      <c r="AP455" s="172">
        <v>11578.0</v>
      </c>
      <c r="AQ455" s="172">
        <v>-5916.0</v>
      </c>
      <c r="AR455" s="172">
        <v>2699.0</v>
      </c>
      <c r="AS455" s="172">
        <v>-66585.0</v>
      </c>
      <c r="AT455" s="172">
        <v>-57376.0</v>
      </c>
      <c r="AU455" s="172">
        <v>28446.0</v>
      </c>
      <c r="AV455" s="172">
        <v>-55377.0</v>
      </c>
      <c r="AW455" s="232"/>
      <c r="AX455" s="233" t="s">
        <v>197</v>
      </c>
      <c r="AY455" s="172">
        <v>323287.0</v>
      </c>
      <c r="AZ455" s="172">
        <v>343626.0</v>
      </c>
      <c r="BA455" s="172">
        <v>288961.0</v>
      </c>
      <c r="BB455" s="172">
        <v>272760.0</v>
      </c>
      <c r="BC455" s="172">
        <v>257058.0</v>
      </c>
      <c r="BD455" s="172">
        <v>179409.0</v>
      </c>
      <c r="BE455" s="172">
        <v>125855.0</v>
      </c>
      <c r="BF455" s="172">
        <v>129096.0</v>
      </c>
      <c r="BG455" s="172">
        <v>150487.0</v>
      </c>
      <c r="BH455" s="172">
        <v>87189.0</v>
      </c>
      <c r="BI455" s="172">
        <v>187697.0</v>
      </c>
      <c r="BJ455" s="172">
        <v>187697.0</v>
      </c>
      <c r="BK455" s="172">
        <v>205773.0</v>
      </c>
      <c r="BL455" s="172">
        <v>163333.0</v>
      </c>
      <c r="BM455" s="172">
        <v>306819.0</v>
      </c>
      <c r="BN455" s="232"/>
      <c r="BO455" s="232"/>
      <c r="BP455" s="232"/>
      <c r="BQ455" s="232"/>
      <c r="BR455" s="232"/>
      <c r="BS455" s="23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</row>
    <row r="456">
      <c r="A456" s="15"/>
      <c r="B456" s="237" t="s">
        <v>200</v>
      </c>
      <c r="C456" s="172">
        <v>14604.0</v>
      </c>
      <c r="D456" s="172">
        <v>20918.0</v>
      </c>
      <c r="E456" s="172">
        <v>19228.0</v>
      </c>
      <c r="F456" s="172">
        <v>16565.0</v>
      </c>
      <c r="G456" s="172">
        <v>7920.0</v>
      </c>
      <c r="H456" s="172">
        <v>10497.0</v>
      </c>
      <c r="I456" s="172">
        <v>16056.0</v>
      </c>
      <c r="J456" s="172">
        <v>12398.0</v>
      </c>
      <c r="K456" s="172">
        <v>7313.0</v>
      </c>
      <c r="L456" s="172">
        <v>5448.0</v>
      </c>
      <c r="M456" s="172">
        <v>1422.0</v>
      </c>
      <c r="N456" s="172">
        <v>19143.0</v>
      </c>
      <c r="O456" s="172">
        <v>7154.0</v>
      </c>
      <c r="P456" s="172">
        <v>-26056.0</v>
      </c>
      <c r="Q456" s="232"/>
      <c r="R456" s="233" t="s">
        <v>201</v>
      </c>
      <c r="S456" s="172">
        <v>206298.0</v>
      </c>
      <c r="T456" s="172">
        <v>199674.0</v>
      </c>
      <c r="U456" s="172">
        <v>159318.0</v>
      </c>
      <c r="V456" s="172">
        <v>133331.0</v>
      </c>
      <c r="W456" s="172">
        <v>120502.0</v>
      </c>
      <c r="X456" s="172">
        <v>150600.0</v>
      </c>
      <c r="Y456" s="172">
        <v>121108.0</v>
      </c>
      <c r="Z456" s="172">
        <v>79680.0</v>
      </c>
      <c r="AA456" s="172">
        <v>90943.0</v>
      </c>
      <c r="AB456" s="172">
        <v>88007.0</v>
      </c>
      <c r="AC456" s="172">
        <v>94482.0</v>
      </c>
      <c r="AD456" s="172">
        <v>22427.0</v>
      </c>
      <c r="AE456" s="172">
        <v>23421.0</v>
      </c>
      <c r="AF456" s="172">
        <v>22407.0</v>
      </c>
      <c r="AG456" s="232"/>
      <c r="AH456" s="233" t="s">
        <v>202</v>
      </c>
      <c r="AI456" s="172">
        <v>-11345.0</v>
      </c>
      <c r="AJ456" s="172">
        <v>-59178.0</v>
      </c>
      <c r="AK456" s="172">
        <v>-23382.0</v>
      </c>
      <c r="AL456" s="172">
        <v>-1618.0</v>
      </c>
      <c r="AM456" s="172">
        <v>19813.0</v>
      </c>
      <c r="AN456" s="172">
        <v>-23505.0</v>
      </c>
      <c r="AO456" s="172">
        <v>-41450.0</v>
      </c>
      <c r="AP456" s="172">
        <v>15190.0</v>
      </c>
      <c r="AQ456" s="172">
        <v>-1734.0</v>
      </c>
      <c r="AR456" s="172">
        <v>1925.0</v>
      </c>
      <c r="AS456" s="172">
        <v>-32313.0</v>
      </c>
      <c r="AT456" s="172">
        <v>-52397.0</v>
      </c>
      <c r="AU456" s="172">
        <v>28831.0</v>
      </c>
      <c r="AV456" s="172">
        <v>-31249.0</v>
      </c>
      <c r="AW456" s="232"/>
      <c r="AX456" s="233" t="s">
        <v>203</v>
      </c>
      <c r="AY456" s="172">
        <v>45.0</v>
      </c>
      <c r="AZ456" s="172">
        <v>54.72</v>
      </c>
      <c r="BA456" s="188">
        <v>63.67</v>
      </c>
      <c r="BB456" s="172">
        <v>58.69</v>
      </c>
      <c r="BC456" s="188">
        <v>57.7</v>
      </c>
      <c r="BD456" s="188">
        <v>27.86</v>
      </c>
      <c r="BE456" s="188">
        <v>30.54</v>
      </c>
      <c r="BF456" s="188">
        <v>31.52</v>
      </c>
      <c r="BG456" s="188">
        <v>37.43</v>
      </c>
      <c r="BH456" s="188">
        <v>18.72</v>
      </c>
      <c r="BI456" s="188">
        <v>49.25</v>
      </c>
      <c r="BJ456" s="188">
        <v>49.25</v>
      </c>
      <c r="BK456" s="188">
        <v>56.15</v>
      </c>
      <c r="BL456" s="188">
        <v>62.06</v>
      </c>
      <c r="BM456" s="188">
        <v>49.25</v>
      </c>
      <c r="BN456" s="241"/>
      <c r="BO456" s="241"/>
      <c r="BP456" s="241"/>
      <c r="BQ456" s="241"/>
      <c r="BR456" s="241"/>
      <c r="BS456" s="242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</row>
    <row r="457">
      <c r="A457" s="15"/>
      <c r="B457" s="237" t="s">
        <v>206</v>
      </c>
      <c r="C457" s="172">
        <v>10675.0</v>
      </c>
      <c r="D457" s="172">
        <v>12596.0</v>
      </c>
      <c r="E457" s="172">
        <v>17472.0</v>
      </c>
      <c r="F457" s="172">
        <v>12114.0</v>
      </c>
      <c r="G457" s="172">
        <v>5093.0</v>
      </c>
      <c r="H457" s="172">
        <v>6929.0</v>
      </c>
      <c r="I457" s="172">
        <v>13429.0</v>
      </c>
      <c r="J457" s="172">
        <v>8513.0</v>
      </c>
      <c r="K457" s="172">
        <v>2675.0</v>
      </c>
      <c r="L457" s="172">
        <v>4975.0</v>
      </c>
      <c r="M457" s="172">
        <v>13155.0</v>
      </c>
      <c r="N457" s="172">
        <v>-2313.0</v>
      </c>
      <c r="O457" s="172">
        <v>1540.0</v>
      </c>
      <c r="P457" s="172">
        <v>17741.0</v>
      </c>
      <c r="Q457" s="232"/>
      <c r="R457" s="233" t="s">
        <v>439</v>
      </c>
      <c r="S457" s="172">
        <v>4.45</v>
      </c>
      <c r="T457" s="172">
        <v>1.56</v>
      </c>
      <c r="U457" s="172">
        <v>132.72</v>
      </c>
      <c r="V457" s="172">
        <v>97.27</v>
      </c>
      <c r="W457" s="172">
        <v>141.29</v>
      </c>
      <c r="X457" s="172">
        <v>366.82</v>
      </c>
      <c r="Y457" s="172">
        <v>41.13</v>
      </c>
      <c r="Z457" s="172">
        <v>73.77</v>
      </c>
      <c r="AA457" s="172">
        <v>201.29</v>
      </c>
      <c r="AB457" s="172">
        <v>217.18</v>
      </c>
      <c r="AC457" s="172">
        <v>285.05</v>
      </c>
      <c r="AD457" s="172" t="s">
        <v>209</v>
      </c>
      <c r="AE457" s="172" t="s">
        <v>209</v>
      </c>
      <c r="AF457" s="172">
        <v>49243.0</v>
      </c>
      <c r="AG457" s="232"/>
      <c r="AH457" s="238" t="s">
        <v>416</v>
      </c>
      <c r="AI457" s="243" t="s">
        <v>209</v>
      </c>
      <c r="AJ457" s="243" t="s">
        <v>209</v>
      </c>
      <c r="AK457" s="243" t="s">
        <v>209</v>
      </c>
      <c r="AL457" s="243" t="s">
        <v>209</v>
      </c>
      <c r="AM457" s="186" t="s">
        <v>209</v>
      </c>
      <c r="AN457" s="186" t="s">
        <v>209</v>
      </c>
      <c r="AO457" s="186" t="s">
        <v>209</v>
      </c>
      <c r="AP457" s="186" t="s">
        <v>209</v>
      </c>
      <c r="AQ457" s="186" t="s">
        <v>209</v>
      </c>
      <c r="AR457" s="186" t="s">
        <v>209</v>
      </c>
      <c r="AS457" s="186" t="s">
        <v>209</v>
      </c>
      <c r="AT457" s="186" t="s">
        <v>209</v>
      </c>
      <c r="AU457" s="185">
        <v>2.1821</v>
      </c>
      <c r="AV457" s="186" t="s">
        <v>209</v>
      </c>
      <c r="AW457" s="241"/>
      <c r="AX457" s="174" t="s">
        <v>210</v>
      </c>
      <c r="AY457" s="188">
        <v>28.99</v>
      </c>
      <c r="AZ457" s="188">
        <v>35.44</v>
      </c>
      <c r="BA457" s="188">
        <v>41.1</v>
      </c>
      <c r="BB457" s="188">
        <v>44.06</v>
      </c>
      <c r="BC457" s="188">
        <v>51.43</v>
      </c>
      <c r="BD457" s="188">
        <v>27.13</v>
      </c>
      <c r="BE457" s="188">
        <v>17.21</v>
      </c>
      <c r="BF457" s="188" t="s">
        <v>209</v>
      </c>
      <c r="BG457" s="188">
        <v>3.39</v>
      </c>
      <c r="BH457" s="188">
        <v>1.6</v>
      </c>
      <c r="BI457" s="188" t="s">
        <v>209</v>
      </c>
      <c r="BJ457" s="188">
        <v>2.69</v>
      </c>
      <c r="BK457" s="188">
        <v>949.03</v>
      </c>
      <c r="BL457" s="188">
        <v>-15.61</v>
      </c>
      <c r="BM457" s="188">
        <v>-10.28</v>
      </c>
      <c r="BN457" s="241"/>
      <c r="BO457" s="241"/>
      <c r="BP457" s="241"/>
      <c r="BQ457" s="241"/>
      <c r="BR457" s="241"/>
      <c r="BS457" s="242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</row>
    <row r="458">
      <c r="A458" s="15"/>
      <c r="B458" s="237" t="s">
        <v>213</v>
      </c>
      <c r="C458" s="172">
        <v>212.46</v>
      </c>
      <c r="D458" s="172">
        <v>119.56</v>
      </c>
      <c r="E458" s="172">
        <v>1648.0</v>
      </c>
      <c r="F458" s="172">
        <v>22.24</v>
      </c>
      <c r="G458" s="172">
        <v>115.71</v>
      </c>
      <c r="H458" s="172">
        <v>205.21</v>
      </c>
      <c r="I458" s="172">
        <v>-72.28</v>
      </c>
      <c r="J458" s="172">
        <v>98.18</v>
      </c>
      <c r="K458" s="172">
        <v>20.79</v>
      </c>
      <c r="L458" s="172">
        <v>517.25</v>
      </c>
      <c r="M458" s="172">
        <v>141.65</v>
      </c>
      <c r="N458" s="172">
        <v>-6488.0</v>
      </c>
      <c r="O458" s="172">
        <v>4780.0</v>
      </c>
      <c r="P458" s="172">
        <v>3440.0</v>
      </c>
      <c r="Q458" s="232"/>
      <c r="R458" s="233" t="s">
        <v>207</v>
      </c>
      <c r="S458" s="172">
        <v>206303.0</v>
      </c>
      <c r="T458" s="172">
        <v>199675.0</v>
      </c>
      <c r="U458" s="172">
        <v>159451.0</v>
      </c>
      <c r="V458" s="172">
        <v>133429.0</v>
      </c>
      <c r="W458" s="172">
        <v>120643.0</v>
      </c>
      <c r="X458" s="172">
        <v>150967.0</v>
      </c>
      <c r="Y458" s="172">
        <v>121149.0</v>
      </c>
      <c r="Z458" s="172">
        <v>79754.0</v>
      </c>
      <c r="AA458" s="172">
        <v>91144.0</v>
      </c>
      <c r="AB458" s="172">
        <v>88224.0</v>
      </c>
      <c r="AC458" s="172">
        <v>94767.0</v>
      </c>
      <c r="AD458" s="172">
        <v>23400.0</v>
      </c>
      <c r="AE458" s="172">
        <v>24972.0</v>
      </c>
      <c r="AF458" s="172">
        <v>71859.0</v>
      </c>
      <c r="AG458" s="232"/>
      <c r="AH458" s="244" t="s">
        <v>215</v>
      </c>
      <c r="AI458" s="172" t="s">
        <v>209</v>
      </c>
      <c r="AJ458" s="172">
        <v>-238.18</v>
      </c>
      <c r="AK458" s="172">
        <v>-49.43</v>
      </c>
      <c r="AL458" s="172">
        <v>-10150.0</v>
      </c>
      <c r="AM458" s="188">
        <v>-255.3</v>
      </c>
      <c r="AN458" s="188" t="s">
        <v>209</v>
      </c>
      <c r="AO458" s="188">
        <v>0.0</v>
      </c>
      <c r="AP458" s="172">
        <v>-13240.0</v>
      </c>
      <c r="AQ458" s="188" t="s">
        <v>209</v>
      </c>
      <c r="AR458" s="188">
        <v>-3.98</v>
      </c>
      <c r="AS458" s="172">
        <v>-11376.0</v>
      </c>
      <c r="AT458" s="172">
        <v>78440.0</v>
      </c>
      <c r="AU458" s="172">
        <v>-89770.0</v>
      </c>
      <c r="AV458" s="172">
        <v>-19536.0</v>
      </c>
      <c r="AW458" s="232"/>
      <c r="AX458" s="174" t="s">
        <v>216</v>
      </c>
      <c r="AY458" s="188">
        <v>0.47</v>
      </c>
      <c r="AZ458" s="172">
        <v>0.57</v>
      </c>
      <c r="BA458" s="172">
        <v>0.77</v>
      </c>
      <c r="BB458" s="172">
        <v>0.85</v>
      </c>
      <c r="BC458" s="188">
        <v>0.94</v>
      </c>
      <c r="BD458" s="188">
        <v>0.48</v>
      </c>
      <c r="BE458" s="188">
        <v>0.54</v>
      </c>
      <c r="BF458" s="188">
        <v>0.62</v>
      </c>
      <c r="BG458" s="188">
        <v>0.92</v>
      </c>
      <c r="BH458" s="188">
        <v>0.65</v>
      </c>
      <c r="BI458" s="188">
        <v>2.4</v>
      </c>
      <c r="BJ458" s="188">
        <v>3.1</v>
      </c>
      <c r="BK458" s="188">
        <v>5.91</v>
      </c>
      <c r="BL458" s="188">
        <v>3.14</v>
      </c>
      <c r="BM458" s="188">
        <v>1.39</v>
      </c>
      <c r="BN458" s="241"/>
      <c r="BO458" s="241"/>
      <c r="BP458" s="241"/>
      <c r="BQ458" s="241"/>
      <c r="BR458" s="241"/>
      <c r="BS458" s="242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</row>
    <row r="459">
      <c r="A459" s="15"/>
      <c r="B459" s="237" t="s">
        <v>220</v>
      </c>
      <c r="C459" s="172">
        <v>10887.0</v>
      </c>
      <c r="D459" s="172">
        <v>12716.0</v>
      </c>
      <c r="E459" s="172">
        <v>19120.0</v>
      </c>
      <c r="F459" s="172">
        <v>12136.0</v>
      </c>
      <c r="G459" s="172">
        <v>5209.0</v>
      </c>
      <c r="H459" s="172">
        <v>7134.0</v>
      </c>
      <c r="I459" s="172">
        <v>13356.0</v>
      </c>
      <c r="J459" s="172">
        <v>8611.0</v>
      </c>
      <c r="K459" s="172">
        <v>2696.0</v>
      </c>
      <c r="L459" s="172">
        <v>5492.0</v>
      </c>
      <c r="M459" s="172">
        <v>13296.0</v>
      </c>
      <c r="N459" s="172">
        <v>-8801.0</v>
      </c>
      <c r="O459" s="172">
        <v>6320.0</v>
      </c>
      <c r="P459" s="172">
        <v>21181.0</v>
      </c>
      <c r="Q459" s="232"/>
      <c r="R459" s="233" t="s">
        <v>214</v>
      </c>
      <c r="S459" s="172">
        <v>139372.0</v>
      </c>
      <c r="T459" s="172">
        <v>129813.0</v>
      </c>
      <c r="U459" s="172">
        <v>84285.0</v>
      </c>
      <c r="V459" s="172">
        <v>99627.0</v>
      </c>
      <c r="W459" s="172">
        <v>107278.0</v>
      </c>
      <c r="X459" s="172">
        <v>96208.0</v>
      </c>
      <c r="Y459" s="172">
        <v>99653.0</v>
      </c>
      <c r="Z459" s="172">
        <v>98254.0</v>
      </c>
      <c r="AA459" s="172">
        <v>97790.0</v>
      </c>
      <c r="AB459" s="172">
        <v>96091.0</v>
      </c>
      <c r="AC459" s="172">
        <v>96777.0</v>
      </c>
      <c r="AD459" s="172">
        <v>21110.0</v>
      </c>
      <c r="AE459" s="172">
        <v>45055.0</v>
      </c>
      <c r="AF459" s="172">
        <v>24296.0</v>
      </c>
      <c r="AG459" s="232"/>
      <c r="AH459" s="233" t="s">
        <v>222</v>
      </c>
      <c r="AI459" s="172" t="s">
        <v>209</v>
      </c>
      <c r="AJ459" s="172" t="s">
        <v>209</v>
      </c>
      <c r="AK459" s="172" t="s">
        <v>209</v>
      </c>
      <c r="AL459" s="172" t="s">
        <v>209</v>
      </c>
      <c r="AM459" s="188" t="s">
        <v>209</v>
      </c>
      <c r="AN459" s="188" t="s">
        <v>209</v>
      </c>
      <c r="AO459" s="188" t="s">
        <v>209</v>
      </c>
      <c r="AP459" s="172" t="s">
        <v>209</v>
      </c>
      <c r="AQ459" s="188" t="s">
        <v>209</v>
      </c>
      <c r="AR459" s="188" t="s">
        <v>209</v>
      </c>
      <c r="AS459" s="172">
        <v>-52525.0</v>
      </c>
      <c r="AT459" s="172">
        <v>-118632.0</v>
      </c>
      <c r="AU459" s="172">
        <v>24493.0</v>
      </c>
      <c r="AV459" s="172">
        <v>256007.0</v>
      </c>
      <c r="AW459" s="241"/>
      <c r="AX459" s="174" t="s">
        <v>223</v>
      </c>
      <c r="AY459" s="188">
        <v>0.6</v>
      </c>
      <c r="AZ459" s="188">
        <v>0.74</v>
      </c>
      <c r="BA459" s="188">
        <v>0.86</v>
      </c>
      <c r="BB459" s="188">
        <v>0.8</v>
      </c>
      <c r="BC459" s="188">
        <v>0.79</v>
      </c>
      <c r="BD459" s="188">
        <v>0.38</v>
      </c>
      <c r="BE459" s="188">
        <v>0.43</v>
      </c>
      <c r="BF459" s="188">
        <v>0.44</v>
      </c>
      <c r="BG459" s="188">
        <v>0.52</v>
      </c>
      <c r="BH459" s="188">
        <v>0.26</v>
      </c>
      <c r="BI459" s="188">
        <v>0.7</v>
      </c>
      <c r="BJ459" s="188">
        <v>0.7</v>
      </c>
      <c r="BK459" s="188">
        <v>0.94</v>
      </c>
      <c r="BL459" s="188">
        <v>1.05</v>
      </c>
      <c r="BM459" s="188">
        <v>0.83</v>
      </c>
      <c r="BN459" s="241"/>
      <c r="BO459" s="241"/>
      <c r="BP459" s="241"/>
      <c r="BQ459" s="241"/>
      <c r="BR459" s="241"/>
      <c r="BS459" s="242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</row>
    <row r="460">
      <c r="A460" s="15"/>
      <c r="B460" s="237" t="s">
        <v>227</v>
      </c>
      <c r="C460" s="172">
        <v>3717.0</v>
      </c>
      <c r="D460" s="172">
        <v>8203.0</v>
      </c>
      <c r="E460" s="172">
        <v>108.21</v>
      </c>
      <c r="F460" s="172">
        <v>4429.0</v>
      </c>
      <c r="G460" s="172">
        <v>2711.0</v>
      </c>
      <c r="H460" s="172">
        <v>3363.0</v>
      </c>
      <c r="I460" s="172">
        <v>2699.0</v>
      </c>
      <c r="J460" s="172">
        <v>3786.0</v>
      </c>
      <c r="K460" s="172">
        <v>4617.0</v>
      </c>
      <c r="L460" s="188">
        <v>-44.21</v>
      </c>
      <c r="M460" s="172">
        <v>-11874.0</v>
      </c>
      <c r="N460" s="172">
        <v>27943.0</v>
      </c>
      <c r="O460" s="188">
        <v>834.05</v>
      </c>
      <c r="P460" s="172">
        <v>-47237.0</v>
      </c>
      <c r="Q460" s="232"/>
      <c r="R460" s="233" t="s">
        <v>221</v>
      </c>
      <c r="S460" s="172" t="s">
        <v>209</v>
      </c>
      <c r="T460" s="172" t="s">
        <v>209</v>
      </c>
      <c r="U460" s="172">
        <v>0.03</v>
      </c>
      <c r="V460" s="172" t="s">
        <v>209</v>
      </c>
      <c r="W460" s="188" t="s">
        <v>209</v>
      </c>
      <c r="X460" s="188">
        <v>478.64</v>
      </c>
      <c r="Y460" s="188">
        <v>504.04</v>
      </c>
      <c r="Z460" s="188">
        <v>513.59</v>
      </c>
      <c r="AA460" s="188">
        <v>508.57</v>
      </c>
      <c r="AB460" s="188">
        <v>504.04</v>
      </c>
      <c r="AC460" s="188">
        <v>215.69</v>
      </c>
      <c r="AD460" s="172">
        <v>5937.0</v>
      </c>
      <c r="AE460" s="172">
        <v>1850.0</v>
      </c>
      <c r="AF460" s="188" t="s">
        <v>209</v>
      </c>
      <c r="AG460" s="232"/>
      <c r="AH460" s="233" t="s">
        <v>528</v>
      </c>
      <c r="AI460" s="172" t="s">
        <v>209</v>
      </c>
      <c r="AJ460" s="172" t="s">
        <v>209</v>
      </c>
      <c r="AK460" s="172" t="s">
        <v>209</v>
      </c>
      <c r="AL460" s="172" t="s">
        <v>209</v>
      </c>
      <c r="AM460" s="188" t="s">
        <v>209</v>
      </c>
      <c r="AN460" s="188" t="s">
        <v>209</v>
      </c>
      <c r="AO460" s="188" t="s">
        <v>209</v>
      </c>
      <c r="AP460" s="188" t="s">
        <v>209</v>
      </c>
      <c r="AQ460" s="188" t="s">
        <v>209</v>
      </c>
      <c r="AR460" s="188" t="s">
        <v>209</v>
      </c>
      <c r="AS460" s="172">
        <v>25000.0</v>
      </c>
      <c r="AT460" s="172" t="s">
        <v>209</v>
      </c>
      <c r="AU460" s="172" t="s">
        <v>209</v>
      </c>
      <c r="AV460" s="172" t="s">
        <v>209</v>
      </c>
      <c r="AW460" s="241"/>
      <c r="AX460" s="174" t="s">
        <v>230</v>
      </c>
      <c r="AY460" s="188">
        <v>0.6</v>
      </c>
      <c r="AZ460" s="188">
        <v>0.74</v>
      </c>
      <c r="BA460" s="188">
        <v>0.86</v>
      </c>
      <c r="BB460" s="188">
        <v>0.8</v>
      </c>
      <c r="BC460" s="188">
        <v>0.79</v>
      </c>
      <c r="BD460" s="188">
        <v>0.38</v>
      </c>
      <c r="BE460" s="188">
        <v>0.43</v>
      </c>
      <c r="BF460" s="188">
        <v>0.44</v>
      </c>
      <c r="BG460" s="188">
        <v>0.52</v>
      </c>
      <c r="BH460" s="188">
        <v>0.26</v>
      </c>
      <c r="BI460" s="188">
        <v>0.7</v>
      </c>
      <c r="BJ460" s="188">
        <v>0.7</v>
      </c>
      <c r="BK460" s="188">
        <v>0.94</v>
      </c>
      <c r="BL460" s="188">
        <v>1.05</v>
      </c>
      <c r="BM460" s="188">
        <v>0.83</v>
      </c>
      <c r="BN460" s="241"/>
      <c r="BO460" s="241"/>
      <c r="BP460" s="241"/>
      <c r="BQ460" s="241"/>
      <c r="BR460" s="241"/>
      <c r="BS460" s="242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</row>
    <row r="461">
      <c r="A461" s="15"/>
      <c r="B461" s="237" t="s">
        <v>234</v>
      </c>
      <c r="C461" s="172">
        <v>-4153.0</v>
      </c>
      <c r="D461" s="172">
        <v>-5605.0</v>
      </c>
      <c r="E461" s="172">
        <v>-1799.0</v>
      </c>
      <c r="F461" s="188">
        <v>-912.64</v>
      </c>
      <c r="G461" s="172">
        <v>-1896.0</v>
      </c>
      <c r="H461" s="172">
        <v>-2051.0</v>
      </c>
      <c r="I461" s="172">
        <v>-1165.0</v>
      </c>
      <c r="J461" s="188">
        <v>-788.37</v>
      </c>
      <c r="K461" s="188">
        <v>-824.79</v>
      </c>
      <c r="L461" s="188">
        <v>-823.17</v>
      </c>
      <c r="M461" s="172">
        <v>-10285.0</v>
      </c>
      <c r="N461" s="172" t="s">
        <v>209</v>
      </c>
      <c r="O461" s="188">
        <v>-746.87</v>
      </c>
      <c r="P461" s="172">
        <v>-8139.0</v>
      </c>
      <c r="Q461" s="232"/>
      <c r="R461" s="233" t="s">
        <v>228</v>
      </c>
      <c r="S461" s="172">
        <v>1955.0</v>
      </c>
      <c r="T461" s="172">
        <v>6882.0</v>
      </c>
      <c r="U461" s="172">
        <v>17706.0</v>
      </c>
      <c r="V461" s="172">
        <v>678.64</v>
      </c>
      <c r="W461" s="172">
        <v>678.64</v>
      </c>
      <c r="X461" s="172" t="s">
        <v>209</v>
      </c>
      <c r="Y461" s="172" t="s">
        <v>209</v>
      </c>
      <c r="Z461" s="172" t="s">
        <v>209</v>
      </c>
      <c r="AA461" s="172" t="s">
        <v>209</v>
      </c>
      <c r="AB461" s="172" t="s">
        <v>209</v>
      </c>
      <c r="AC461" s="172" t="s">
        <v>209</v>
      </c>
      <c r="AD461" s="172">
        <v>25014.0</v>
      </c>
      <c r="AE461" s="172">
        <v>25020.0</v>
      </c>
      <c r="AF461" s="172">
        <v>18.3</v>
      </c>
      <c r="AG461" s="232"/>
      <c r="AH461" s="237" t="s">
        <v>449</v>
      </c>
      <c r="AI461" s="188">
        <v>-699.72</v>
      </c>
      <c r="AJ461" s="188" t="s">
        <v>209</v>
      </c>
      <c r="AK461" s="188" t="s">
        <v>209</v>
      </c>
      <c r="AL461" s="188" t="s">
        <v>209</v>
      </c>
      <c r="AM461" s="188" t="s">
        <v>209</v>
      </c>
      <c r="AN461" s="188" t="s">
        <v>209</v>
      </c>
      <c r="AO461" s="188" t="s">
        <v>209</v>
      </c>
      <c r="AP461" s="188" t="s">
        <v>209</v>
      </c>
      <c r="AQ461" s="188" t="s">
        <v>209</v>
      </c>
      <c r="AR461" s="188" t="s">
        <v>209</v>
      </c>
      <c r="AS461" s="172">
        <v>27638.0</v>
      </c>
      <c r="AT461" s="172">
        <v>-27638.0</v>
      </c>
      <c r="AU461" s="188" t="s">
        <v>209</v>
      </c>
      <c r="AV461" s="188" t="s">
        <v>209</v>
      </c>
      <c r="AW461" s="241"/>
      <c r="AX461" s="174" t="s">
        <v>237</v>
      </c>
      <c r="AY461" s="188" t="s">
        <v>209</v>
      </c>
      <c r="AZ461" s="188" t="s">
        <v>209</v>
      </c>
      <c r="BA461" s="188" t="s">
        <v>209</v>
      </c>
      <c r="BB461" s="188" t="s">
        <v>209</v>
      </c>
      <c r="BC461" s="188" t="s">
        <v>209</v>
      </c>
      <c r="BD461" s="188">
        <v>-2.09</v>
      </c>
      <c r="BE461" s="188" t="s">
        <v>209</v>
      </c>
      <c r="BF461" s="188" t="s">
        <v>209</v>
      </c>
      <c r="BG461" s="188">
        <v>-2.96</v>
      </c>
      <c r="BH461" s="188" t="s">
        <v>209</v>
      </c>
      <c r="BI461" s="188">
        <v>-2.11</v>
      </c>
      <c r="BJ461" s="188" t="s">
        <v>209</v>
      </c>
      <c r="BK461" s="188">
        <v>-1.86</v>
      </c>
      <c r="BL461" s="188" t="s">
        <v>209</v>
      </c>
      <c r="BM461" s="188" t="s">
        <v>209</v>
      </c>
      <c r="BN461" s="241"/>
      <c r="BO461" s="241"/>
      <c r="BP461" s="241"/>
      <c r="BQ461" s="241"/>
      <c r="BR461" s="241"/>
      <c r="BS461" s="242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</row>
    <row r="462">
      <c r="A462" s="15"/>
      <c r="B462" s="237" t="s">
        <v>241</v>
      </c>
      <c r="C462" s="172">
        <v>1102.0</v>
      </c>
      <c r="D462" s="188">
        <v>6.69</v>
      </c>
      <c r="E462" s="188">
        <v>4.62</v>
      </c>
      <c r="F462" s="188">
        <v>1.79</v>
      </c>
      <c r="G462" s="188">
        <v>1.86</v>
      </c>
      <c r="H462" s="188">
        <v>2.92</v>
      </c>
      <c r="I462" s="188">
        <v>7.67</v>
      </c>
      <c r="J462" s="188">
        <v>5.26</v>
      </c>
      <c r="K462" s="188">
        <v>1.52</v>
      </c>
      <c r="L462" s="188">
        <v>3.64</v>
      </c>
      <c r="M462" s="188">
        <v>3.58</v>
      </c>
      <c r="N462" s="172">
        <v>8891.0</v>
      </c>
      <c r="O462" s="188">
        <v>82.07</v>
      </c>
      <c r="P462" s="188">
        <v>31.4</v>
      </c>
      <c r="Q462" s="241"/>
      <c r="R462" s="237" t="s">
        <v>235</v>
      </c>
      <c r="S462" s="172">
        <v>354277.0</v>
      </c>
      <c r="T462" s="172">
        <v>347595.0</v>
      </c>
      <c r="U462" s="172">
        <v>275062.0</v>
      </c>
      <c r="V462" s="172">
        <v>237786.0</v>
      </c>
      <c r="W462" s="172">
        <v>233643.0</v>
      </c>
      <c r="X462" s="172">
        <v>249540.0</v>
      </c>
      <c r="Y462" s="172">
        <v>229362.0</v>
      </c>
      <c r="Z462" s="172">
        <v>180593.0</v>
      </c>
      <c r="AA462" s="172">
        <v>189985.0</v>
      </c>
      <c r="AB462" s="172">
        <v>187386.0</v>
      </c>
      <c r="AC462" s="172">
        <v>192956.0</v>
      </c>
      <c r="AD462" s="172">
        <v>80631.0</v>
      </c>
      <c r="AE462" s="172">
        <v>97935.0</v>
      </c>
      <c r="AF462" s="172">
        <v>200818.0</v>
      </c>
      <c r="AG462" s="232"/>
      <c r="AH462" s="233" t="s">
        <v>236</v>
      </c>
      <c r="AI462" s="172">
        <v>-699.72</v>
      </c>
      <c r="AJ462" s="172">
        <v>-238.18</v>
      </c>
      <c r="AK462" s="172">
        <v>-49.43</v>
      </c>
      <c r="AL462" s="172">
        <v>-10150.0</v>
      </c>
      <c r="AM462" s="188">
        <v>-255.3</v>
      </c>
      <c r="AN462" s="188" t="s">
        <v>209</v>
      </c>
      <c r="AO462" s="188">
        <v>0.0</v>
      </c>
      <c r="AP462" s="172">
        <v>-13240.0</v>
      </c>
      <c r="AQ462" s="188" t="s">
        <v>209</v>
      </c>
      <c r="AR462" s="188">
        <v>-3.98</v>
      </c>
      <c r="AS462" s="172">
        <v>-11263.0</v>
      </c>
      <c r="AT462" s="172">
        <v>-67829.0</v>
      </c>
      <c r="AU462" s="172">
        <v>-65276.0</v>
      </c>
      <c r="AV462" s="172">
        <v>236471.0</v>
      </c>
      <c r="AW462" s="232"/>
      <c r="AX462" s="174" t="s">
        <v>244</v>
      </c>
      <c r="AY462" s="188" t="s">
        <v>209</v>
      </c>
      <c r="AZ462" s="172" t="s">
        <v>209</v>
      </c>
      <c r="BA462" s="172" t="s">
        <v>209</v>
      </c>
      <c r="BB462" s="172" t="s">
        <v>209</v>
      </c>
      <c r="BC462" s="188" t="s">
        <v>209</v>
      </c>
      <c r="BD462" s="188">
        <v>-3.03</v>
      </c>
      <c r="BE462" s="188" t="s">
        <v>209</v>
      </c>
      <c r="BF462" s="188" t="s">
        <v>209</v>
      </c>
      <c r="BG462" s="188">
        <v>-7.27</v>
      </c>
      <c r="BH462" s="188" t="s">
        <v>209</v>
      </c>
      <c r="BI462" s="188">
        <v>-3.0</v>
      </c>
      <c r="BJ462" s="188" t="s">
        <v>209</v>
      </c>
      <c r="BK462" s="188" t="s">
        <v>209</v>
      </c>
      <c r="BL462" s="188">
        <v>-13.46</v>
      </c>
      <c r="BM462" s="188" t="s">
        <v>209</v>
      </c>
      <c r="BN462" s="241"/>
      <c r="BO462" s="241"/>
      <c r="BP462" s="241"/>
      <c r="BQ462" s="241"/>
      <c r="BR462" s="241"/>
      <c r="BS462" s="242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</row>
    <row r="463">
      <c r="A463" s="15"/>
      <c r="B463" s="237" t="s">
        <v>247</v>
      </c>
      <c r="C463" s="188" t="s">
        <v>209</v>
      </c>
      <c r="D463" s="188" t="s">
        <v>209</v>
      </c>
      <c r="E463" s="172">
        <v>0.89</v>
      </c>
      <c r="F463" s="188" t="s">
        <v>209</v>
      </c>
      <c r="G463" s="188" t="s">
        <v>209</v>
      </c>
      <c r="H463" s="188" t="s">
        <v>209</v>
      </c>
      <c r="I463" s="188">
        <v>13.35</v>
      </c>
      <c r="J463" s="188" t="s">
        <v>209</v>
      </c>
      <c r="K463" s="188" t="s">
        <v>209</v>
      </c>
      <c r="L463" s="172" t="s">
        <v>209</v>
      </c>
      <c r="M463" s="172" t="s">
        <v>209</v>
      </c>
      <c r="N463" s="172" t="s">
        <v>209</v>
      </c>
      <c r="O463" s="188" t="s">
        <v>209</v>
      </c>
      <c r="P463" s="188" t="s">
        <v>209</v>
      </c>
      <c r="Q463" s="241"/>
      <c r="R463" s="233" t="s">
        <v>242</v>
      </c>
      <c r="S463" s="172">
        <v>85782.0</v>
      </c>
      <c r="T463" s="172">
        <v>87125.0</v>
      </c>
      <c r="U463" s="172">
        <v>88256.0</v>
      </c>
      <c r="V463" s="172">
        <v>88825.0</v>
      </c>
      <c r="W463" s="172">
        <v>79883.0</v>
      </c>
      <c r="X463" s="172">
        <v>80784.0</v>
      </c>
      <c r="Y463" s="172">
        <v>81940.0</v>
      </c>
      <c r="Z463" s="172">
        <v>83091.0</v>
      </c>
      <c r="AA463" s="172">
        <v>71156.0</v>
      </c>
      <c r="AB463" s="172">
        <v>72322.0</v>
      </c>
      <c r="AC463" s="172">
        <v>73498.0</v>
      </c>
      <c r="AD463" s="172">
        <v>117813.0</v>
      </c>
      <c r="AE463" s="172">
        <v>91030.0</v>
      </c>
      <c r="AF463" s="172">
        <v>58885.0</v>
      </c>
      <c r="AG463" s="232"/>
      <c r="AH463" s="238" t="s">
        <v>243</v>
      </c>
      <c r="AI463" s="243" t="s">
        <v>209</v>
      </c>
      <c r="AJ463" s="243">
        <v>57098.0</v>
      </c>
      <c r="AK463" s="243" t="s">
        <v>209</v>
      </c>
      <c r="AL463" s="243" t="s">
        <v>209</v>
      </c>
      <c r="AM463" s="186" t="s">
        <v>209</v>
      </c>
      <c r="AN463" s="243">
        <v>17754.0</v>
      </c>
      <c r="AO463" s="186" t="s">
        <v>209</v>
      </c>
      <c r="AP463" s="243" t="s">
        <v>209</v>
      </c>
      <c r="AQ463" s="186" t="s">
        <v>209</v>
      </c>
      <c r="AR463" s="186" t="s">
        <v>209</v>
      </c>
      <c r="AS463" s="243" t="s">
        <v>209</v>
      </c>
      <c r="AT463" s="243" t="s">
        <v>209</v>
      </c>
      <c r="AU463" s="243" t="s">
        <v>209</v>
      </c>
      <c r="AV463" s="243" t="s">
        <v>209</v>
      </c>
      <c r="AW463" s="241"/>
      <c r="AX463" s="174" t="s">
        <v>250</v>
      </c>
      <c r="AY463" s="188">
        <v>1.04</v>
      </c>
      <c r="AZ463" s="188">
        <v>1.11</v>
      </c>
      <c r="BA463" s="188">
        <v>1.07</v>
      </c>
      <c r="BB463" s="188">
        <v>1.21</v>
      </c>
      <c r="BC463" s="188">
        <v>1.29</v>
      </c>
      <c r="BD463" s="188">
        <v>0.96</v>
      </c>
      <c r="BE463" s="188">
        <v>0.68</v>
      </c>
      <c r="BF463" s="188">
        <v>0.77</v>
      </c>
      <c r="BG463" s="188">
        <v>1.13</v>
      </c>
      <c r="BH463" s="188">
        <v>0.91</v>
      </c>
      <c r="BI463" s="188">
        <v>2.78</v>
      </c>
      <c r="BJ463" s="188">
        <v>3.59</v>
      </c>
      <c r="BK463" s="188">
        <v>6.58</v>
      </c>
      <c r="BL463" s="188">
        <v>2.51</v>
      </c>
      <c r="BM463" s="188">
        <v>2.62</v>
      </c>
      <c r="BN463" s="241"/>
      <c r="BO463" s="241"/>
      <c r="BP463" s="241"/>
      <c r="BQ463" s="241"/>
      <c r="BR463" s="241"/>
      <c r="BS463" s="242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</row>
    <row r="464">
      <c r="A464" s="15"/>
      <c r="B464" s="237" t="s">
        <v>254</v>
      </c>
      <c r="C464" s="188">
        <v>-324.5</v>
      </c>
      <c r="D464" s="172">
        <v>-551.31</v>
      </c>
      <c r="E464" s="172">
        <v>2368.0</v>
      </c>
      <c r="F464" s="172">
        <v>-164.27</v>
      </c>
      <c r="G464" s="188">
        <v>-82.99</v>
      </c>
      <c r="H464" s="172">
        <v>-227.32</v>
      </c>
      <c r="I464" s="188">
        <v>-850.89</v>
      </c>
      <c r="J464" s="172">
        <v>-46.04</v>
      </c>
      <c r="K464" s="172">
        <v>72.89</v>
      </c>
      <c r="L464" s="172">
        <v>-1642.0</v>
      </c>
      <c r="M464" s="172">
        <v>7975.0</v>
      </c>
      <c r="N464" s="172">
        <v>-9498.0</v>
      </c>
      <c r="O464" s="188">
        <v>-100.69</v>
      </c>
      <c r="P464" s="172">
        <v>-203.05</v>
      </c>
      <c r="Q464" s="232"/>
      <c r="R464" s="233" t="s">
        <v>255</v>
      </c>
      <c r="S464" s="172">
        <v>3299.0</v>
      </c>
      <c r="T464" s="172">
        <v>3281.0</v>
      </c>
      <c r="U464" s="172">
        <v>3264.0</v>
      </c>
      <c r="V464" s="172">
        <v>3531.0</v>
      </c>
      <c r="W464" s="172">
        <v>3531.0</v>
      </c>
      <c r="X464" s="172">
        <v>3530.0</v>
      </c>
      <c r="Y464" s="172">
        <v>3734.0</v>
      </c>
      <c r="Z464" s="172">
        <v>4875.0</v>
      </c>
      <c r="AA464" s="172">
        <v>5524.0</v>
      </c>
      <c r="AB464" s="172">
        <v>6374.0</v>
      </c>
      <c r="AC464" s="172">
        <v>5821.0</v>
      </c>
      <c r="AD464" s="172">
        <v>12252.0</v>
      </c>
      <c r="AE464" s="172">
        <v>12339.0</v>
      </c>
      <c r="AF464" s="172">
        <v>12331.0</v>
      </c>
      <c r="AG464" s="232"/>
      <c r="AH464" s="345" t="s">
        <v>249</v>
      </c>
      <c r="AI464" s="243" t="s">
        <v>209</v>
      </c>
      <c r="AJ464" s="243" t="s">
        <v>209</v>
      </c>
      <c r="AK464" s="243" t="s">
        <v>209</v>
      </c>
      <c r="AL464" s="243" t="s">
        <v>209</v>
      </c>
      <c r="AM464" s="186" t="s">
        <v>209</v>
      </c>
      <c r="AN464" s="186" t="s">
        <v>209</v>
      </c>
      <c r="AO464" s="186" t="s">
        <v>209</v>
      </c>
      <c r="AP464" s="186" t="s">
        <v>209</v>
      </c>
      <c r="AQ464" s="186" t="s">
        <v>209</v>
      </c>
      <c r="AR464" s="186" t="s">
        <v>209</v>
      </c>
      <c r="AS464" s="186" t="s">
        <v>209</v>
      </c>
      <c r="AT464" s="186" t="s">
        <v>209</v>
      </c>
      <c r="AU464" s="186" t="s">
        <v>209</v>
      </c>
      <c r="AV464" s="243">
        <v>31488.0</v>
      </c>
      <c r="AW464" s="232"/>
      <c r="AX464" s="244" t="s">
        <v>257</v>
      </c>
      <c r="AY464" s="188">
        <v>15.0</v>
      </c>
      <c r="AZ464" s="172">
        <v>15.92</v>
      </c>
      <c r="BA464" s="172">
        <v>14.11</v>
      </c>
      <c r="BB464" s="172">
        <v>17.78</v>
      </c>
      <c r="BC464" s="188">
        <v>14.38</v>
      </c>
      <c r="BD464" s="188">
        <v>10.35</v>
      </c>
      <c r="BE464" s="188">
        <v>6.54</v>
      </c>
      <c r="BF464" s="188">
        <v>8.14</v>
      </c>
      <c r="BG464" s="188">
        <v>100.2</v>
      </c>
      <c r="BH464" s="188">
        <v>3.5</v>
      </c>
      <c r="BI464" s="188">
        <v>9.29</v>
      </c>
      <c r="BJ464" s="188" t="s">
        <v>209</v>
      </c>
      <c r="BK464" s="188">
        <v>-4.92</v>
      </c>
      <c r="BL464" s="188">
        <v>-2.1</v>
      </c>
      <c r="BM464" s="188" t="s">
        <v>209</v>
      </c>
      <c r="BN464" s="241"/>
      <c r="BO464" s="241"/>
      <c r="BP464" s="241"/>
      <c r="BQ464" s="241"/>
      <c r="BR464" s="241"/>
      <c r="BS464" s="242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</row>
    <row r="465">
      <c r="A465" s="15"/>
      <c r="B465" s="237" t="s">
        <v>261</v>
      </c>
      <c r="C465" s="188">
        <v>341.36</v>
      </c>
      <c r="D465" s="172">
        <v>2053.0</v>
      </c>
      <c r="E465" s="188">
        <v>682.62</v>
      </c>
      <c r="F465" s="172">
        <v>3354.0</v>
      </c>
      <c r="G465" s="188">
        <v>733.68</v>
      </c>
      <c r="H465" s="172">
        <v>1088.0</v>
      </c>
      <c r="I465" s="188">
        <v>704.1</v>
      </c>
      <c r="J465" s="172">
        <v>2957.0</v>
      </c>
      <c r="K465" s="172">
        <v>3867.0</v>
      </c>
      <c r="L465" s="172">
        <v>-2506.0</v>
      </c>
      <c r="M465" s="172">
        <v>-14181.0</v>
      </c>
      <c r="N465" s="172">
        <v>27335.0</v>
      </c>
      <c r="O465" s="188">
        <v>68.56</v>
      </c>
      <c r="P465" s="172">
        <v>-55548.0</v>
      </c>
      <c r="Q465" s="232"/>
      <c r="R465" s="233" t="s">
        <v>454</v>
      </c>
      <c r="S465" s="172" t="s">
        <v>209</v>
      </c>
      <c r="T465" s="172" t="s">
        <v>209</v>
      </c>
      <c r="U465" s="172" t="s">
        <v>209</v>
      </c>
      <c r="V465" s="172" t="s">
        <v>209</v>
      </c>
      <c r="W465" s="172" t="s">
        <v>209</v>
      </c>
      <c r="X465" s="172" t="s">
        <v>209</v>
      </c>
      <c r="Y465" s="172" t="s">
        <v>209</v>
      </c>
      <c r="Z465" s="172" t="s">
        <v>209</v>
      </c>
      <c r="AA465" s="172" t="s">
        <v>209</v>
      </c>
      <c r="AB465" s="172" t="s">
        <v>209</v>
      </c>
      <c r="AC465" s="172" t="s">
        <v>209</v>
      </c>
      <c r="AD465" s="172">
        <v>27638.0</v>
      </c>
      <c r="AE465" s="172">
        <v>25435.0</v>
      </c>
      <c r="AF465" s="172" t="s">
        <v>209</v>
      </c>
      <c r="AG465" s="232"/>
      <c r="AH465" s="345" t="s">
        <v>256</v>
      </c>
      <c r="AI465" s="243">
        <v>7572.0</v>
      </c>
      <c r="AJ465" s="243">
        <v>57098.0</v>
      </c>
      <c r="AK465" s="243">
        <v>-14981.0</v>
      </c>
      <c r="AL465" s="243">
        <v>10791.0</v>
      </c>
      <c r="AM465" s="243">
        <v>32181.0</v>
      </c>
      <c r="AN465" s="243">
        <v>17754.0</v>
      </c>
      <c r="AO465" s="243">
        <v>46174.0</v>
      </c>
      <c r="AP465" s="186" t="s">
        <v>209</v>
      </c>
      <c r="AQ465" s="186" t="s">
        <v>209</v>
      </c>
      <c r="AR465" s="186" t="s">
        <v>209</v>
      </c>
      <c r="AS465" s="243">
        <v>-27456.0</v>
      </c>
      <c r="AT465" s="243">
        <v>31476.0</v>
      </c>
      <c r="AU465" s="243">
        <v>-31488.0</v>
      </c>
      <c r="AV465" s="243">
        <v>31488.0</v>
      </c>
      <c r="AW465" s="232"/>
      <c r="AX465" s="244" t="s">
        <v>264</v>
      </c>
      <c r="AY465" s="188">
        <v>19.64</v>
      </c>
      <c r="AZ465" s="172">
        <v>20.88</v>
      </c>
      <c r="BA465" s="188">
        <v>18.7</v>
      </c>
      <c r="BB465" s="188">
        <v>25.7</v>
      </c>
      <c r="BC465" s="188">
        <v>19.47</v>
      </c>
      <c r="BD465" s="188">
        <v>14.28</v>
      </c>
      <c r="BE465" s="188">
        <v>8.7</v>
      </c>
      <c r="BF465" s="188">
        <v>11.67</v>
      </c>
      <c r="BG465" s="188">
        <v>-42.81</v>
      </c>
      <c r="BH465" s="188">
        <v>4.22</v>
      </c>
      <c r="BI465" s="188" t="s">
        <v>209</v>
      </c>
      <c r="BJ465" s="188" t="s">
        <v>209</v>
      </c>
      <c r="BK465" s="188">
        <v>-4.33</v>
      </c>
      <c r="BL465" s="188">
        <v>-1.95</v>
      </c>
      <c r="BM465" s="188" t="s">
        <v>209</v>
      </c>
      <c r="BN465" s="241"/>
      <c r="BO465" s="241"/>
      <c r="BP465" s="241"/>
      <c r="BQ465" s="241"/>
      <c r="BR465" s="241"/>
      <c r="BS465" s="242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</row>
    <row r="466">
      <c r="A466" s="15"/>
      <c r="B466" s="237" t="s">
        <v>268</v>
      </c>
      <c r="C466" s="188" t="s">
        <v>209</v>
      </c>
      <c r="D466" s="172" t="s">
        <v>209</v>
      </c>
      <c r="E466" s="188" t="s">
        <v>209</v>
      </c>
      <c r="F466" s="172" t="s">
        <v>209</v>
      </c>
      <c r="G466" s="188" t="s">
        <v>209</v>
      </c>
      <c r="H466" s="172" t="s">
        <v>209</v>
      </c>
      <c r="I466" s="188" t="s">
        <v>209</v>
      </c>
      <c r="J466" s="172" t="s">
        <v>209</v>
      </c>
      <c r="K466" s="172" t="s">
        <v>209</v>
      </c>
      <c r="L466" s="172" t="s">
        <v>209</v>
      </c>
      <c r="M466" s="172">
        <v>53519.0</v>
      </c>
      <c r="N466" s="172">
        <v>-22916.0</v>
      </c>
      <c r="O466" s="188">
        <v>59.08</v>
      </c>
      <c r="P466" s="172">
        <v>78208.0</v>
      </c>
      <c r="Q466" s="232"/>
      <c r="R466" s="247" t="s">
        <v>262</v>
      </c>
      <c r="S466" s="204">
        <v>443357.0</v>
      </c>
      <c r="T466" s="204">
        <v>438001.0</v>
      </c>
      <c r="U466" s="204">
        <v>366582.0</v>
      </c>
      <c r="V466" s="204">
        <v>330142.0</v>
      </c>
      <c r="W466" s="204">
        <v>317056.0</v>
      </c>
      <c r="X466" s="204">
        <v>333854.0</v>
      </c>
      <c r="Y466" s="204">
        <v>315037.0</v>
      </c>
      <c r="Z466" s="204">
        <v>268560.0</v>
      </c>
      <c r="AA466" s="204">
        <v>266666.0</v>
      </c>
      <c r="AB466" s="204">
        <v>266082.0</v>
      </c>
      <c r="AC466" s="204">
        <v>272275.0</v>
      </c>
      <c r="AD466" s="204">
        <v>238334.0</v>
      </c>
      <c r="AE466" s="204">
        <v>226739.0</v>
      </c>
      <c r="AF466" s="204">
        <v>272035.0</v>
      </c>
      <c r="AG466" s="232"/>
      <c r="AH466" s="345" t="s">
        <v>263</v>
      </c>
      <c r="AI466" s="243" t="s">
        <v>209</v>
      </c>
      <c r="AJ466" s="243" t="s">
        <v>209</v>
      </c>
      <c r="AK466" s="243" t="s">
        <v>209</v>
      </c>
      <c r="AL466" s="243" t="s">
        <v>209</v>
      </c>
      <c r="AM466" s="186" t="s">
        <v>209</v>
      </c>
      <c r="AN466" s="243" t="s">
        <v>209</v>
      </c>
      <c r="AO466" s="186" t="s">
        <v>209</v>
      </c>
      <c r="AP466" s="186" t="s">
        <v>209</v>
      </c>
      <c r="AQ466" s="186" t="s">
        <v>209</v>
      </c>
      <c r="AR466" s="186">
        <v>-128.72</v>
      </c>
      <c r="AS466" s="186" t="s">
        <v>209</v>
      </c>
      <c r="AT466" s="186" t="s">
        <v>209</v>
      </c>
      <c r="AU466" s="186" t="s">
        <v>209</v>
      </c>
      <c r="AV466" s="243">
        <v>-74626.0</v>
      </c>
      <c r="AW466" s="241"/>
      <c r="AX466" s="174" t="s">
        <v>271</v>
      </c>
      <c r="AY466" s="188" t="s">
        <v>209</v>
      </c>
      <c r="AZ466" s="172" t="s">
        <v>209</v>
      </c>
      <c r="BA466" s="172" t="s">
        <v>209</v>
      </c>
      <c r="BB466" s="172" t="s">
        <v>209</v>
      </c>
      <c r="BC466" s="172" t="s">
        <v>209</v>
      </c>
      <c r="BD466" s="172">
        <v>-4.13</v>
      </c>
      <c r="BE466" s="172" t="s">
        <v>209</v>
      </c>
      <c r="BF466" s="172" t="s">
        <v>209</v>
      </c>
      <c r="BG466" s="172">
        <v>-3.62</v>
      </c>
      <c r="BH466" s="172" t="s">
        <v>209</v>
      </c>
      <c r="BI466" s="172">
        <v>-2.45</v>
      </c>
      <c r="BJ466" s="172" t="s">
        <v>209</v>
      </c>
      <c r="BK466" s="172">
        <v>-2.07</v>
      </c>
      <c r="BL466" s="172" t="s">
        <v>209</v>
      </c>
      <c r="BM466" s="172" t="s">
        <v>209</v>
      </c>
      <c r="BN466" s="232"/>
      <c r="BO466" s="232"/>
      <c r="BP466" s="232"/>
      <c r="BQ466" s="232"/>
      <c r="BR466" s="232"/>
      <c r="BS466" s="23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</row>
    <row r="467">
      <c r="A467" s="15"/>
      <c r="B467" s="237" t="s">
        <v>281</v>
      </c>
      <c r="C467" s="188">
        <v>341.36</v>
      </c>
      <c r="D467" s="172">
        <v>2053.0</v>
      </c>
      <c r="E467" s="188">
        <v>682.62</v>
      </c>
      <c r="F467" s="172">
        <v>3354.0</v>
      </c>
      <c r="G467" s="188">
        <v>733.68</v>
      </c>
      <c r="H467" s="172">
        <v>1088.0</v>
      </c>
      <c r="I467" s="172">
        <v>704.1</v>
      </c>
      <c r="J467" s="172">
        <v>2957.0</v>
      </c>
      <c r="K467" s="172">
        <v>3867.0</v>
      </c>
      <c r="L467" s="172">
        <v>-2506.0</v>
      </c>
      <c r="M467" s="172">
        <v>39337.0</v>
      </c>
      <c r="N467" s="172">
        <v>4419.0</v>
      </c>
      <c r="O467" s="188">
        <v>127.64</v>
      </c>
      <c r="P467" s="172">
        <v>22660.0</v>
      </c>
      <c r="Q467" s="232"/>
      <c r="R467" s="244" t="s">
        <v>269</v>
      </c>
      <c r="S467" s="172">
        <v>12273.0</v>
      </c>
      <c r="T467" s="172">
        <v>14836.0</v>
      </c>
      <c r="U467" s="172">
        <v>2644.0</v>
      </c>
      <c r="V467" s="172">
        <v>2539.0</v>
      </c>
      <c r="W467" s="172">
        <v>3438.0</v>
      </c>
      <c r="X467" s="172">
        <v>4562.0</v>
      </c>
      <c r="Y467" s="172">
        <v>4068.0</v>
      </c>
      <c r="Z467" s="172">
        <v>2939.0</v>
      </c>
      <c r="AA467" s="172">
        <v>2795.0</v>
      </c>
      <c r="AB467" s="172">
        <v>4809.0</v>
      </c>
      <c r="AC467" s="172">
        <v>8758.0</v>
      </c>
      <c r="AD467" s="172">
        <v>9603.0</v>
      </c>
      <c r="AE467" s="172">
        <v>7663.0</v>
      </c>
      <c r="AF467" s="172">
        <v>310.33</v>
      </c>
      <c r="AG467" s="232"/>
      <c r="AH467" s="345" t="s">
        <v>270</v>
      </c>
      <c r="AI467" s="243" t="s">
        <v>209</v>
      </c>
      <c r="AJ467" s="243">
        <v>-78.06</v>
      </c>
      <c r="AK467" s="243" t="s">
        <v>209</v>
      </c>
      <c r="AL467" s="243" t="s">
        <v>209</v>
      </c>
      <c r="AM467" s="186" t="s">
        <v>209</v>
      </c>
      <c r="AN467" s="186">
        <v>-420.0</v>
      </c>
      <c r="AO467" s="186" t="s">
        <v>209</v>
      </c>
      <c r="AP467" s="186" t="s">
        <v>209</v>
      </c>
      <c r="AQ467" s="186" t="s">
        <v>209</v>
      </c>
      <c r="AR467" s="186">
        <v>-420.0</v>
      </c>
      <c r="AS467" s="186" t="s">
        <v>209</v>
      </c>
      <c r="AT467" s="186" t="s">
        <v>209</v>
      </c>
      <c r="AU467" s="186" t="s">
        <v>209</v>
      </c>
      <c r="AV467" s="243">
        <v>-52148.0</v>
      </c>
      <c r="AW467" s="241"/>
      <c r="AX467" s="244" t="s">
        <v>277</v>
      </c>
      <c r="AY467" s="172">
        <v>0.76</v>
      </c>
      <c r="AZ467" s="346">
        <v>0.76</v>
      </c>
      <c r="BA467" s="188">
        <v>0.73</v>
      </c>
      <c r="BB467" s="188">
        <v>0.5</v>
      </c>
      <c r="BC467" s="188">
        <v>0.36</v>
      </c>
      <c r="BD467" s="188">
        <v>0.31</v>
      </c>
      <c r="BE467" s="188">
        <v>0.38</v>
      </c>
      <c r="BF467" s="188">
        <v>0.31</v>
      </c>
      <c r="BG467" s="188">
        <v>0.12</v>
      </c>
      <c r="BH467" s="188">
        <v>0.12</v>
      </c>
      <c r="BI467" s="188">
        <v>0.12</v>
      </c>
      <c r="BJ467" s="188">
        <v>0.12</v>
      </c>
      <c r="BK467" s="188">
        <v>0.16</v>
      </c>
      <c r="BL467" s="188">
        <v>0.11</v>
      </c>
      <c r="BM467" s="188">
        <v>0.33</v>
      </c>
      <c r="BN467" s="241"/>
      <c r="BO467" s="241"/>
      <c r="BP467" s="241"/>
      <c r="BQ467" s="241"/>
      <c r="BR467" s="241"/>
      <c r="BS467" s="242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</row>
    <row r="468">
      <c r="A468" s="15"/>
      <c r="B468" s="237" t="s">
        <v>286</v>
      </c>
      <c r="C468" s="188">
        <v>-167.42</v>
      </c>
      <c r="D468" s="172">
        <v>450.21</v>
      </c>
      <c r="E468" s="188">
        <v>382.22</v>
      </c>
      <c r="F468" s="172">
        <v>737.57</v>
      </c>
      <c r="G468" s="188">
        <v>207.97</v>
      </c>
      <c r="H468" s="188">
        <v>191.84</v>
      </c>
      <c r="I468" s="172">
        <v>1089.0</v>
      </c>
      <c r="J468" s="172">
        <v>649.38</v>
      </c>
      <c r="K468" s="172">
        <v>850.36</v>
      </c>
      <c r="L468" s="172">
        <v>-552.05</v>
      </c>
      <c r="M468" s="172">
        <v>6433.0</v>
      </c>
      <c r="N468" s="172">
        <v>-23.19</v>
      </c>
      <c r="O468" s="188" t="s">
        <v>209</v>
      </c>
      <c r="P468" s="172" t="s">
        <v>209</v>
      </c>
      <c r="Q468" s="232"/>
      <c r="R468" s="233" t="s">
        <v>275</v>
      </c>
      <c r="S468" s="172">
        <v>2064.0</v>
      </c>
      <c r="T468" s="172">
        <v>2064.0</v>
      </c>
      <c r="U468" s="188" t="s">
        <v>209</v>
      </c>
      <c r="V468" s="172" t="s">
        <v>209</v>
      </c>
      <c r="W468" s="172" t="s">
        <v>209</v>
      </c>
      <c r="X468" s="172" t="s">
        <v>209</v>
      </c>
      <c r="Y468" s="188" t="s">
        <v>209</v>
      </c>
      <c r="Z468" s="172" t="s">
        <v>209</v>
      </c>
      <c r="AA468" s="172">
        <v>301.59</v>
      </c>
      <c r="AB468" s="172">
        <v>509.11</v>
      </c>
      <c r="AC468" s="172" t="s">
        <v>209</v>
      </c>
      <c r="AD468" s="172">
        <v>299.4</v>
      </c>
      <c r="AE468" s="172">
        <v>527.85</v>
      </c>
      <c r="AF468" s="172">
        <v>9783.0</v>
      </c>
      <c r="AG468" s="232"/>
      <c r="AH468" s="345" t="s">
        <v>276</v>
      </c>
      <c r="AI468" s="243">
        <v>-105.03</v>
      </c>
      <c r="AJ468" s="243">
        <v>-78.06</v>
      </c>
      <c r="AK468" s="243">
        <v>48877.0</v>
      </c>
      <c r="AL468" s="243">
        <v>-14.37</v>
      </c>
      <c r="AM468" s="243">
        <v>-48582.0</v>
      </c>
      <c r="AN468" s="243">
        <v>-420.0</v>
      </c>
      <c r="AO468" s="243">
        <v>1260.0</v>
      </c>
      <c r="AP468" s="186">
        <v>-420.0</v>
      </c>
      <c r="AQ468" s="186">
        <v>-291.28</v>
      </c>
      <c r="AR468" s="186">
        <v>-548.72</v>
      </c>
      <c r="AS468" s="243">
        <v>50977.0</v>
      </c>
      <c r="AT468" s="243">
        <v>61646.0</v>
      </c>
      <c r="AU468" s="243">
        <v>-10238.0</v>
      </c>
      <c r="AV468" s="243">
        <v>-126774.0</v>
      </c>
      <c r="AW468" s="232"/>
      <c r="AX468" s="244" t="s">
        <v>284</v>
      </c>
      <c r="AY468" s="172">
        <v>8.54</v>
      </c>
      <c r="AZ468" s="172">
        <v>9.27</v>
      </c>
      <c r="BA468" s="172">
        <v>4.57</v>
      </c>
      <c r="BB468" s="172">
        <v>22.72</v>
      </c>
      <c r="BC468" s="172">
        <v>3.8</v>
      </c>
      <c r="BD468" s="172">
        <v>4.79</v>
      </c>
      <c r="BE468" s="172">
        <v>5.01</v>
      </c>
      <c r="BF468" s="172">
        <v>4.75</v>
      </c>
      <c r="BG468" s="172">
        <v>1.35</v>
      </c>
      <c r="BH468" s="172">
        <v>1.21</v>
      </c>
      <c r="BI468" s="172">
        <v>6.21</v>
      </c>
      <c r="BJ468" s="172" t="s">
        <v>209</v>
      </c>
      <c r="BK468" s="172">
        <v>0.27</v>
      </c>
      <c r="BL468" s="172">
        <v>5.07</v>
      </c>
      <c r="BM468" s="172" t="s">
        <v>209</v>
      </c>
      <c r="BN468" s="232"/>
      <c r="BO468" s="232"/>
      <c r="BP468" s="232"/>
      <c r="BQ468" s="232"/>
      <c r="BR468" s="232"/>
      <c r="BS468" s="23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</row>
    <row r="469">
      <c r="A469" s="15"/>
      <c r="B469" s="237" t="s">
        <v>185</v>
      </c>
      <c r="C469" s="188">
        <v>508.78</v>
      </c>
      <c r="D469" s="172">
        <v>1603.0</v>
      </c>
      <c r="E469" s="188">
        <v>300.4</v>
      </c>
      <c r="F469" s="172">
        <v>2617.0</v>
      </c>
      <c r="G469" s="188">
        <v>525.71</v>
      </c>
      <c r="H469" s="188">
        <v>896.56</v>
      </c>
      <c r="I469" s="188">
        <v>-385.16</v>
      </c>
      <c r="J469" s="172">
        <v>2308.0</v>
      </c>
      <c r="K469" s="172">
        <v>3016.0</v>
      </c>
      <c r="L469" s="172">
        <v>-1954.0</v>
      </c>
      <c r="M469" s="172">
        <v>32905.0</v>
      </c>
      <c r="N469" s="172">
        <v>4442.0</v>
      </c>
      <c r="O469" s="188">
        <v>127.64</v>
      </c>
      <c r="P469" s="172">
        <v>22660.0</v>
      </c>
      <c r="Q469" s="232"/>
      <c r="R469" s="233" t="s">
        <v>282</v>
      </c>
      <c r="S469" s="172">
        <v>183650.0</v>
      </c>
      <c r="T469" s="172">
        <v>176078.0</v>
      </c>
      <c r="U469" s="172" t="s">
        <v>209</v>
      </c>
      <c r="V469" s="172">
        <v>85464.0</v>
      </c>
      <c r="W469" s="172">
        <v>73979.0</v>
      </c>
      <c r="X469" s="172">
        <v>90328.0</v>
      </c>
      <c r="Y469" s="172" t="s">
        <v>209</v>
      </c>
      <c r="Z469" s="172">
        <v>26400.0</v>
      </c>
      <c r="AA469" s="172">
        <v>26400.0</v>
      </c>
      <c r="AB469" s="172">
        <v>26271.0</v>
      </c>
      <c r="AC469" s="172">
        <v>26400.0</v>
      </c>
      <c r="AD469" s="172">
        <v>30855.0</v>
      </c>
      <c r="AE469" s="172">
        <v>22118.0</v>
      </c>
      <c r="AF469" s="172">
        <v>48436.0</v>
      </c>
      <c r="AG469" s="232"/>
      <c r="AH469" s="345" t="s">
        <v>283</v>
      </c>
      <c r="AI469" s="243">
        <v>7467.0</v>
      </c>
      <c r="AJ469" s="243">
        <v>57020.0</v>
      </c>
      <c r="AK469" s="243">
        <v>33896.0</v>
      </c>
      <c r="AL469" s="243">
        <v>10777.0</v>
      </c>
      <c r="AM469" s="243">
        <v>-16401.0</v>
      </c>
      <c r="AN469" s="243">
        <v>17334.0</v>
      </c>
      <c r="AO469" s="243">
        <v>47434.0</v>
      </c>
      <c r="AP469" s="186">
        <v>-420.0</v>
      </c>
      <c r="AQ469" s="186">
        <v>-291.28</v>
      </c>
      <c r="AR469" s="186">
        <v>-548.72</v>
      </c>
      <c r="AS469" s="243">
        <v>23520.0</v>
      </c>
      <c r="AT469" s="243">
        <v>93123.0</v>
      </c>
      <c r="AU469" s="243">
        <v>-41726.0</v>
      </c>
      <c r="AV469" s="243">
        <v>-95286.0</v>
      </c>
      <c r="AW469" s="232"/>
      <c r="AX469" s="244" t="s">
        <v>289</v>
      </c>
      <c r="AY469" s="172" t="s">
        <v>209</v>
      </c>
      <c r="AZ469" s="172" t="s">
        <v>209</v>
      </c>
      <c r="BA469" s="172" t="s">
        <v>209</v>
      </c>
      <c r="BB469" s="172" t="s">
        <v>209</v>
      </c>
      <c r="BC469" s="188" t="s">
        <v>209</v>
      </c>
      <c r="BD469" s="188">
        <v>-1.71</v>
      </c>
      <c r="BE469" s="188" t="s">
        <v>209</v>
      </c>
      <c r="BF469" s="188" t="s">
        <v>209</v>
      </c>
      <c r="BG469" s="188">
        <v>-0.66</v>
      </c>
      <c r="BH469" s="188" t="s">
        <v>209</v>
      </c>
      <c r="BI469" s="188">
        <v>-0.37</v>
      </c>
      <c r="BJ469" s="188" t="s">
        <v>209</v>
      </c>
      <c r="BK469" s="188">
        <v>-0.31</v>
      </c>
      <c r="BL469" s="188" t="s">
        <v>209</v>
      </c>
      <c r="BM469" s="188" t="s">
        <v>209</v>
      </c>
      <c r="BN469" s="241"/>
      <c r="BO469" s="241"/>
      <c r="BP469" s="241"/>
      <c r="BQ469" s="241"/>
      <c r="BR469" s="241"/>
      <c r="BS469" s="242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</row>
    <row r="470">
      <c r="A470" s="15"/>
      <c r="B470" s="237" t="s">
        <v>306</v>
      </c>
      <c r="C470" s="188">
        <v>508.78</v>
      </c>
      <c r="D470" s="172">
        <v>1603.0</v>
      </c>
      <c r="E470" s="188">
        <v>300.4</v>
      </c>
      <c r="F470" s="172">
        <v>2617.0</v>
      </c>
      <c r="G470" s="188">
        <v>525.71</v>
      </c>
      <c r="H470" s="188">
        <v>896.56</v>
      </c>
      <c r="I470" s="188">
        <v>-385.16</v>
      </c>
      <c r="J470" s="172">
        <v>2308.0</v>
      </c>
      <c r="K470" s="172">
        <v>3016.0</v>
      </c>
      <c r="L470" s="172">
        <v>-1954.0</v>
      </c>
      <c r="M470" s="172">
        <v>32905.0</v>
      </c>
      <c r="N470" s="172">
        <v>4442.0</v>
      </c>
      <c r="O470" s="188">
        <v>127.64</v>
      </c>
      <c r="P470" s="172">
        <v>22660.0</v>
      </c>
      <c r="Q470" s="232"/>
      <c r="R470" s="233" t="s">
        <v>287</v>
      </c>
      <c r="S470" s="172">
        <v>153.56</v>
      </c>
      <c r="T470" s="188">
        <v>268.97</v>
      </c>
      <c r="U470" s="172">
        <v>118980.0</v>
      </c>
      <c r="V470" s="188">
        <v>14.87</v>
      </c>
      <c r="W470" s="188">
        <v>29.24</v>
      </c>
      <c r="X470" s="188">
        <v>240.0</v>
      </c>
      <c r="Y470" s="172">
        <v>72574.0</v>
      </c>
      <c r="Z470" s="172">
        <v>1080.0</v>
      </c>
      <c r="AA470" s="172">
        <v>1500.0</v>
      </c>
      <c r="AB470" s="172">
        <v>1680.0</v>
      </c>
      <c r="AC470" s="172">
        <v>1680.0</v>
      </c>
      <c r="AD470" s="188" t="s">
        <v>209</v>
      </c>
      <c r="AE470" s="188" t="s">
        <v>209</v>
      </c>
      <c r="AF470" s="188" t="s">
        <v>209</v>
      </c>
      <c r="AG470" s="232"/>
      <c r="AH470" s="345" t="s">
        <v>288</v>
      </c>
      <c r="AI470" s="243" t="s">
        <v>209</v>
      </c>
      <c r="AJ470" s="243" t="s">
        <v>209</v>
      </c>
      <c r="AK470" s="243">
        <v>-895.59</v>
      </c>
      <c r="AL470" s="243" t="s">
        <v>209</v>
      </c>
      <c r="AM470" s="186" t="s">
        <v>209</v>
      </c>
      <c r="AN470" s="186" t="s">
        <v>209</v>
      </c>
      <c r="AO470" s="186" t="s">
        <v>209</v>
      </c>
      <c r="AP470" s="186" t="s">
        <v>209</v>
      </c>
      <c r="AQ470" s="186" t="s">
        <v>209</v>
      </c>
      <c r="AR470" s="186" t="s">
        <v>209</v>
      </c>
      <c r="AS470" s="186" t="s">
        <v>209</v>
      </c>
      <c r="AT470" s="186" t="s">
        <v>209</v>
      </c>
      <c r="AU470" s="186" t="s">
        <v>209</v>
      </c>
      <c r="AV470" s="243" t="s">
        <v>209</v>
      </c>
      <c r="AW470" s="241"/>
      <c r="AX470" s="174" t="s">
        <v>294</v>
      </c>
      <c r="AY470" s="172">
        <v>0.74</v>
      </c>
      <c r="AZ470" s="188">
        <v>0.74</v>
      </c>
      <c r="BA470" s="188">
        <v>0.69</v>
      </c>
      <c r="BB470" s="188">
        <v>0.44</v>
      </c>
      <c r="BC470" s="188">
        <v>0.34</v>
      </c>
      <c r="BD470" s="188">
        <v>0.29</v>
      </c>
      <c r="BE470" s="188">
        <v>0.38</v>
      </c>
      <c r="BF470" s="188">
        <v>0.28</v>
      </c>
      <c r="BG470" s="188">
        <v>0.11</v>
      </c>
      <c r="BH470" s="188">
        <v>0.12</v>
      </c>
      <c r="BI470" s="188">
        <v>0.11</v>
      </c>
      <c r="BJ470" s="188">
        <v>0.12</v>
      </c>
      <c r="BK470" s="188">
        <v>0.13</v>
      </c>
      <c r="BL470" s="188">
        <v>0.11</v>
      </c>
      <c r="BM470" s="188">
        <v>-0.21</v>
      </c>
      <c r="BN470" s="241"/>
      <c r="BO470" s="241"/>
      <c r="BP470" s="241"/>
      <c r="BQ470" s="241"/>
      <c r="BR470" s="241"/>
      <c r="BS470" s="242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</row>
    <row r="471">
      <c r="A471" s="15"/>
      <c r="B471" s="157" t="s">
        <v>419</v>
      </c>
      <c r="C471" s="184">
        <v>-0.0322</v>
      </c>
      <c r="D471" s="185">
        <v>0.7878</v>
      </c>
      <c r="E471" s="243" t="s">
        <v>209</v>
      </c>
      <c r="F471" s="185">
        <v>0.134</v>
      </c>
      <c r="G471" s="184">
        <v>-0.8257</v>
      </c>
      <c r="H471" s="243" t="s">
        <v>209</v>
      </c>
      <c r="I471" s="243" t="s">
        <v>209</v>
      </c>
      <c r="J471" s="184">
        <v>-0.4805</v>
      </c>
      <c r="K471" s="185">
        <v>22.6319</v>
      </c>
      <c r="L471" s="243" t="s">
        <v>209</v>
      </c>
      <c r="M471" s="243" t="s">
        <v>209</v>
      </c>
      <c r="N471" s="243" t="s">
        <v>209</v>
      </c>
      <c r="O471" s="243" t="s">
        <v>209</v>
      </c>
      <c r="P471" s="185">
        <v>139.0966</v>
      </c>
      <c r="Q471" s="232"/>
      <c r="R471" s="237" t="s">
        <v>292</v>
      </c>
      <c r="S471" s="172" t="s">
        <v>209</v>
      </c>
      <c r="T471" s="188" t="s">
        <v>209</v>
      </c>
      <c r="U471" s="172">
        <v>296.13</v>
      </c>
      <c r="V471" s="188" t="s">
        <v>209</v>
      </c>
      <c r="W471" s="188" t="s">
        <v>209</v>
      </c>
      <c r="X471" s="188" t="s">
        <v>209</v>
      </c>
      <c r="Y471" s="188" t="s">
        <v>209</v>
      </c>
      <c r="Z471" s="188" t="s">
        <v>209</v>
      </c>
      <c r="AA471" s="188" t="s">
        <v>209</v>
      </c>
      <c r="AB471" s="188" t="s">
        <v>209</v>
      </c>
      <c r="AC471" s="188" t="s">
        <v>209</v>
      </c>
      <c r="AD471" s="188" t="s">
        <v>209</v>
      </c>
      <c r="AE471" s="188" t="s">
        <v>209</v>
      </c>
      <c r="AF471" s="188" t="s">
        <v>209</v>
      </c>
      <c r="AG471" s="241"/>
      <c r="AH471" s="345" t="s">
        <v>417</v>
      </c>
      <c r="AI471" s="243" t="s">
        <v>209</v>
      </c>
      <c r="AJ471" s="243" t="s">
        <v>209</v>
      </c>
      <c r="AK471" s="243" t="s">
        <v>209</v>
      </c>
      <c r="AL471" s="243" t="s">
        <v>209</v>
      </c>
      <c r="AM471" s="243" t="s">
        <v>209</v>
      </c>
      <c r="AN471" s="186" t="s">
        <v>209</v>
      </c>
      <c r="AO471" s="243" t="s">
        <v>209</v>
      </c>
      <c r="AP471" s="186" t="s">
        <v>209</v>
      </c>
      <c r="AQ471" s="186" t="s">
        <v>209</v>
      </c>
      <c r="AR471" s="186" t="s">
        <v>209</v>
      </c>
      <c r="AS471" s="243">
        <v>16080.0</v>
      </c>
      <c r="AT471" s="243">
        <v>31236.0</v>
      </c>
      <c r="AU471" s="243">
        <v>-25435.0</v>
      </c>
      <c r="AV471" s="243">
        <v>-5801.0</v>
      </c>
      <c r="AW471" s="241"/>
      <c r="AX471" s="244" t="s">
        <v>300</v>
      </c>
      <c r="AY471" s="172">
        <v>8.24</v>
      </c>
      <c r="AZ471" s="172">
        <v>8.22</v>
      </c>
      <c r="BA471" s="188">
        <v>8.07</v>
      </c>
      <c r="BB471" s="188">
        <v>6.91</v>
      </c>
      <c r="BC471" s="188">
        <v>4.56</v>
      </c>
      <c r="BD471" s="188">
        <v>3.99</v>
      </c>
      <c r="BE471" s="188">
        <v>4.61</v>
      </c>
      <c r="BF471" s="188">
        <v>4.11</v>
      </c>
      <c r="BG471" s="188">
        <v>16.92</v>
      </c>
      <c r="BH471" s="188">
        <v>1.1</v>
      </c>
      <c r="BI471" s="188">
        <v>1.27</v>
      </c>
      <c r="BJ471" s="188">
        <v>-1.03</v>
      </c>
      <c r="BK471" s="188">
        <v>-0.61</v>
      </c>
      <c r="BL471" s="188">
        <v>-0.27</v>
      </c>
      <c r="BM471" s="188">
        <v>0.55</v>
      </c>
      <c r="BN471" s="241"/>
      <c r="BO471" s="241"/>
      <c r="BP471" s="241"/>
      <c r="BQ471" s="241"/>
      <c r="BR471" s="241"/>
      <c r="BS471" s="242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</row>
    <row r="472">
      <c r="A472" s="15"/>
      <c r="B472" s="237" t="s">
        <v>317</v>
      </c>
      <c r="C472" s="172">
        <v>3240.0</v>
      </c>
      <c r="D472" s="172">
        <v>3240.0</v>
      </c>
      <c r="E472" s="172">
        <v>3240.0</v>
      </c>
      <c r="F472" s="172">
        <v>3240.0</v>
      </c>
      <c r="G472" s="172">
        <v>3278.0</v>
      </c>
      <c r="H472" s="172">
        <v>3202.0</v>
      </c>
      <c r="I472" s="172">
        <v>3240.0</v>
      </c>
      <c r="J472" s="172">
        <v>3240.0</v>
      </c>
      <c r="K472" s="172">
        <v>3240.0</v>
      </c>
      <c r="L472" s="172">
        <v>3240.0</v>
      </c>
      <c r="M472" s="172">
        <v>3240.0</v>
      </c>
      <c r="N472" s="172">
        <v>3240.0</v>
      </c>
      <c r="O472" s="172">
        <v>3240.0</v>
      </c>
      <c r="P472" s="172">
        <v>3240.0</v>
      </c>
      <c r="Q472" s="232"/>
      <c r="R472" s="233" t="s">
        <v>298</v>
      </c>
      <c r="S472" s="172">
        <v>1361.0</v>
      </c>
      <c r="T472" s="172">
        <v>1511.0</v>
      </c>
      <c r="U472" s="172">
        <v>3067.0</v>
      </c>
      <c r="V472" s="172">
        <v>1134.0</v>
      </c>
      <c r="W472" s="172" t="s">
        <v>209</v>
      </c>
      <c r="X472" s="188">
        <v>233.23</v>
      </c>
      <c r="Y472" s="188">
        <v>187.58</v>
      </c>
      <c r="Z472" s="188">
        <v>166.48</v>
      </c>
      <c r="AA472" s="188">
        <v>79.5</v>
      </c>
      <c r="AB472" s="188">
        <v>76.41</v>
      </c>
      <c r="AC472" s="188">
        <v>402.97</v>
      </c>
      <c r="AD472" s="188">
        <v>95.84</v>
      </c>
      <c r="AE472" s="188">
        <v>47.24</v>
      </c>
      <c r="AF472" s="188" t="s">
        <v>209</v>
      </c>
      <c r="AG472" s="241"/>
      <c r="AH472" s="289" t="s">
        <v>293</v>
      </c>
      <c r="AI472" s="243">
        <v>7467.0</v>
      </c>
      <c r="AJ472" s="243">
        <v>57020.0</v>
      </c>
      <c r="AK472" s="243">
        <v>33000.0</v>
      </c>
      <c r="AL472" s="243">
        <v>10777.0</v>
      </c>
      <c r="AM472" s="243">
        <v>-16401.0</v>
      </c>
      <c r="AN472" s="243">
        <v>17334.0</v>
      </c>
      <c r="AO472" s="243">
        <v>47434.0</v>
      </c>
      <c r="AP472" s="186">
        <v>-420.0</v>
      </c>
      <c r="AQ472" s="186">
        <v>-291.28</v>
      </c>
      <c r="AR472" s="186">
        <v>-548.72</v>
      </c>
      <c r="AS472" s="243">
        <v>39601.0</v>
      </c>
      <c r="AT472" s="243">
        <v>124359.0</v>
      </c>
      <c r="AU472" s="243">
        <v>-67161.0</v>
      </c>
      <c r="AV472" s="243">
        <v>-101086.0</v>
      </c>
      <c r="AW472" s="232"/>
      <c r="AX472" s="244" t="s">
        <v>304</v>
      </c>
      <c r="AY472" s="172">
        <v>-1.67</v>
      </c>
      <c r="AZ472" s="172">
        <v>-1.67</v>
      </c>
      <c r="BA472" s="172">
        <v>-2.2</v>
      </c>
      <c r="BB472" s="172">
        <v>-2.71</v>
      </c>
      <c r="BC472" s="188">
        <v>-1.43</v>
      </c>
      <c r="BD472" s="188">
        <v>-1.59</v>
      </c>
      <c r="BE472" s="188">
        <v>-1.37</v>
      </c>
      <c r="BF472" s="188">
        <v>-1.66</v>
      </c>
      <c r="BG472" s="188">
        <v>-0.61</v>
      </c>
      <c r="BH472" s="188">
        <v>-1.57</v>
      </c>
      <c r="BI472" s="188">
        <v>-0.33</v>
      </c>
      <c r="BJ472" s="188">
        <v>-0.21</v>
      </c>
      <c r="BK472" s="188">
        <v>-0.26</v>
      </c>
      <c r="BL472" s="188">
        <v>-0.16</v>
      </c>
      <c r="BM472" s="188">
        <v>0.64</v>
      </c>
      <c r="BN472" s="241"/>
      <c r="BO472" s="241"/>
      <c r="BP472" s="241"/>
      <c r="BQ472" s="241"/>
      <c r="BR472" s="241"/>
      <c r="BS472" s="242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</row>
    <row r="473">
      <c r="A473" s="15"/>
      <c r="B473" s="237" t="s">
        <v>322</v>
      </c>
      <c r="C473" s="172">
        <v>3240.0</v>
      </c>
      <c r="D473" s="172">
        <v>3240.0</v>
      </c>
      <c r="E473" s="172">
        <v>3240.0</v>
      </c>
      <c r="F473" s="172">
        <v>3240.0</v>
      </c>
      <c r="G473" s="172">
        <v>3278.0</v>
      </c>
      <c r="H473" s="172">
        <v>3202.0</v>
      </c>
      <c r="I473" s="172">
        <v>3240.0</v>
      </c>
      <c r="J473" s="172">
        <v>3240.0</v>
      </c>
      <c r="K473" s="172">
        <v>3240.0</v>
      </c>
      <c r="L473" s="172">
        <v>3240.0</v>
      </c>
      <c r="M473" s="172">
        <v>3240.0</v>
      </c>
      <c r="N473" s="172">
        <v>3240.0</v>
      </c>
      <c r="O473" s="172">
        <v>3240.0</v>
      </c>
      <c r="P473" s="172">
        <v>3240.0</v>
      </c>
      <c r="Q473" s="232"/>
      <c r="R473" s="233" t="s">
        <v>307</v>
      </c>
      <c r="S473" s="172" t="s">
        <v>209</v>
      </c>
      <c r="T473" s="172" t="s">
        <v>209</v>
      </c>
      <c r="U473" s="172" t="s">
        <v>209</v>
      </c>
      <c r="V473" s="172" t="s">
        <v>209</v>
      </c>
      <c r="W473" s="172">
        <v>1283.0</v>
      </c>
      <c r="X473" s="172" t="s">
        <v>209</v>
      </c>
      <c r="Y473" s="172" t="s">
        <v>209</v>
      </c>
      <c r="Z473" s="172" t="s">
        <v>209</v>
      </c>
      <c r="AA473" s="172" t="s">
        <v>209</v>
      </c>
      <c r="AB473" s="172" t="s">
        <v>209</v>
      </c>
      <c r="AC473" s="172" t="s">
        <v>209</v>
      </c>
      <c r="AD473" s="172" t="s">
        <v>209</v>
      </c>
      <c r="AE473" s="172" t="s">
        <v>209</v>
      </c>
      <c r="AF473" s="172" t="s">
        <v>209</v>
      </c>
      <c r="AG473" s="232"/>
      <c r="AH473" s="244" t="s">
        <v>299</v>
      </c>
      <c r="AI473" s="172">
        <v>-4577.0</v>
      </c>
      <c r="AJ473" s="172">
        <v>-2396.0</v>
      </c>
      <c r="AK473" s="172">
        <v>9569.0</v>
      </c>
      <c r="AL473" s="172">
        <v>-991.21</v>
      </c>
      <c r="AM473" s="172">
        <v>3157.0</v>
      </c>
      <c r="AN473" s="172">
        <v>-6171.0</v>
      </c>
      <c r="AO473" s="172">
        <v>5984.0</v>
      </c>
      <c r="AP473" s="172">
        <v>1530.0</v>
      </c>
      <c r="AQ473" s="172">
        <v>-2025.0</v>
      </c>
      <c r="AR473" s="172">
        <v>1372.0</v>
      </c>
      <c r="AS473" s="172">
        <v>-3975.0</v>
      </c>
      <c r="AT473" s="172">
        <v>4132.0</v>
      </c>
      <c r="AU473" s="172">
        <v>-103607.0</v>
      </c>
      <c r="AV473" s="172">
        <v>104136.0</v>
      </c>
      <c r="AW473" s="232"/>
      <c r="AX473" s="244" t="s">
        <v>309</v>
      </c>
      <c r="AY473" s="188">
        <v>0.64</v>
      </c>
      <c r="AZ473" s="172" t="s">
        <v>209</v>
      </c>
      <c r="BA473" s="172">
        <v>1.08</v>
      </c>
      <c r="BB473" s="172">
        <v>0.75</v>
      </c>
      <c r="BC473" s="188">
        <v>0.38</v>
      </c>
      <c r="BD473" s="188">
        <v>0.5</v>
      </c>
      <c r="BE473" s="188">
        <v>0.92</v>
      </c>
      <c r="BF473" s="188">
        <v>0.73</v>
      </c>
      <c r="BG473" s="188">
        <v>0.44</v>
      </c>
      <c r="BH473" s="188">
        <v>0.33</v>
      </c>
      <c r="BI473" s="188">
        <v>0.51</v>
      </c>
      <c r="BJ473" s="188">
        <v>0.19</v>
      </c>
      <c r="BK473" s="188">
        <v>0.03</v>
      </c>
      <c r="BL473" s="188">
        <v>0.09</v>
      </c>
      <c r="BM473" s="188">
        <v>0.13</v>
      </c>
      <c r="BN473" s="241"/>
      <c r="BO473" s="241"/>
      <c r="BP473" s="241"/>
      <c r="BQ473" s="241"/>
      <c r="BR473" s="242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</row>
    <row r="474">
      <c r="A474" s="15"/>
      <c r="B474" s="157" t="s">
        <v>421</v>
      </c>
      <c r="C474" s="185">
        <v>-0.0117</v>
      </c>
      <c r="D474" s="184">
        <v>0.0119</v>
      </c>
      <c r="E474" s="186" t="s">
        <v>209</v>
      </c>
      <c r="F474" s="186" t="s">
        <v>209</v>
      </c>
      <c r="G474" s="184">
        <v>0.0118</v>
      </c>
      <c r="H474" s="185">
        <v>-0.0118</v>
      </c>
      <c r="I474" s="186" t="s">
        <v>209</v>
      </c>
      <c r="J474" s="186" t="s">
        <v>209</v>
      </c>
      <c r="K474" s="186" t="s">
        <v>209</v>
      </c>
      <c r="L474" s="186" t="s">
        <v>209</v>
      </c>
      <c r="M474" s="186" t="s">
        <v>209</v>
      </c>
      <c r="N474" s="186" t="s">
        <v>209</v>
      </c>
      <c r="O474" s="186" t="s">
        <v>209</v>
      </c>
      <c r="P474" s="186" t="s">
        <v>209</v>
      </c>
      <c r="Q474" s="241"/>
      <c r="R474" s="237" t="s">
        <v>313</v>
      </c>
      <c r="S474" s="172">
        <v>199501.0</v>
      </c>
      <c r="T474" s="172">
        <v>194758.0</v>
      </c>
      <c r="U474" s="172">
        <v>124987.0</v>
      </c>
      <c r="V474" s="172">
        <v>89152.0</v>
      </c>
      <c r="W474" s="172">
        <v>78729.0</v>
      </c>
      <c r="X474" s="172">
        <v>95363.0</v>
      </c>
      <c r="Y474" s="172">
        <v>76830.0</v>
      </c>
      <c r="Z474" s="172">
        <v>30586.0</v>
      </c>
      <c r="AA474" s="172">
        <v>31076.0</v>
      </c>
      <c r="AB474" s="172">
        <v>33346.0</v>
      </c>
      <c r="AC474" s="172">
        <v>37241.0</v>
      </c>
      <c r="AD474" s="172">
        <v>40853.0</v>
      </c>
      <c r="AE474" s="172">
        <v>30356.0</v>
      </c>
      <c r="AF474" s="172">
        <v>58529.0</v>
      </c>
      <c r="AG474" s="232"/>
      <c r="AH474" s="244" t="s">
        <v>303</v>
      </c>
      <c r="AI474" s="172">
        <v>-11345.0</v>
      </c>
      <c r="AJ474" s="172">
        <v>-59416.0</v>
      </c>
      <c r="AK474" s="172">
        <v>-23432.0</v>
      </c>
      <c r="AL474" s="172">
        <v>-11768.0</v>
      </c>
      <c r="AM474" s="172">
        <v>19558.0</v>
      </c>
      <c r="AN474" s="172">
        <v>-23505.0</v>
      </c>
      <c r="AO474" s="172">
        <v>-41450.0</v>
      </c>
      <c r="AP474" s="172">
        <v>1950.0</v>
      </c>
      <c r="AQ474" s="172">
        <v>-1734.0</v>
      </c>
      <c r="AR474" s="172">
        <v>1921.0</v>
      </c>
      <c r="AS474" s="172">
        <v>-43689.0</v>
      </c>
      <c r="AT474" s="172">
        <v>26043.0</v>
      </c>
      <c r="AU474" s="172">
        <v>-60939.0</v>
      </c>
      <c r="AV474" s="172">
        <v>-50784.0</v>
      </c>
      <c r="AW474" s="232"/>
      <c r="AX474" s="244" t="s">
        <v>20</v>
      </c>
      <c r="AY474" s="172">
        <v>1.94</v>
      </c>
      <c r="AZ474" s="172">
        <v>1.67</v>
      </c>
      <c r="BA474" s="172" t="s">
        <v>209</v>
      </c>
      <c r="BB474" s="172">
        <v>3.25</v>
      </c>
      <c r="BC474" s="188">
        <v>1.69</v>
      </c>
      <c r="BD474" s="188">
        <v>0.91</v>
      </c>
      <c r="BE474" s="188">
        <v>1.23</v>
      </c>
      <c r="BF474" s="188">
        <v>2.07</v>
      </c>
      <c r="BG474" s="188">
        <v>1.49</v>
      </c>
      <c r="BH474" s="188">
        <v>0.92</v>
      </c>
      <c r="BI474" s="188">
        <v>0.71</v>
      </c>
      <c r="BJ474" s="188">
        <v>2.12</v>
      </c>
      <c r="BK474" s="188" t="s">
        <v>209</v>
      </c>
      <c r="BL474" s="188" t="s">
        <v>209</v>
      </c>
      <c r="BM474" s="188">
        <v>3.48</v>
      </c>
      <c r="BN474" s="241"/>
      <c r="BO474" s="241"/>
      <c r="BP474" s="241"/>
      <c r="BQ474" s="241"/>
      <c r="BR474" s="241"/>
      <c r="BS474" s="242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</row>
    <row r="475">
      <c r="A475" s="15"/>
      <c r="B475" s="237" t="s">
        <v>327</v>
      </c>
      <c r="C475" s="188">
        <v>0.16</v>
      </c>
      <c r="D475" s="188">
        <v>0.49</v>
      </c>
      <c r="E475" s="188">
        <v>0.09</v>
      </c>
      <c r="F475" s="188">
        <v>0.81</v>
      </c>
      <c r="G475" s="188">
        <v>0.16</v>
      </c>
      <c r="H475" s="188">
        <v>0.28</v>
      </c>
      <c r="I475" s="188">
        <v>-0.12</v>
      </c>
      <c r="J475" s="188">
        <v>0.71</v>
      </c>
      <c r="K475" s="188">
        <v>0.93</v>
      </c>
      <c r="L475" s="188">
        <v>-0.6</v>
      </c>
      <c r="M475" s="188">
        <v>10.16</v>
      </c>
      <c r="N475" s="188">
        <v>1.37</v>
      </c>
      <c r="O475" s="188">
        <v>0.04</v>
      </c>
      <c r="P475" s="188">
        <v>6.99</v>
      </c>
      <c r="Q475" s="241"/>
      <c r="R475" s="237" t="s">
        <v>318</v>
      </c>
      <c r="S475" s="188">
        <v>319.75</v>
      </c>
      <c r="T475" s="188">
        <v>290.42</v>
      </c>
      <c r="U475" s="188" t="s">
        <v>209</v>
      </c>
      <c r="V475" s="188">
        <v>158.83</v>
      </c>
      <c r="W475" s="188">
        <v>158.83</v>
      </c>
      <c r="X475" s="188" t="s">
        <v>209</v>
      </c>
      <c r="Y475" s="188">
        <v>660.0</v>
      </c>
      <c r="Z475" s="188" t="s">
        <v>209</v>
      </c>
      <c r="AA475" s="188" t="s">
        <v>209</v>
      </c>
      <c r="AB475" s="188">
        <v>240.0</v>
      </c>
      <c r="AC475" s="188">
        <v>660.0</v>
      </c>
      <c r="AD475" s="188" t="s">
        <v>209</v>
      </c>
      <c r="AE475" s="188" t="s">
        <v>209</v>
      </c>
      <c r="AF475" s="172">
        <v>15408.0</v>
      </c>
      <c r="AG475" s="232"/>
      <c r="AH475" s="238" t="s">
        <v>420</v>
      </c>
      <c r="AI475" s="243" t="s">
        <v>209</v>
      </c>
      <c r="AJ475" s="243" t="s">
        <v>209</v>
      </c>
      <c r="AK475" s="243" t="s">
        <v>209</v>
      </c>
      <c r="AL475" s="243" t="s">
        <v>209</v>
      </c>
      <c r="AM475" s="243" t="s">
        <v>209</v>
      </c>
      <c r="AN475" s="243" t="s">
        <v>209</v>
      </c>
      <c r="AO475" s="243" t="s">
        <v>209</v>
      </c>
      <c r="AP475" s="184">
        <v>-0.9251</v>
      </c>
      <c r="AQ475" s="186" t="s">
        <v>209</v>
      </c>
      <c r="AR475" s="186" t="s">
        <v>209</v>
      </c>
      <c r="AS475" s="243" t="s">
        <v>209</v>
      </c>
      <c r="AT475" s="243" t="s">
        <v>209</v>
      </c>
      <c r="AU475" s="243" t="s">
        <v>209</v>
      </c>
      <c r="AV475" s="243" t="s">
        <v>209</v>
      </c>
      <c r="AW475" s="241"/>
      <c r="AX475" s="174" t="s">
        <v>17</v>
      </c>
      <c r="AY475" s="188">
        <v>1.07</v>
      </c>
      <c r="AZ475" s="188">
        <v>1.07</v>
      </c>
      <c r="BA475" s="188">
        <v>1.08</v>
      </c>
      <c r="BB475" s="188">
        <v>1.39</v>
      </c>
      <c r="BC475" s="188">
        <v>1.54</v>
      </c>
      <c r="BD475" s="188">
        <v>1.6</v>
      </c>
      <c r="BE475" s="188">
        <v>1.6</v>
      </c>
      <c r="BF475" s="188">
        <v>1.68</v>
      </c>
      <c r="BG475" s="188">
        <v>2.68</v>
      </c>
      <c r="BH475" s="188">
        <v>2.95</v>
      </c>
      <c r="BI475" s="188">
        <v>2.72</v>
      </c>
      <c r="BJ475" s="188">
        <v>2.58</v>
      </c>
      <c r="BK475" s="188">
        <v>0.68</v>
      </c>
      <c r="BL475" s="188">
        <v>0.81</v>
      </c>
      <c r="BM475" s="188">
        <v>3.01</v>
      </c>
      <c r="BN475" s="241"/>
      <c r="BO475" s="241"/>
      <c r="BP475" s="241"/>
      <c r="BQ475" s="241"/>
      <c r="BR475" s="241"/>
      <c r="BS475" s="242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</row>
    <row r="476">
      <c r="A476" s="15"/>
      <c r="B476" s="237" t="s">
        <v>333</v>
      </c>
      <c r="C476" s="188">
        <v>0.16</v>
      </c>
      <c r="D476" s="188">
        <v>0.49</v>
      </c>
      <c r="E476" s="188">
        <v>0.09</v>
      </c>
      <c r="F476" s="188">
        <v>0.81</v>
      </c>
      <c r="G476" s="188">
        <v>0.16</v>
      </c>
      <c r="H476" s="188">
        <v>0.28</v>
      </c>
      <c r="I476" s="188">
        <v>-0.12</v>
      </c>
      <c r="J476" s="188">
        <v>0.71</v>
      </c>
      <c r="K476" s="188">
        <v>0.93</v>
      </c>
      <c r="L476" s="188">
        <v>-0.6</v>
      </c>
      <c r="M476" s="188">
        <v>10.16</v>
      </c>
      <c r="N476" s="188">
        <v>1.37</v>
      </c>
      <c r="O476" s="188">
        <v>0.04</v>
      </c>
      <c r="P476" s="188">
        <v>6.99</v>
      </c>
      <c r="Q476" s="241"/>
      <c r="R476" s="237" t="s">
        <v>323</v>
      </c>
      <c r="S476" s="172" t="s">
        <v>209</v>
      </c>
      <c r="T476" s="172" t="s">
        <v>209</v>
      </c>
      <c r="U476" s="172">
        <v>319.75</v>
      </c>
      <c r="V476" s="172" t="s">
        <v>209</v>
      </c>
      <c r="W476" s="172" t="s">
        <v>209</v>
      </c>
      <c r="X476" s="172" t="s">
        <v>209</v>
      </c>
      <c r="Y476" s="172" t="s">
        <v>209</v>
      </c>
      <c r="Z476" s="172" t="s">
        <v>209</v>
      </c>
      <c r="AA476" s="172" t="s">
        <v>209</v>
      </c>
      <c r="AB476" s="172" t="s">
        <v>209</v>
      </c>
      <c r="AC476" s="172" t="s">
        <v>209</v>
      </c>
      <c r="AD476" s="172" t="s">
        <v>209</v>
      </c>
      <c r="AE476" s="172" t="s">
        <v>209</v>
      </c>
      <c r="AF476" s="172" t="s">
        <v>209</v>
      </c>
      <c r="AG476" s="232"/>
      <c r="AH476" s="174" t="s">
        <v>314</v>
      </c>
      <c r="AI476" s="199">
        <v>-0.1606</v>
      </c>
      <c r="AJ476" s="199">
        <v>-0.6969</v>
      </c>
      <c r="AK476" s="199">
        <v>-0.2495</v>
      </c>
      <c r="AL476" s="199">
        <v>-0.1951</v>
      </c>
      <c r="AM476" s="199">
        <v>0.6322</v>
      </c>
      <c r="AN476" s="199">
        <v>-0.5785</v>
      </c>
      <c r="AO476" s="199">
        <v>-0.6164</v>
      </c>
      <c r="AP476" s="199">
        <v>0.04</v>
      </c>
      <c r="AQ476" s="199">
        <v>-0.0587</v>
      </c>
      <c r="AR476" s="199">
        <v>0.0856</v>
      </c>
      <c r="AS476" s="199">
        <v>-1.3364</v>
      </c>
      <c r="AT476" s="199">
        <v>2.4053</v>
      </c>
      <c r="AU476" s="199">
        <v>-38.8307</v>
      </c>
      <c r="AV476" s="199">
        <v>-7.0545</v>
      </c>
      <c r="AW476" s="236"/>
      <c r="AX476" s="174" t="s">
        <v>14</v>
      </c>
      <c r="AY476" s="188">
        <v>1.78</v>
      </c>
      <c r="AZ476" s="188">
        <v>1.78</v>
      </c>
      <c r="BA476" s="188">
        <v>1.79</v>
      </c>
      <c r="BB476" s="188">
        <v>2.2</v>
      </c>
      <c r="BC476" s="188">
        <v>2.67</v>
      </c>
      <c r="BD476" s="188">
        <v>2.97</v>
      </c>
      <c r="BE476" s="188">
        <v>2.62</v>
      </c>
      <c r="BF476" s="188">
        <v>2.99</v>
      </c>
      <c r="BG476" s="188">
        <v>5.9</v>
      </c>
      <c r="BH476" s="188">
        <v>6.11</v>
      </c>
      <c r="BI476" s="188">
        <v>5.62</v>
      </c>
      <c r="BJ476" s="188">
        <v>5.18</v>
      </c>
      <c r="BK476" s="188">
        <v>1.97</v>
      </c>
      <c r="BL476" s="188">
        <v>3.23</v>
      </c>
      <c r="BM476" s="188">
        <v>3.43</v>
      </c>
      <c r="BN476" s="241"/>
      <c r="BO476" s="241"/>
      <c r="BP476" s="241"/>
      <c r="BQ476" s="241"/>
      <c r="BR476" s="241"/>
      <c r="BS476" s="242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</row>
    <row r="477">
      <c r="A477" s="15"/>
      <c r="B477" s="157" t="s">
        <v>423</v>
      </c>
      <c r="C477" s="184">
        <v>-0.0208</v>
      </c>
      <c r="D477" s="185">
        <v>0.7668</v>
      </c>
      <c r="E477" s="243" t="s">
        <v>209</v>
      </c>
      <c r="F477" s="185">
        <v>0.134</v>
      </c>
      <c r="G477" s="184">
        <v>-0.8278</v>
      </c>
      <c r="H477" s="243" t="s">
        <v>209</v>
      </c>
      <c r="I477" s="243" t="s">
        <v>209</v>
      </c>
      <c r="J477" s="184">
        <v>-0.4805</v>
      </c>
      <c r="K477" s="185">
        <v>22.632</v>
      </c>
      <c r="L477" s="243" t="s">
        <v>209</v>
      </c>
      <c r="M477" s="243" t="s">
        <v>209</v>
      </c>
      <c r="N477" s="243" t="s">
        <v>209</v>
      </c>
      <c r="O477" s="243" t="s">
        <v>209</v>
      </c>
      <c r="P477" s="185">
        <v>139.0985</v>
      </c>
      <c r="Q477" s="241"/>
      <c r="R477" s="237" t="s">
        <v>328</v>
      </c>
      <c r="S477" s="172">
        <v>2405.0</v>
      </c>
      <c r="T477" s="172">
        <v>2327.0</v>
      </c>
      <c r="U477" s="172">
        <v>2248.0</v>
      </c>
      <c r="V477" s="172">
        <v>1956.0</v>
      </c>
      <c r="W477" s="172">
        <v>1954.0</v>
      </c>
      <c r="X477" s="172">
        <v>1951.0</v>
      </c>
      <c r="Y477" s="172">
        <v>1949.0</v>
      </c>
      <c r="Z477" s="172">
        <v>2174.0</v>
      </c>
      <c r="AA477" s="172">
        <v>2096.0</v>
      </c>
      <c r="AB477" s="172">
        <v>2017.0</v>
      </c>
      <c r="AC477" s="172">
        <v>1939.0</v>
      </c>
      <c r="AD477" s="172">
        <v>1624.0</v>
      </c>
      <c r="AE477" s="172">
        <v>1624.0</v>
      </c>
      <c r="AF477" s="172">
        <v>1624.0</v>
      </c>
      <c r="AG477" s="232"/>
      <c r="AH477" s="233" t="s">
        <v>319</v>
      </c>
      <c r="AI477" s="172">
        <v>-3.5</v>
      </c>
      <c r="AJ477" s="172">
        <v>-18.34</v>
      </c>
      <c r="AK477" s="172">
        <v>-7.23</v>
      </c>
      <c r="AL477" s="172">
        <v>-3.63</v>
      </c>
      <c r="AM477" s="188">
        <v>5.97</v>
      </c>
      <c r="AN477" s="188">
        <v>-7.34</v>
      </c>
      <c r="AO477" s="188">
        <v>-12.79</v>
      </c>
      <c r="AP477" s="188">
        <v>0.6</v>
      </c>
      <c r="AQ477" s="188">
        <v>-0.54</v>
      </c>
      <c r="AR477" s="188">
        <v>0.59</v>
      </c>
      <c r="AS477" s="188">
        <v>-13.48</v>
      </c>
      <c r="AT477" s="188">
        <v>8.04</v>
      </c>
      <c r="AU477" s="188">
        <v>-18.81</v>
      </c>
      <c r="AV477" s="188">
        <v>-15.67</v>
      </c>
      <c r="AW477" s="241"/>
      <c r="AX477" s="174" t="s">
        <v>330</v>
      </c>
      <c r="AY477" s="199">
        <v>0.0084</v>
      </c>
      <c r="AZ477" s="188" t="s">
        <v>209</v>
      </c>
      <c r="BA477" s="199">
        <v>0.005</v>
      </c>
      <c r="BB477" s="199">
        <v>0.0441</v>
      </c>
      <c r="BC477" s="199">
        <v>0.0089</v>
      </c>
      <c r="BD477" s="199">
        <v>0.0152</v>
      </c>
      <c r="BE477" s="199">
        <v>-0.0065</v>
      </c>
      <c r="BF477" s="199">
        <v>0.0393</v>
      </c>
      <c r="BG477" s="199">
        <v>0.052</v>
      </c>
      <c r="BH477" s="199">
        <v>-0.0338</v>
      </c>
      <c r="BI477" s="199">
        <v>0.6146</v>
      </c>
      <c r="BJ477" s="199">
        <v>0.091</v>
      </c>
      <c r="BK477" s="199">
        <v>0.0026</v>
      </c>
      <c r="BL477" s="199">
        <v>0.4916</v>
      </c>
      <c r="BM477" s="199">
        <v>-0.5819</v>
      </c>
      <c r="BN477" s="236"/>
      <c r="BO477" s="236"/>
      <c r="BP477" s="236"/>
      <c r="BQ477" s="236"/>
      <c r="BR477" s="240"/>
      <c r="BS477" s="170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</row>
    <row r="478">
      <c r="A478" s="15"/>
      <c r="B478" s="174" t="s">
        <v>303</v>
      </c>
      <c r="C478" s="172">
        <v>-11345.0</v>
      </c>
      <c r="D478" s="172">
        <v>-59416.0</v>
      </c>
      <c r="E478" s="172">
        <v>-23432.0</v>
      </c>
      <c r="F478" s="172">
        <v>-11768.0</v>
      </c>
      <c r="G478" s="172">
        <v>19558.0</v>
      </c>
      <c r="H478" s="172">
        <v>-23505.0</v>
      </c>
      <c r="I478" s="172">
        <v>-41450.0</v>
      </c>
      <c r="J478" s="172">
        <v>1950.0</v>
      </c>
      <c r="K478" s="172">
        <v>-1734.0</v>
      </c>
      <c r="L478" s="172">
        <v>1921.0</v>
      </c>
      <c r="M478" s="172">
        <v>-43689.0</v>
      </c>
      <c r="N478" s="172">
        <v>26043.0</v>
      </c>
      <c r="O478" s="172">
        <v>-60939.0</v>
      </c>
      <c r="P478" s="172">
        <v>-50784.0</v>
      </c>
      <c r="Q478" s="232"/>
      <c r="R478" s="233" t="s">
        <v>422</v>
      </c>
      <c r="S478" s="172" t="s">
        <v>209</v>
      </c>
      <c r="T478" s="172" t="s">
        <v>209</v>
      </c>
      <c r="U478" s="172" t="s">
        <v>209</v>
      </c>
      <c r="V478" s="172" t="s">
        <v>209</v>
      </c>
      <c r="W478" s="188" t="s">
        <v>209</v>
      </c>
      <c r="X478" s="188" t="s">
        <v>209</v>
      </c>
      <c r="Y478" s="188" t="s">
        <v>209</v>
      </c>
      <c r="Z478" s="188" t="s">
        <v>209</v>
      </c>
      <c r="AA478" s="188" t="s">
        <v>209</v>
      </c>
      <c r="AB478" s="188" t="s">
        <v>209</v>
      </c>
      <c r="AC478" s="188" t="s">
        <v>209</v>
      </c>
      <c r="AD478" s="188" t="s">
        <v>209</v>
      </c>
      <c r="AE478" s="188" t="s">
        <v>209</v>
      </c>
      <c r="AF478" s="188" t="s">
        <v>209</v>
      </c>
      <c r="AG478" s="241"/>
      <c r="AH478" s="233" t="s">
        <v>335</v>
      </c>
      <c r="AI478" s="172">
        <v>-12994.0</v>
      </c>
      <c r="AJ478" s="172" t="s">
        <v>209</v>
      </c>
      <c r="AK478" s="172">
        <v>-30297.0</v>
      </c>
      <c r="AL478" s="172">
        <v>-12927.0</v>
      </c>
      <c r="AM478" s="172">
        <v>20391.0</v>
      </c>
      <c r="AN478" s="172">
        <v>-23832.0</v>
      </c>
      <c r="AO478" s="172">
        <v>-44327.0</v>
      </c>
      <c r="AP478" s="172">
        <v>790.63</v>
      </c>
      <c r="AQ478" s="172">
        <v>-3306.0</v>
      </c>
      <c r="AR478" s="172">
        <v>3808.0</v>
      </c>
      <c r="AS478" s="172">
        <v>-115995.0</v>
      </c>
      <c r="AT478" s="172">
        <v>119636.0</v>
      </c>
      <c r="AU478" s="172">
        <v>-92037.0</v>
      </c>
      <c r="AV478" s="172">
        <v>-12699.0</v>
      </c>
      <c r="AW478" s="232"/>
      <c r="AX478" s="244" t="s">
        <v>336</v>
      </c>
      <c r="AY478" s="199">
        <v>0.0211</v>
      </c>
      <c r="AZ478" s="172" t="s">
        <v>209</v>
      </c>
      <c r="BA478" s="199">
        <v>8.0E-4</v>
      </c>
      <c r="BB478" s="199">
        <v>0.0342</v>
      </c>
      <c r="BC478" s="199">
        <v>0.0208</v>
      </c>
      <c r="BD478" s="199">
        <v>0.0259</v>
      </c>
      <c r="BE478" s="199">
        <v>0.0231</v>
      </c>
      <c r="BF478" s="199">
        <v>0.0354</v>
      </c>
      <c r="BG478" s="199">
        <v>0.0433</v>
      </c>
      <c r="BH478" s="199">
        <v>-4.0E-4</v>
      </c>
      <c r="BI478" s="199">
        <v>-0.1163</v>
      </c>
      <c r="BJ478" s="199">
        <v>0.3004</v>
      </c>
      <c r="BK478" s="199">
        <v>0.0084</v>
      </c>
      <c r="BL478" s="199">
        <v>-0.369</v>
      </c>
      <c r="BM478" s="199">
        <v>-0.1951</v>
      </c>
      <c r="BN478" s="236"/>
      <c r="BO478" s="236"/>
      <c r="BP478" s="236"/>
      <c r="BQ478" s="236"/>
      <c r="BR478" s="240"/>
      <c r="BS478" s="246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</row>
    <row r="479">
      <c r="A479" s="15"/>
      <c r="B479" s="237" t="s">
        <v>319</v>
      </c>
      <c r="C479" s="188">
        <v>-3.5</v>
      </c>
      <c r="D479" s="188">
        <v>-18.34</v>
      </c>
      <c r="E479" s="188">
        <v>-7.23</v>
      </c>
      <c r="F479" s="188">
        <v>-3.63</v>
      </c>
      <c r="G479" s="188">
        <v>5.97</v>
      </c>
      <c r="H479" s="188">
        <v>-7.34</v>
      </c>
      <c r="I479" s="188">
        <v>-12.79</v>
      </c>
      <c r="J479" s="188">
        <v>0.6</v>
      </c>
      <c r="K479" s="188">
        <v>-0.54</v>
      </c>
      <c r="L479" s="188">
        <v>0.59</v>
      </c>
      <c r="M479" s="188">
        <v>-13.48</v>
      </c>
      <c r="N479" s="188">
        <v>8.04</v>
      </c>
      <c r="O479" s="188">
        <v>-18.81</v>
      </c>
      <c r="P479" s="188">
        <v>-15.67</v>
      </c>
      <c r="Q479" s="232"/>
      <c r="R479" s="247" t="s">
        <v>334</v>
      </c>
      <c r="S479" s="204">
        <v>202226.0</v>
      </c>
      <c r="T479" s="204">
        <v>197375.0</v>
      </c>
      <c r="U479" s="204">
        <v>127555.0</v>
      </c>
      <c r="V479" s="204">
        <v>91267.0</v>
      </c>
      <c r="W479" s="204">
        <v>80842.0</v>
      </c>
      <c r="X479" s="204">
        <v>97315.0</v>
      </c>
      <c r="Y479" s="204">
        <v>79439.0</v>
      </c>
      <c r="Z479" s="204">
        <v>32760.0</v>
      </c>
      <c r="AA479" s="204">
        <v>33172.0</v>
      </c>
      <c r="AB479" s="204">
        <v>35603.0</v>
      </c>
      <c r="AC479" s="204">
        <v>39840.0</v>
      </c>
      <c r="AD479" s="204">
        <v>42477.0</v>
      </c>
      <c r="AE479" s="204">
        <v>31980.0</v>
      </c>
      <c r="AF479" s="204">
        <v>75561.0</v>
      </c>
      <c r="AG479" s="232"/>
      <c r="AH479" s="233" t="s">
        <v>341</v>
      </c>
      <c r="AI479" s="172">
        <v>-10399.0</v>
      </c>
      <c r="AJ479" s="172" t="s">
        <v>209</v>
      </c>
      <c r="AK479" s="172">
        <v>-29172.0</v>
      </c>
      <c r="AL479" s="172">
        <v>-12356.0</v>
      </c>
      <c r="AM479" s="172">
        <v>21576.0</v>
      </c>
      <c r="AN479" s="172">
        <v>-22550.0</v>
      </c>
      <c r="AO479" s="172">
        <v>-43598.0</v>
      </c>
      <c r="AP479" s="172">
        <v>1283.0</v>
      </c>
      <c r="AQ479" s="172">
        <v>-2791.0</v>
      </c>
      <c r="AR479" s="172">
        <v>4323.0</v>
      </c>
      <c r="AS479" s="172">
        <v>-109567.0</v>
      </c>
      <c r="AT479" s="172">
        <v>119636.0</v>
      </c>
      <c r="AU479" s="172">
        <v>-91570.0</v>
      </c>
      <c r="AV479" s="172">
        <v>-7612.0</v>
      </c>
      <c r="AW479" s="232"/>
      <c r="AX479" s="244" t="s">
        <v>342</v>
      </c>
      <c r="AY479" s="199">
        <v>0.009</v>
      </c>
      <c r="AZ479" s="199">
        <v>0.017</v>
      </c>
      <c r="BA479" s="199">
        <v>1.0E-4</v>
      </c>
      <c r="BB479" s="199">
        <v>0.011</v>
      </c>
      <c r="BC479" s="199">
        <v>0.0062</v>
      </c>
      <c r="BD479" s="199">
        <v>0.0089</v>
      </c>
      <c r="BE479" s="199">
        <v>-0.0053</v>
      </c>
      <c r="BF479" s="199">
        <v>0.0113</v>
      </c>
      <c r="BG479" s="199">
        <v>0.0139</v>
      </c>
      <c r="BH479" s="199">
        <v>-2.0E-4</v>
      </c>
      <c r="BI479" s="199">
        <v>-0.0413</v>
      </c>
      <c r="BJ479" s="199">
        <v>0.1278</v>
      </c>
      <c r="BK479" s="199">
        <v>0.0045</v>
      </c>
      <c r="BL479" s="199">
        <v>-0.1941</v>
      </c>
      <c r="BM479" s="199">
        <v>-0.086</v>
      </c>
      <c r="BN479" s="236"/>
      <c r="BO479" s="236"/>
      <c r="BP479" s="236"/>
      <c r="BQ479" s="236"/>
      <c r="BR479" s="240"/>
      <c r="BS479" s="246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</row>
    <row r="480">
      <c r="A480" s="15"/>
      <c r="B480" s="237" t="s">
        <v>353</v>
      </c>
      <c r="C480" s="188" t="s">
        <v>209</v>
      </c>
      <c r="D480" s="188" t="s">
        <v>209</v>
      </c>
      <c r="E480" s="188" t="s">
        <v>209</v>
      </c>
      <c r="F480" s="188" t="s">
        <v>209</v>
      </c>
      <c r="G480" s="188" t="s">
        <v>209</v>
      </c>
      <c r="H480" s="188" t="s">
        <v>209</v>
      </c>
      <c r="I480" s="188">
        <v>0.276</v>
      </c>
      <c r="J480" s="188" t="s">
        <v>209</v>
      </c>
      <c r="K480" s="188" t="s">
        <v>209</v>
      </c>
      <c r="L480" s="188" t="s">
        <v>209</v>
      </c>
      <c r="M480" s="188" t="s">
        <v>209</v>
      </c>
      <c r="N480" s="188" t="s">
        <v>209</v>
      </c>
      <c r="O480" s="188" t="s">
        <v>209</v>
      </c>
      <c r="P480" s="188" t="s">
        <v>209</v>
      </c>
      <c r="Q480" s="241"/>
      <c r="R480" s="174" t="s">
        <v>340</v>
      </c>
      <c r="S480" s="172">
        <v>162012.0</v>
      </c>
      <c r="T480" s="172">
        <v>162012.0</v>
      </c>
      <c r="U480" s="172">
        <v>162012.0</v>
      </c>
      <c r="V480" s="172">
        <v>162012.0</v>
      </c>
      <c r="W480" s="172">
        <v>162012.0</v>
      </c>
      <c r="X480" s="172">
        <v>162012.0</v>
      </c>
      <c r="Y480" s="172">
        <v>162012.0</v>
      </c>
      <c r="Z480" s="172">
        <v>162012.0</v>
      </c>
      <c r="AA480" s="172">
        <v>162012.0</v>
      </c>
      <c r="AB480" s="172">
        <v>162012.0</v>
      </c>
      <c r="AC480" s="172">
        <v>162012.0</v>
      </c>
      <c r="AD480" s="172">
        <v>162012.0</v>
      </c>
      <c r="AE480" s="172">
        <v>162012.0</v>
      </c>
      <c r="AF480" s="172">
        <v>162012.0</v>
      </c>
      <c r="AG480" s="232"/>
      <c r="AH480" s="244" t="s">
        <v>324</v>
      </c>
      <c r="AI480" s="172">
        <v>4805.0</v>
      </c>
      <c r="AJ480" s="172">
        <v>5583.0</v>
      </c>
      <c r="AK480" s="172">
        <v>1756.0</v>
      </c>
      <c r="AL480" s="172">
        <v>912.64</v>
      </c>
      <c r="AM480" s="172">
        <v>1896.0</v>
      </c>
      <c r="AN480" s="172">
        <v>2051.0</v>
      </c>
      <c r="AO480" s="172">
        <v>1184.0</v>
      </c>
      <c r="AP480" s="188">
        <v>769.43</v>
      </c>
      <c r="AQ480" s="188">
        <v>824.79</v>
      </c>
      <c r="AR480" s="188">
        <v>823.17</v>
      </c>
      <c r="AS480" s="172">
        <v>2119.0</v>
      </c>
      <c r="AT480" s="188" t="s">
        <v>209</v>
      </c>
      <c r="AU480" s="188">
        <v>746.87</v>
      </c>
      <c r="AV480" s="172">
        <v>8139.0</v>
      </c>
      <c r="AW480" s="232"/>
      <c r="AX480" s="244" t="s">
        <v>346</v>
      </c>
      <c r="AY480" s="199">
        <v>0.067</v>
      </c>
      <c r="AZ480" s="199">
        <v>0.067</v>
      </c>
      <c r="BA480" s="199">
        <v>0.064</v>
      </c>
      <c r="BB480" s="199">
        <v>0.044</v>
      </c>
      <c r="BC480" s="199">
        <v>0.055</v>
      </c>
      <c r="BD480" s="199">
        <v>0.053</v>
      </c>
      <c r="BE480" s="199">
        <v>0.061</v>
      </c>
      <c r="BF480" s="199">
        <v>0.046</v>
      </c>
      <c r="BG480" s="199">
        <v>-0.015</v>
      </c>
      <c r="BH480" s="199">
        <v>0.088</v>
      </c>
      <c r="BI480" s="199">
        <v>0.072</v>
      </c>
      <c r="BJ480" s="199">
        <v>-0.129</v>
      </c>
      <c r="BK480" s="199">
        <v>-0.24</v>
      </c>
      <c r="BL480" s="199">
        <v>-0.426</v>
      </c>
      <c r="BM480" s="199">
        <v>-0.388</v>
      </c>
      <c r="BN480" s="236"/>
      <c r="BO480" s="236"/>
      <c r="BP480" s="236"/>
      <c r="BQ480" s="236"/>
      <c r="BR480" s="236"/>
      <c r="BS480" s="240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</row>
    <row r="481">
      <c r="A481" s="15"/>
      <c r="B481" s="157" t="s">
        <v>424</v>
      </c>
      <c r="C481" s="186" t="s">
        <v>209</v>
      </c>
      <c r="D481" s="186" t="s">
        <v>209</v>
      </c>
      <c r="E481" s="186" t="s">
        <v>209</v>
      </c>
      <c r="F481" s="186" t="s">
        <v>209</v>
      </c>
      <c r="G481" s="186" t="s">
        <v>209</v>
      </c>
      <c r="H481" s="186" t="s">
        <v>209</v>
      </c>
      <c r="I481" s="186" t="s">
        <v>209</v>
      </c>
      <c r="J481" s="186" t="s">
        <v>209</v>
      </c>
      <c r="K481" s="186" t="s">
        <v>209</v>
      </c>
      <c r="L481" s="186" t="s">
        <v>209</v>
      </c>
      <c r="M481" s="186" t="s">
        <v>209</v>
      </c>
      <c r="N481" s="186" t="s">
        <v>209</v>
      </c>
      <c r="O481" s="186" t="s">
        <v>209</v>
      </c>
      <c r="P481" s="186" t="s">
        <v>209</v>
      </c>
      <c r="Q481" s="241"/>
      <c r="R481" s="237" t="s">
        <v>345</v>
      </c>
      <c r="S481" s="172">
        <v>28929.0</v>
      </c>
      <c r="T481" s="172">
        <v>28929.0</v>
      </c>
      <c r="U481" s="172">
        <v>28929.0</v>
      </c>
      <c r="V481" s="172">
        <v>28929.0</v>
      </c>
      <c r="W481" s="172">
        <v>28929.0</v>
      </c>
      <c r="X481" s="172">
        <v>28929.0</v>
      </c>
      <c r="Y481" s="172">
        <v>28929.0</v>
      </c>
      <c r="Z481" s="172">
        <v>28929.0</v>
      </c>
      <c r="AA481" s="172">
        <v>28929.0</v>
      </c>
      <c r="AB481" s="172">
        <v>28929.0</v>
      </c>
      <c r="AC481" s="172">
        <v>28929.0</v>
      </c>
      <c r="AD481" s="172">
        <v>28929.0</v>
      </c>
      <c r="AE481" s="172">
        <v>28929.0</v>
      </c>
      <c r="AF481" s="172">
        <v>28929.0</v>
      </c>
      <c r="AG481" s="232"/>
      <c r="AH481" s="233" t="s">
        <v>329</v>
      </c>
      <c r="AI481" s="172" t="s">
        <v>209</v>
      </c>
      <c r="AJ481" s="172">
        <v>1744.0</v>
      </c>
      <c r="AK481" s="172">
        <v>48.51</v>
      </c>
      <c r="AL481" s="172" t="s">
        <v>209</v>
      </c>
      <c r="AM481" s="188" t="s">
        <v>209</v>
      </c>
      <c r="AN481" s="188">
        <v>46.97</v>
      </c>
      <c r="AO481" s="188" t="s">
        <v>209</v>
      </c>
      <c r="AP481" s="188">
        <v>5.03</v>
      </c>
      <c r="AQ481" s="188">
        <v>4.53</v>
      </c>
      <c r="AR481" s="188" t="s">
        <v>209</v>
      </c>
      <c r="AS481" s="188">
        <v>198.34</v>
      </c>
      <c r="AT481" s="188">
        <v>17.35</v>
      </c>
      <c r="AU481" s="188" t="s">
        <v>209</v>
      </c>
      <c r="AV481" s="188">
        <v>11.96</v>
      </c>
      <c r="AW481" s="232"/>
      <c r="AX481" s="244" t="s">
        <v>350</v>
      </c>
      <c r="AY481" s="199">
        <v>0.0345</v>
      </c>
      <c r="AZ481" s="199">
        <v>0.0282</v>
      </c>
      <c r="BA481" s="199">
        <v>0.0243</v>
      </c>
      <c r="BB481" s="199">
        <v>0.0227</v>
      </c>
      <c r="BC481" s="199">
        <v>0.0194</v>
      </c>
      <c r="BD481" s="199">
        <v>0.0369</v>
      </c>
      <c r="BE481" s="199">
        <v>0.0581</v>
      </c>
      <c r="BF481" s="199">
        <v>0.0288</v>
      </c>
      <c r="BG481" s="199">
        <v>0.2946</v>
      </c>
      <c r="BH481" s="199">
        <v>0.6239</v>
      </c>
      <c r="BI481" s="199">
        <v>0.2193</v>
      </c>
      <c r="BJ481" s="199">
        <v>0.3712</v>
      </c>
      <c r="BK481" s="199">
        <v>0.001</v>
      </c>
      <c r="BL481" s="199">
        <v>-0.0641</v>
      </c>
      <c r="BM481" s="199">
        <v>-0.0972</v>
      </c>
      <c r="BN481" s="236"/>
      <c r="BO481" s="236"/>
      <c r="BP481" s="236"/>
      <c r="BQ481" s="236"/>
      <c r="BR481" s="236"/>
      <c r="BS481" s="240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</row>
    <row r="482">
      <c r="A482" s="15"/>
      <c r="B482" s="174" t="s">
        <v>361</v>
      </c>
      <c r="C482" s="199">
        <v>0.2067</v>
      </c>
      <c r="D482" s="199">
        <v>0.2454</v>
      </c>
      <c r="E482" s="199">
        <v>0.2047</v>
      </c>
      <c r="F482" s="199">
        <v>0.2746</v>
      </c>
      <c r="G482" s="199">
        <v>0.256</v>
      </c>
      <c r="H482" s="199">
        <v>0.2583</v>
      </c>
      <c r="I482" s="199">
        <v>0.2388</v>
      </c>
      <c r="J482" s="199">
        <v>0.2541</v>
      </c>
      <c r="K482" s="199">
        <v>0.2476</v>
      </c>
      <c r="L482" s="199">
        <v>0.2428</v>
      </c>
      <c r="M482" s="199">
        <v>0.0435</v>
      </c>
      <c r="N482" s="199">
        <v>1.768</v>
      </c>
      <c r="O482" s="199">
        <v>4.5584</v>
      </c>
      <c r="P482" s="188" t="s">
        <v>209</v>
      </c>
      <c r="Q482" s="236"/>
      <c r="R482" s="237" t="s">
        <v>349</v>
      </c>
      <c r="S482" s="172">
        <v>50070.0</v>
      </c>
      <c r="T482" s="172">
        <v>49562.0</v>
      </c>
      <c r="U482" s="172">
        <v>47959.0</v>
      </c>
      <c r="V482" s="172">
        <v>47658.0</v>
      </c>
      <c r="W482" s="172">
        <v>45042.0</v>
      </c>
      <c r="X482" s="172">
        <v>45411.0</v>
      </c>
      <c r="Y482" s="172">
        <v>44515.0</v>
      </c>
      <c r="Z482" s="172">
        <v>44900.0</v>
      </c>
      <c r="AA482" s="172">
        <v>42592.0</v>
      </c>
      <c r="AB482" s="172">
        <v>39576.0</v>
      </c>
      <c r="AC482" s="172">
        <v>41530.0</v>
      </c>
      <c r="AD482" s="172">
        <v>4942.0</v>
      </c>
      <c r="AE482" s="172">
        <v>3845.0</v>
      </c>
      <c r="AF482" s="172">
        <v>5560.0</v>
      </c>
      <c r="AG482" s="232"/>
      <c r="AH482" s="232"/>
      <c r="AI482" s="232"/>
      <c r="AJ482" s="232"/>
      <c r="AK482" s="232"/>
      <c r="AL482" s="235"/>
      <c r="AM482" s="249"/>
      <c r="AN482" s="249"/>
      <c r="AO482" s="249"/>
      <c r="AP482" s="249"/>
      <c r="AQ482" s="249"/>
      <c r="AR482" s="249"/>
      <c r="AS482" s="249"/>
      <c r="AT482" s="249"/>
      <c r="AU482" s="249"/>
      <c r="AV482" s="249"/>
      <c r="AW482" s="248"/>
      <c r="AX482" s="244" t="s">
        <v>355</v>
      </c>
      <c r="AY482" s="199">
        <v>-0.7267</v>
      </c>
      <c r="AZ482" s="199">
        <v>-0.5946</v>
      </c>
      <c r="BA482" s="199">
        <v>-0.3619</v>
      </c>
      <c r="BB482" s="199">
        <v>-0.2048</v>
      </c>
      <c r="BC482" s="199">
        <v>-0.3042</v>
      </c>
      <c r="BD482" s="199">
        <v>-0.4789</v>
      </c>
      <c r="BE482" s="199">
        <v>-0.6445</v>
      </c>
      <c r="BF482" s="199">
        <v>-0.3791</v>
      </c>
      <c r="BG482" s="199">
        <v>-0.3375</v>
      </c>
      <c r="BH482" s="199">
        <v>-0.2836</v>
      </c>
      <c r="BI482" s="199">
        <v>-0.4732</v>
      </c>
      <c r="BJ482" s="199">
        <v>-0.7985</v>
      </c>
      <c r="BK482" s="199">
        <v>-0.5387</v>
      </c>
      <c r="BL482" s="199">
        <v>-0.6564</v>
      </c>
      <c r="BM482" s="199">
        <v>-0.395</v>
      </c>
      <c r="BN482" s="236"/>
      <c r="BO482" s="236"/>
      <c r="BP482" s="236"/>
      <c r="BQ482" s="236"/>
      <c r="BR482" s="236"/>
      <c r="BS482" s="240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</row>
    <row r="483">
      <c r="A483" s="15"/>
      <c r="B483" s="174" t="s">
        <v>366</v>
      </c>
      <c r="C483" s="199">
        <v>0.0526</v>
      </c>
      <c r="D483" s="199">
        <v>0.0962</v>
      </c>
      <c r="E483" s="199">
        <v>0.0011</v>
      </c>
      <c r="F483" s="199">
        <v>0.0734</v>
      </c>
      <c r="G483" s="199">
        <v>0.0876</v>
      </c>
      <c r="H483" s="199">
        <v>0.0828</v>
      </c>
      <c r="I483" s="199">
        <v>0.0401</v>
      </c>
      <c r="J483" s="199">
        <v>0.0776</v>
      </c>
      <c r="K483" s="199">
        <v>0.1563</v>
      </c>
      <c r="L483" s="199">
        <v>-0.002</v>
      </c>
      <c r="M483" s="199">
        <v>-0.3632</v>
      </c>
      <c r="N483" s="199">
        <v>2.5808</v>
      </c>
      <c r="O483" s="199">
        <v>0.5315</v>
      </c>
      <c r="P483" s="199">
        <v>-6.5618</v>
      </c>
      <c r="Q483" s="236"/>
      <c r="R483" s="237" t="s">
        <v>354</v>
      </c>
      <c r="S483" s="188">
        <v>120.01</v>
      </c>
      <c r="T483" s="188">
        <v>123.77</v>
      </c>
      <c r="U483" s="188">
        <v>127.54</v>
      </c>
      <c r="V483" s="188">
        <v>275.87</v>
      </c>
      <c r="W483" s="172">
        <v>231.44</v>
      </c>
      <c r="X483" s="172">
        <v>187.02</v>
      </c>
      <c r="Y483" s="172">
        <v>142.6</v>
      </c>
      <c r="Z483" s="172">
        <v>-41.28</v>
      </c>
      <c r="AA483" s="172">
        <v>-39.22</v>
      </c>
      <c r="AB483" s="172">
        <v>-37.15</v>
      </c>
      <c r="AC483" s="172">
        <v>-35.09</v>
      </c>
      <c r="AD483" s="172">
        <v>-26.85</v>
      </c>
      <c r="AE483" s="172">
        <v>-26.85</v>
      </c>
      <c r="AF483" s="172">
        <v>-26.85</v>
      </c>
      <c r="AG483" s="232"/>
      <c r="AH483" s="232"/>
      <c r="AI483" s="232"/>
      <c r="AJ483" s="232"/>
      <c r="AK483" s="232"/>
      <c r="AL483" s="235"/>
      <c r="AM483" s="248"/>
      <c r="AN483" s="248"/>
      <c r="AO483" s="248"/>
      <c r="AP483" s="249"/>
      <c r="AQ483" s="248"/>
      <c r="AR483" s="248"/>
      <c r="AS483" s="248"/>
      <c r="AT483" s="248"/>
      <c r="AU483" s="248"/>
      <c r="AV483" s="248"/>
      <c r="AW483" s="249"/>
      <c r="AX483" s="174" t="s">
        <v>359</v>
      </c>
      <c r="AY483" s="199">
        <v>0.0061</v>
      </c>
      <c r="AZ483" s="188" t="s">
        <v>209</v>
      </c>
      <c r="BA483" s="188" t="s">
        <v>209</v>
      </c>
      <c r="BB483" s="188" t="s">
        <v>209</v>
      </c>
      <c r="BC483" s="188" t="s">
        <v>209</v>
      </c>
      <c r="BD483" s="188" t="s">
        <v>209</v>
      </c>
      <c r="BE483" s="188" t="s">
        <v>209</v>
      </c>
      <c r="BF483" s="199">
        <v>0.0088</v>
      </c>
      <c r="BG483" s="188" t="s">
        <v>209</v>
      </c>
      <c r="BH483" s="188" t="s">
        <v>209</v>
      </c>
      <c r="BI483" s="188" t="s">
        <v>209</v>
      </c>
      <c r="BJ483" s="188" t="s">
        <v>209</v>
      </c>
      <c r="BK483" s="188" t="s">
        <v>209</v>
      </c>
      <c r="BL483" s="188" t="s">
        <v>209</v>
      </c>
      <c r="BM483" s="188" t="s">
        <v>209</v>
      </c>
      <c r="BN483" s="241"/>
      <c r="BO483" s="241"/>
      <c r="BP483" s="241"/>
      <c r="BQ483" s="241"/>
      <c r="BR483" s="241"/>
      <c r="BS483" s="242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</row>
    <row r="484">
      <c r="A484" s="15"/>
      <c r="B484" s="174" t="s">
        <v>370</v>
      </c>
      <c r="C484" s="199">
        <v>0.0072</v>
      </c>
      <c r="D484" s="199">
        <v>0.0188</v>
      </c>
      <c r="E484" s="199">
        <v>0.0032</v>
      </c>
      <c r="F484" s="199">
        <v>0.0434</v>
      </c>
      <c r="G484" s="199">
        <v>0.017</v>
      </c>
      <c r="H484" s="199">
        <v>0.0221</v>
      </c>
      <c r="I484" s="199">
        <v>-0.0057</v>
      </c>
      <c r="J484" s="199">
        <v>0.0473</v>
      </c>
      <c r="K484" s="199">
        <v>0.1021</v>
      </c>
      <c r="L484" s="199">
        <v>-0.0871</v>
      </c>
      <c r="M484" s="199">
        <v>1.0066</v>
      </c>
      <c r="N484" s="199">
        <v>0.4103</v>
      </c>
      <c r="O484" s="199">
        <v>0.0813</v>
      </c>
      <c r="P484" s="199">
        <v>3.1477</v>
      </c>
      <c r="Q484" s="236"/>
      <c r="R484" s="247" t="s">
        <v>367</v>
      </c>
      <c r="S484" s="204">
        <v>241131.0</v>
      </c>
      <c r="T484" s="204">
        <v>240626.0</v>
      </c>
      <c r="U484" s="204">
        <v>239027.0</v>
      </c>
      <c r="V484" s="204">
        <v>238875.0</v>
      </c>
      <c r="W484" s="204">
        <v>236214.0</v>
      </c>
      <c r="X484" s="204">
        <v>236539.0</v>
      </c>
      <c r="Y484" s="204">
        <v>235598.0</v>
      </c>
      <c r="Z484" s="204">
        <v>235799.0</v>
      </c>
      <c r="AA484" s="204">
        <v>233494.0</v>
      </c>
      <c r="AB484" s="204">
        <v>230479.0</v>
      </c>
      <c r="AC484" s="204">
        <v>232435.0</v>
      </c>
      <c r="AD484" s="204">
        <v>195856.0</v>
      </c>
      <c r="AE484" s="204">
        <v>194759.0</v>
      </c>
      <c r="AF484" s="204">
        <v>196474.0</v>
      </c>
      <c r="AG484" s="232"/>
      <c r="AH484" s="232"/>
      <c r="AI484" s="232"/>
      <c r="AJ484" s="232"/>
      <c r="AK484" s="232"/>
      <c r="AL484" s="235"/>
      <c r="AM484" s="248"/>
      <c r="AN484" s="248"/>
      <c r="AO484" s="248"/>
      <c r="AP484" s="248"/>
      <c r="AQ484" s="248"/>
      <c r="AR484" s="248"/>
      <c r="AS484" s="248"/>
      <c r="AT484" s="248"/>
      <c r="AU484" s="248"/>
      <c r="AV484" s="248"/>
      <c r="AW484" s="249"/>
      <c r="AX484" s="174" t="s">
        <v>363</v>
      </c>
      <c r="AY484" s="199">
        <v>0.1781</v>
      </c>
      <c r="AZ484" s="172" t="s">
        <v>209</v>
      </c>
      <c r="BA484" s="188" t="s">
        <v>209</v>
      </c>
      <c r="BB484" s="199">
        <v>2.9813</v>
      </c>
      <c r="BC484" s="188" t="s">
        <v>209</v>
      </c>
      <c r="BD484" s="188" t="s">
        <v>209</v>
      </c>
      <c r="BE484" s="188" t="s">
        <v>209</v>
      </c>
      <c r="BF484" s="188" t="s">
        <v>209</v>
      </c>
      <c r="BG484" s="188" t="s">
        <v>209</v>
      </c>
      <c r="BH484" s="188" t="s">
        <v>209</v>
      </c>
      <c r="BI484" s="188" t="s">
        <v>209</v>
      </c>
      <c r="BJ484" s="188" t="s">
        <v>209</v>
      </c>
      <c r="BK484" s="188" t="s">
        <v>209</v>
      </c>
      <c r="BL484" s="188" t="s">
        <v>209</v>
      </c>
      <c r="BM484" s="188" t="s">
        <v>209</v>
      </c>
      <c r="BN484" s="241"/>
      <c r="BO484" s="241"/>
      <c r="BP484" s="241"/>
      <c r="BQ484" s="241"/>
      <c r="BR484" s="241"/>
      <c r="BS484" s="242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</row>
    <row r="485">
      <c r="A485" s="15"/>
      <c r="B485" s="174" t="s">
        <v>314</v>
      </c>
      <c r="C485" s="199">
        <v>-0.1606</v>
      </c>
      <c r="D485" s="199">
        <v>-0.6969</v>
      </c>
      <c r="E485" s="199">
        <v>-0.2495</v>
      </c>
      <c r="F485" s="199">
        <v>-0.1951</v>
      </c>
      <c r="G485" s="199">
        <v>0.6322</v>
      </c>
      <c r="H485" s="199">
        <v>-0.5785</v>
      </c>
      <c r="I485" s="199">
        <v>-0.6164</v>
      </c>
      <c r="J485" s="199">
        <v>0.04</v>
      </c>
      <c r="K485" s="199">
        <v>-0.0587</v>
      </c>
      <c r="L485" s="199">
        <v>0.0856</v>
      </c>
      <c r="M485" s="199">
        <v>-1.3364</v>
      </c>
      <c r="N485" s="199">
        <v>2.4053</v>
      </c>
      <c r="O485" s="199">
        <v>-38.8307</v>
      </c>
      <c r="P485" s="199">
        <v>-7.0545</v>
      </c>
      <c r="Q485" s="236"/>
      <c r="R485" s="237" t="s">
        <v>371</v>
      </c>
      <c r="S485" s="172">
        <v>443357.0</v>
      </c>
      <c r="T485" s="172">
        <v>438001.0</v>
      </c>
      <c r="U485" s="172">
        <v>366582.0</v>
      </c>
      <c r="V485" s="172">
        <v>330142.0</v>
      </c>
      <c r="W485" s="172">
        <v>317056.0</v>
      </c>
      <c r="X485" s="172">
        <v>333854.0</v>
      </c>
      <c r="Y485" s="172">
        <v>315037.0</v>
      </c>
      <c r="Z485" s="172">
        <v>268560.0</v>
      </c>
      <c r="AA485" s="172">
        <v>266666.0</v>
      </c>
      <c r="AB485" s="172">
        <v>266082.0</v>
      </c>
      <c r="AC485" s="172">
        <v>272275.0</v>
      </c>
      <c r="AD485" s="172">
        <v>238334.0</v>
      </c>
      <c r="AE485" s="172">
        <v>226739.0</v>
      </c>
      <c r="AF485" s="172">
        <v>272035.0</v>
      </c>
      <c r="AG485" s="232"/>
      <c r="AH485" s="232"/>
      <c r="AI485" s="232"/>
      <c r="AJ485" s="232"/>
      <c r="AK485" s="232"/>
      <c r="AL485" s="235"/>
      <c r="AM485" s="250"/>
      <c r="AN485" s="250"/>
      <c r="AO485" s="250"/>
      <c r="AP485" s="250"/>
      <c r="AQ485" s="250"/>
      <c r="AR485" s="250"/>
      <c r="AS485" s="250"/>
      <c r="AT485" s="250"/>
      <c r="AU485" s="250"/>
      <c r="AV485" s="250"/>
      <c r="AW485" s="248"/>
      <c r="AX485" s="244" t="s">
        <v>470</v>
      </c>
      <c r="AY485" s="172" t="s">
        <v>209</v>
      </c>
      <c r="AZ485" s="199">
        <v>0.0117</v>
      </c>
      <c r="BA485" s="199">
        <v>-0.0119</v>
      </c>
      <c r="BB485" s="172" t="s">
        <v>209</v>
      </c>
      <c r="BC485" s="188" t="s">
        <v>209</v>
      </c>
      <c r="BD485" s="199">
        <v>-0.0118</v>
      </c>
      <c r="BE485" s="199">
        <v>0.0118</v>
      </c>
      <c r="BF485" s="188" t="s">
        <v>209</v>
      </c>
      <c r="BG485" s="188" t="s">
        <v>209</v>
      </c>
      <c r="BH485" s="188" t="s">
        <v>209</v>
      </c>
      <c r="BI485" s="188" t="s">
        <v>209</v>
      </c>
      <c r="BJ485" s="188" t="s">
        <v>209</v>
      </c>
      <c r="BK485" s="188" t="s">
        <v>209</v>
      </c>
      <c r="BL485" s="188" t="s">
        <v>209</v>
      </c>
      <c r="BM485" s="188" t="s">
        <v>209</v>
      </c>
      <c r="BN485" s="241"/>
      <c r="BO485" s="241"/>
      <c r="BP485" s="236"/>
      <c r="BQ485" s="236"/>
      <c r="BR485" s="236"/>
      <c r="BS485" s="240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</row>
    <row r="486">
      <c r="A486" s="15"/>
      <c r="B486" s="237" t="s">
        <v>376</v>
      </c>
      <c r="C486" s="172">
        <v>4968.0</v>
      </c>
      <c r="D486" s="172">
        <v>9663.0</v>
      </c>
      <c r="E486" s="172">
        <v>1316.0</v>
      </c>
      <c r="F486" s="172">
        <v>5637.0</v>
      </c>
      <c r="G486" s="172">
        <v>3868.0</v>
      </c>
      <c r="H486" s="172">
        <v>4520.0</v>
      </c>
      <c r="I486" s="172">
        <v>3851.0</v>
      </c>
      <c r="J486" s="172">
        <v>5091.0</v>
      </c>
      <c r="K486" s="172">
        <v>5783.0</v>
      </c>
      <c r="L486" s="172">
        <v>1135.0</v>
      </c>
      <c r="M486" s="172">
        <v>-10508.0</v>
      </c>
      <c r="N486" s="172">
        <v>28479.0</v>
      </c>
      <c r="O486" s="172">
        <v>1091.0</v>
      </c>
      <c r="P486" s="172">
        <v>-45769.0</v>
      </c>
      <c r="Q486" s="232"/>
      <c r="R486" s="244" t="s">
        <v>373</v>
      </c>
      <c r="S486" s="172">
        <v>184123.0</v>
      </c>
      <c r="T486" s="172">
        <v>176637.0</v>
      </c>
      <c r="U486" s="172">
        <v>119596.0</v>
      </c>
      <c r="V486" s="172">
        <v>85638.0</v>
      </c>
      <c r="W486" s="172">
        <v>74167.0</v>
      </c>
      <c r="X486" s="172">
        <v>90568.0</v>
      </c>
      <c r="Y486" s="172">
        <v>73234.0</v>
      </c>
      <c r="Z486" s="172">
        <v>27480.0</v>
      </c>
      <c r="AA486" s="172">
        <v>27900.0</v>
      </c>
      <c r="AB486" s="172">
        <v>28191.0</v>
      </c>
      <c r="AC486" s="172">
        <v>28740.0</v>
      </c>
      <c r="AD486" s="172">
        <v>30855.0</v>
      </c>
      <c r="AE486" s="172">
        <v>22118.0</v>
      </c>
      <c r="AF486" s="172">
        <v>63843.0</v>
      </c>
      <c r="AG486" s="232"/>
      <c r="AH486" s="232"/>
      <c r="AI486" s="232"/>
      <c r="AJ486" s="232"/>
      <c r="AK486" s="232"/>
      <c r="AL486" s="235"/>
      <c r="AM486" s="170"/>
      <c r="AN486" s="170"/>
      <c r="AO486" s="170"/>
      <c r="AP486" s="170"/>
      <c r="AQ486" s="170"/>
      <c r="AR486" s="170"/>
      <c r="AS486" s="170"/>
      <c r="AT486" s="170"/>
      <c r="AU486" s="170"/>
      <c r="AV486" s="170"/>
      <c r="AW486" s="15"/>
      <c r="AX486" s="174" t="s">
        <v>368</v>
      </c>
      <c r="AY486" s="199">
        <v>0.0061</v>
      </c>
      <c r="AZ486" s="199">
        <v>0.0117</v>
      </c>
      <c r="BA486" s="199">
        <v>-0.0119</v>
      </c>
      <c r="BB486" s="188" t="s">
        <v>209</v>
      </c>
      <c r="BC486" s="188" t="s">
        <v>209</v>
      </c>
      <c r="BD486" s="199">
        <v>-0.0118</v>
      </c>
      <c r="BE486" s="199">
        <v>0.0118</v>
      </c>
      <c r="BF486" s="199">
        <v>0.0088</v>
      </c>
      <c r="BG486" s="188" t="s">
        <v>209</v>
      </c>
      <c r="BH486" s="188" t="s">
        <v>209</v>
      </c>
      <c r="BI486" s="188" t="s">
        <v>209</v>
      </c>
      <c r="BJ486" s="188" t="s">
        <v>209</v>
      </c>
      <c r="BK486" s="188" t="s">
        <v>209</v>
      </c>
      <c r="BL486" s="188" t="s">
        <v>209</v>
      </c>
      <c r="BM486" s="188" t="s">
        <v>209</v>
      </c>
      <c r="BN486" s="241"/>
      <c r="BO486" s="241"/>
      <c r="BP486" s="236"/>
      <c r="BQ486" s="236"/>
      <c r="BR486" s="236"/>
      <c r="BS486" s="240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</row>
    <row r="487">
      <c r="A487" s="15"/>
      <c r="B487" s="157" t="s">
        <v>22</v>
      </c>
      <c r="C487" s="213">
        <v>0.0703</v>
      </c>
      <c r="D487" s="213">
        <v>0.1133</v>
      </c>
      <c r="E487" s="213">
        <v>0.014</v>
      </c>
      <c r="F487" s="213">
        <v>0.0935</v>
      </c>
      <c r="G487" s="213">
        <v>0.125</v>
      </c>
      <c r="H487" s="213">
        <v>0.1112</v>
      </c>
      <c r="I487" s="213">
        <v>0.0573</v>
      </c>
      <c r="J487" s="213">
        <v>0.1044</v>
      </c>
      <c r="K487" s="213">
        <v>0.1958</v>
      </c>
      <c r="L487" s="213">
        <v>0.0506</v>
      </c>
      <c r="M487" s="213">
        <v>-0.3214</v>
      </c>
      <c r="N487" s="213">
        <v>2.6303</v>
      </c>
      <c r="O487" s="213">
        <v>0.6952</v>
      </c>
      <c r="P487" s="243" t="s">
        <v>209</v>
      </c>
      <c r="Q487" s="236"/>
      <c r="R487" s="237" t="s">
        <v>377</v>
      </c>
      <c r="S487" s="172">
        <v>-177476.0</v>
      </c>
      <c r="T487" s="172">
        <v>-165413.0</v>
      </c>
      <c r="U487" s="172">
        <v>-105975.0</v>
      </c>
      <c r="V487" s="172">
        <v>-81586.0</v>
      </c>
      <c r="W487" s="172">
        <v>-69124.0</v>
      </c>
      <c r="X487" s="172">
        <v>-88682.0</v>
      </c>
      <c r="Y487" s="172">
        <v>-65178.0</v>
      </c>
      <c r="Z487" s="172">
        <v>-25408.0</v>
      </c>
      <c r="AA487" s="172">
        <v>-27358.0</v>
      </c>
      <c r="AB487" s="172">
        <v>-25624.0</v>
      </c>
      <c r="AC487" s="172">
        <v>-27545.0</v>
      </c>
      <c r="AD487" s="172">
        <v>-25685.0</v>
      </c>
      <c r="AE487" s="172">
        <v>-21079.0</v>
      </c>
      <c r="AF487" s="172">
        <v>40802.0</v>
      </c>
      <c r="AG487" s="232"/>
      <c r="AH487" s="232"/>
      <c r="AI487" s="232"/>
      <c r="AJ487" s="232"/>
      <c r="AK487" s="232"/>
      <c r="AL487" s="235"/>
      <c r="AM487" s="248"/>
      <c r="AN487" s="248"/>
      <c r="AO487" s="248"/>
      <c r="AP487" s="249"/>
      <c r="AQ487" s="249"/>
      <c r="AR487" s="249"/>
      <c r="AS487" s="248"/>
      <c r="AT487" s="249"/>
      <c r="AU487" s="249"/>
      <c r="AV487" s="248"/>
      <c r="AW487" s="15"/>
      <c r="AX487" s="164"/>
      <c r="AY487" s="56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</row>
    <row r="488">
      <c r="A488" s="15"/>
      <c r="B488" s="237" t="s">
        <v>383</v>
      </c>
      <c r="C488" s="172">
        <v>1251.0</v>
      </c>
      <c r="D488" s="172">
        <v>1461.0</v>
      </c>
      <c r="E488" s="172">
        <v>1208.0</v>
      </c>
      <c r="F488" s="172">
        <v>1208.0</v>
      </c>
      <c r="G488" s="172">
        <v>1156.0</v>
      </c>
      <c r="H488" s="172">
        <v>1157.0</v>
      </c>
      <c r="I488" s="172">
        <v>1151.0</v>
      </c>
      <c r="J488" s="172">
        <v>1305.0</v>
      </c>
      <c r="K488" s="172">
        <v>1166.0</v>
      </c>
      <c r="L488" s="172">
        <v>1179.0</v>
      </c>
      <c r="M488" s="172">
        <v>1367.0</v>
      </c>
      <c r="N488" s="172">
        <v>536.03</v>
      </c>
      <c r="O488" s="188">
        <v>256.91</v>
      </c>
      <c r="P488" s="172">
        <v>1468.0</v>
      </c>
      <c r="Q488" s="232"/>
      <c r="R488" s="157" t="s">
        <v>425</v>
      </c>
      <c r="S488" s="243" t="s">
        <v>209</v>
      </c>
      <c r="T488" s="243" t="s">
        <v>209</v>
      </c>
      <c r="U488" s="243" t="s">
        <v>209</v>
      </c>
      <c r="V488" s="243" t="s">
        <v>209</v>
      </c>
      <c r="W488" s="186" t="s">
        <v>209</v>
      </c>
      <c r="X488" s="186" t="s">
        <v>209</v>
      </c>
      <c r="Y488" s="186" t="s">
        <v>209</v>
      </c>
      <c r="Z488" s="186" t="s">
        <v>209</v>
      </c>
      <c r="AA488" s="186" t="s">
        <v>209</v>
      </c>
      <c r="AB488" s="186" t="s">
        <v>209</v>
      </c>
      <c r="AC488" s="186" t="s">
        <v>209</v>
      </c>
      <c r="AD488" s="186" t="s">
        <v>209</v>
      </c>
      <c r="AE488" s="186" t="s">
        <v>209</v>
      </c>
      <c r="AF488" s="186" t="s">
        <v>209</v>
      </c>
      <c r="AG488" s="241"/>
      <c r="AH488" s="241"/>
      <c r="AI488" s="241"/>
      <c r="AJ488" s="232"/>
      <c r="AK488" s="241"/>
      <c r="AL488" s="242"/>
      <c r="AM488" s="249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347"/>
      <c r="AZ488" s="250"/>
      <c r="BA488" s="250"/>
      <c r="BB488" s="251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</row>
    <row r="489">
      <c r="A489" s="15"/>
      <c r="B489" s="237" t="s">
        <v>386</v>
      </c>
      <c r="C489" s="172">
        <v>3717.0</v>
      </c>
      <c r="D489" s="172">
        <v>8203.0</v>
      </c>
      <c r="E489" s="188">
        <v>108.21</v>
      </c>
      <c r="F489" s="172">
        <v>4429.0</v>
      </c>
      <c r="G489" s="172">
        <v>2711.0</v>
      </c>
      <c r="H489" s="172">
        <v>3363.0</v>
      </c>
      <c r="I489" s="172">
        <v>2699.0</v>
      </c>
      <c r="J489" s="172">
        <v>3786.0</v>
      </c>
      <c r="K489" s="172">
        <v>4617.0</v>
      </c>
      <c r="L489" s="188">
        <v>-44.21</v>
      </c>
      <c r="M489" s="172">
        <v>-11874.0</v>
      </c>
      <c r="N489" s="172">
        <v>27943.0</v>
      </c>
      <c r="O489" s="188">
        <v>834.05</v>
      </c>
      <c r="P489" s="172">
        <v>-47237.0</v>
      </c>
      <c r="Q489" s="232"/>
      <c r="R489" s="233" t="s">
        <v>380</v>
      </c>
      <c r="S489" s="172">
        <v>-54.77</v>
      </c>
      <c r="T489" s="172">
        <v>-51.05</v>
      </c>
      <c r="U489" s="172">
        <v>-32.71</v>
      </c>
      <c r="V489" s="172">
        <v>-25.18</v>
      </c>
      <c r="W489" s="172">
        <v>-21.08</v>
      </c>
      <c r="X489" s="172">
        <v>-27.7</v>
      </c>
      <c r="Y489" s="172">
        <v>-20.12</v>
      </c>
      <c r="Z489" s="172">
        <v>-7.84</v>
      </c>
      <c r="AA489" s="172">
        <v>-8.44</v>
      </c>
      <c r="AB489" s="172">
        <v>-7.91</v>
      </c>
      <c r="AC489" s="172">
        <v>-8.5</v>
      </c>
      <c r="AD489" s="172">
        <v>-7.93</v>
      </c>
      <c r="AE489" s="172">
        <v>-6.51</v>
      </c>
      <c r="AF489" s="172">
        <v>12.59</v>
      </c>
      <c r="AG489" s="241"/>
      <c r="AH489" s="241"/>
      <c r="AI489" s="241"/>
      <c r="AJ489" s="241"/>
      <c r="AK489" s="241"/>
      <c r="AL489" s="242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70"/>
      <c r="AZ489" s="170"/>
      <c r="BA489" s="170"/>
      <c r="BB489" s="170"/>
      <c r="BC489" s="170"/>
      <c r="BD489" s="170"/>
      <c r="BE489" s="170"/>
      <c r="BF489" s="170"/>
      <c r="BG489" s="170"/>
      <c r="BH489" s="170"/>
      <c r="BI489" s="170"/>
      <c r="BJ489" s="170"/>
      <c r="BK489" s="170"/>
      <c r="BL489" s="170"/>
      <c r="BM489" s="170"/>
      <c r="BN489" s="170"/>
      <c r="BO489" s="170"/>
      <c r="BP489" s="170"/>
      <c r="BQ489" s="170"/>
      <c r="BR489" s="170"/>
      <c r="BS489" s="170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</row>
    <row r="490">
      <c r="A490" s="15"/>
      <c r="B490" s="157" t="s">
        <v>390</v>
      </c>
      <c r="C490" s="213">
        <v>0.0526</v>
      </c>
      <c r="D490" s="213">
        <v>0.0962</v>
      </c>
      <c r="E490" s="213">
        <v>0.0011</v>
      </c>
      <c r="F490" s="213">
        <v>0.0734</v>
      </c>
      <c r="G490" s="213">
        <v>0.0876</v>
      </c>
      <c r="H490" s="213">
        <v>0.0828</v>
      </c>
      <c r="I490" s="213">
        <v>0.0401</v>
      </c>
      <c r="J490" s="213">
        <v>0.0776</v>
      </c>
      <c r="K490" s="213">
        <v>0.1563</v>
      </c>
      <c r="L490" s="213">
        <v>-0.002</v>
      </c>
      <c r="M490" s="213">
        <v>-0.3632</v>
      </c>
      <c r="N490" s="213">
        <v>2.5808</v>
      </c>
      <c r="O490" s="213">
        <v>0.5315</v>
      </c>
      <c r="P490" s="186" t="s">
        <v>209</v>
      </c>
      <c r="Q490" s="236"/>
      <c r="R490" s="237" t="s">
        <v>384</v>
      </c>
      <c r="S490" s="172">
        <v>3240.0</v>
      </c>
      <c r="T490" s="172">
        <v>3240.0</v>
      </c>
      <c r="U490" s="172">
        <v>3240.0</v>
      </c>
      <c r="V490" s="172">
        <v>3240.0</v>
      </c>
      <c r="W490" s="172">
        <v>3240.0</v>
      </c>
      <c r="X490" s="172">
        <v>3240.0</v>
      </c>
      <c r="Y490" s="172">
        <v>3240.0</v>
      </c>
      <c r="Z490" s="172">
        <v>3240.0</v>
      </c>
      <c r="AA490" s="172">
        <v>3240.0</v>
      </c>
      <c r="AB490" s="172">
        <v>3240.0</v>
      </c>
      <c r="AC490" s="172">
        <v>3240.0</v>
      </c>
      <c r="AD490" s="172">
        <v>3240.0</v>
      </c>
      <c r="AE490" s="172">
        <v>3240.0</v>
      </c>
      <c r="AF490" s="172">
        <v>3240.0</v>
      </c>
      <c r="AG490" s="232"/>
      <c r="AH490" s="232"/>
      <c r="AI490" s="232"/>
      <c r="AJ490" s="232"/>
      <c r="AK490" s="232"/>
      <c r="AL490" s="23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249"/>
      <c r="AZ490" s="250"/>
      <c r="BA490" s="250"/>
      <c r="BB490" s="250"/>
      <c r="BC490" s="250"/>
      <c r="BD490" s="250"/>
      <c r="BE490" s="250"/>
      <c r="BF490" s="250"/>
      <c r="BG490" s="250"/>
      <c r="BH490" s="250"/>
      <c r="BI490" s="250"/>
      <c r="BJ490" s="250"/>
      <c r="BK490" s="250"/>
      <c r="BL490" s="250"/>
      <c r="BM490" s="250"/>
      <c r="BN490" s="250"/>
      <c r="BO490" s="250"/>
      <c r="BP490" s="250"/>
      <c r="BQ490" s="250"/>
      <c r="BR490" s="250"/>
      <c r="BS490" s="251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</row>
    <row r="491">
      <c r="A491" s="15"/>
      <c r="B491" s="174" t="s">
        <v>394</v>
      </c>
      <c r="C491" s="188" t="s">
        <v>209</v>
      </c>
      <c r="D491" s="199">
        <v>0.2193</v>
      </c>
      <c r="E491" s="199">
        <v>0.5599</v>
      </c>
      <c r="F491" s="199">
        <v>0.2199</v>
      </c>
      <c r="G491" s="199">
        <v>0.2835</v>
      </c>
      <c r="H491" s="199">
        <v>0.1763</v>
      </c>
      <c r="I491" s="199">
        <v>1.547</v>
      </c>
      <c r="J491" s="199">
        <v>0.2196</v>
      </c>
      <c r="K491" s="199">
        <v>0.2199</v>
      </c>
      <c r="L491" s="188" t="s">
        <v>209</v>
      </c>
      <c r="M491" s="199">
        <v>0.1635</v>
      </c>
      <c r="N491" s="188" t="s">
        <v>209</v>
      </c>
      <c r="O491" s="188" t="s">
        <v>209</v>
      </c>
      <c r="P491" s="188" t="s">
        <v>209</v>
      </c>
      <c r="Q491" s="241"/>
      <c r="R491" s="237" t="s">
        <v>387</v>
      </c>
      <c r="S491" s="172">
        <v>3240.0</v>
      </c>
      <c r="T491" s="172">
        <v>3240.0</v>
      </c>
      <c r="U491" s="172">
        <v>3240.0</v>
      </c>
      <c r="V491" s="172">
        <v>3240.0</v>
      </c>
      <c r="W491" s="172">
        <v>3240.0</v>
      </c>
      <c r="X491" s="172">
        <v>3240.0</v>
      </c>
      <c r="Y491" s="172">
        <v>3240.0</v>
      </c>
      <c r="Z491" s="172">
        <v>3240.0</v>
      </c>
      <c r="AA491" s="172">
        <v>3240.0</v>
      </c>
      <c r="AB491" s="172">
        <v>3240.0</v>
      </c>
      <c r="AC491" s="172">
        <v>3240.0</v>
      </c>
      <c r="AD491" s="172">
        <v>3240.0</v>
      </c>
      <c r="AE491" s="172">
        <v>3240.0</v>
      </c>
      <c r="AF491" s="172">
        <v>3240.0</v>
      </c>
      <c r="AG491" s="232"/>
      <c r="AH491" s="232"/>
      <c r="AI491" s="232"/>
      <c r="AJ491" s="232"/>
      <c r="AK491" s="232"/>
      <c r="AL491" s="23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250"/>
      <c r="AX491" s="164"/>
      <c r="AY491" s="248"/>
      <c r="AZ491" s="170"/>
      <c r="BA491" s="170"/>
      <c r="BB491" s="170"/>
      <c r="BC491" s="170"/>
      <c r="BD491" s="170"/>
      <c r="BE491" s="170"/>
      <c r="BF491" s="170"/>
      <c r="BG491" s="170"/>
      <c r="BH491" s="170"/>
      <c r="BI491" s="170"/>
      <c r="BJ491" s="170"/>
      <c r="BK491" s="170"/>
      <c r="BL491" s="170"/>
      <c r="BM491" s="170"/>
      <c r="BN491" s="170"/>
      <c r="BO491" s="170"/>
      <c r="BP491" s="170"/>
      <c r="BQ491" s="170"/>
      <c r="BR491" s="170"/>
      <c r="BS491" s="170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249"/>
      <c r="R492" s="237" t="s">
        <v>391</v>
      </c>
      <c r="S492" s="172">
        <v>154776.0</v>
      </c>
      <c r="T492" s="172">
        <v>152837.0</v>
      </c>
      <c r="U492" s="172">
        <v>150075.0</v>
      </c>
      <c r="V492" s="172">
        <v>148634.0</v>
      </c>
      <c r="W492" s="172">
        <v>154913.0</v>
      </c>
      <c r="X492" s="172">
        <v>154177.0</v>
      </c>
      <c r="Y492" s="172">
        <v>152532.0</v>
      </c>
      <c r="Z492" s="172">
        <v>150007.0</v>
      </c>
      <c r="AA492" s="172">
        <v>158909.0</v>
      </c>
      <c r="AB492" s="172">
        <v>154040.0</v>
      </c>
      <c r="AC492" s="172">
        <v>155715.0</v>
      </c>
      <c r="AD492" s="172">
        <v>39778.0</v>
      </c>
      <c r="AE492" s="172">
        <v>67579.0</v>
      </c>
      <c r="AF492" s="172">
        <v>142289.0</v>
      </c>
      <c r="AG492" s="232"/>
      <c r="AH492" s="232"/>
      <c r="AI492" s="232"/>
      <c r="AJ492" s="232"/>
      <c r="AK492" s="232"/>
      <c r="AL492" s="23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70"/>
      <c r="AX492" s="164"/>
      <c r="AY492" s="248"/>
      <c r="AZ492" s="248"/>
      <c r="BA492" s="249"/>
      <c r="BB492" s="249"/>
      <c r="BC492" s="249"/>
      <c r="BD492" s="249"/>
      <c r="BE492" s="249"/>
      <c r="BF492" s="249"/>
      <c r="BG492" s="249"/>
      <c r="BH492" s="249"/>
      <c r="BI492" s="249"/>
      <c r="BJ492" s="249"/>
      <c r="BK492" s="249"/>
      <c r="BL492" s="249"/>
      <c r="BM492" s="249"/>
      <c r="BN492" s="249"/>
      <c r="BO492" s="249"/>
      <c r="BP492" s="249"/>
      <c r="BQ492" s="249"/>
      <c r="BR492" s="249"/>
      <c r="BS492" s="246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237" t="s">
        <v>395</v>
      </c>
      <c r="S493" s="188">
        <v>74.42</v>
      </c>
      <c r="T493" s="188">
        <v>74.26</v>
      </c>
      <c r="U493" s="188">
        <v>73.77</v>
      </c>
      <c r="V493" s="188">
        <v>73.72</v>
      </c>
      <c r="W493" s="188">
        <v>72.9</v>
      </c>
      <c r="X493" s="188">
        <v>73.0</v>
      </c>
      <c r="Y493" s="188">
        <v>72.71</v>
      </c>
      <c r="Z493" s="188">
        <v>72.77</v>
      </c>
      <c r="AA493" s="188">
        <v>72.06</v>
      </c>
      <c r="AB493" s="188">
        <v>71.13</v>
      </c>
      <c r="AC493" s="188">
        <v>71.73</v>
      </c>
      <c r="AD493" s="188">
        <v>60.45</v>
      </c>
      <c r="AE493" s="188">
        <v>60.11</v>
      </c>
      <c r="AF493" s="188">
        <v>60.64</v>
      </c>
      <c r="AG493" s="232"/>
      <c r="AH493" s="241"/>
      <c r="AI493" s="241"/>
      <c r="AJ493" s="241"/>
      <c r="AK493" s="241"/>
      <c r="AL493" s="242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249"/>
      <c r="AX493" s="164"/>
      <c r="AY493" s="249"/>
      <c r="AZ493" s="249"/>
      <c r="BA493" s="248"/>
      <c r="BB493" s="248"/>
      <c r="BC493" s="249"/>
      <c r="BD493" s="249"/>
      <c r="BE493" s="249"/>
      <c r="BF493" s="249"/>
      <c r="BG493" s="249"/>
      <c r="BH493" s="249"/>
      <c r="BI493" s="249"/>
      <c r="BJ493" s="249"/>
      <c r="BK493" s="249"/>
      <c r="BL493" s="249"/>
      <c r="BM493" s="249"/>
      <c r="BN493" s="249"/>
      <c r="BO493" s="249"/>
      <c r="BP493" s="249"/>
      <c r="BQ493" s="249"/>
      <c r="BR493" s="249"/>
      <c r="BS493" s="246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</row>
    <row r="494">
      <c r="A494" s="15"/>
      <c r="B494" s="15"/>
      <c r="C494" s="197">
        <f t="shared" ref="C494:P494" si="106">C456/C453</f>
        <v>0.2066945015</v>
      </c>
      <c r="D494" s="197">
        <f t="shared" si="106"/>
        <v>0.24534941</v>
      </c>
      <c r="E494" s="197">
        <f t="shared" si="106"/>
        <v>0.2047535886</v>
      </c>
      <c r="F494" s="197">
        <f t="shared" si="106"/>
        <v>0.2746004907</v>
      </c>
      <c r="G494" s="197">
        <f t="shared" si="106"/>
        <v>0.2560289649</v>
      </c>
      <c r="H494" s="197">
        <f t="shared" si="106"/>
        <v>0.2583368198</v>
      </c>
      <c r="I494" s="197">
        <f t="shared" si="106"/>
        <v>0.2387793343</v>
      </c>
      <c r="J494" s="197">
        <f t="shared" si="106"/>
        <v>0.254114657</v>
      </c>
      <c r="K494" s="197">
        <f t="shared" si="106"/>
        <v>0.2475542466</v>
      </c>
      <c r="L494" s="197">
        <f t="shared" si="106"/>
        <v>0.2428348563</v>
      </c>
      <c r="M494" s="197">
        <f t="shared" si="106"/>
        <v>0.04349821052</v>
      </c>
      <c r="N494" s="197">
        <f t="shared" si="106"/>
        <v>1.7680798</v>
      </c>
      <c r="O494" s="197">
        <f t="shared" si="106"/>
        <v>4.559592097</v>
      </c>
      <c r="P494" s="197">
        <f t="shared" si="106"/>
        <v>-3.619391582</v>
      </c>
      <c r="Q494" s="15"/>
      <c r="R494" s="237" t="s">
        <v>398</v>
      </c>
      <c r="S494" s="172">
        <v>241131.0</v>
      </c>
      <c r="T494" s="172">
        <v>240626.0</v>
      </c>
      <c r="U494" s="172">
        <v>239027.0</v>
      </c>
      <c r="V494" s="172">
        <v>238875.0</v>
      </c>
      <c r="W494" s="172">
        <v>236214.0</v>
      </c>
      <c r="X494" s="172">
        <v>236539.0</v>
      </c>
      <c r="Y494" s="172">
        <v>235598.0</v>
      </c>
      <c r="Z494" s="172">
        <v>235799.0</v>
      </c>
      <c r="AA494" s="172">
        <v>233494.0</v>
      </c>
      <c r="AB494" s="172">
        <v>230479.0</v>
      </c>
      <c r="AC494" s="172">
        <v>232435.0</v>
      </c>
      <c r="AD494" s="172">
        <v>195856.0</v>
      </c>
      <c r="AE494" s="172">
        <v>194759.0</v>
      </c>
      <c r="AF494" s="172">
        <v>196474.0</v>
      </c>
      <c r="AG494" s="232"/>
      <c r="AH494" s="232"/>
      <c r="AI494" s="232"/>
      <c r="AJ494" s="232"/>
      <c r="AK494" s="232"/>
      <c r="AL494" s="23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249"/>
      <c r="AZ494" s="248"/>
      <c r="BA494" s="249"/>
      <c r="BB494" s="249"/>
      <c r="BC494" s="249"/>
      <c r="BD494" s="249"/>
      <c r="BE494" s="249"/>
      <c r="BF494" s="249"/>
      <c r="BG494" s="249"/>
      <c r="BH494" s="249"/>
      <c r="BI494" s="249"/>
      <c r="BJ494" s="249"/>
      <c r="BK494" s="249"/>
      <c r="BL494" s="249"/>
      <c r="BM494" s="249"/>
      <c r="BN494" s="249"/>
      <c r="BO494" s="249"/>
      <c r="BP494" s="249"/>
      <c r="BQ494" s="249"/>
      <c r="BR494" s="249"/>
      <c r="BS494" s="246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</row>
    <row r="495">
      <c r="A495" s="15"/>
      <c r="B495" s="15"/>
      <c r="C495" s="197">
        <f t="shared" ref="C495:P495" si="107">C460/C453</f>
        <v>0.05260774184</v>
      </c>
      <c r="D495" s="197">
        <f t="shared" si="107"/>
        <v>0.09621384504</v>
      </c>
      <c r="E495" s="197">
        <f t="shared" si="107"/>
        <v>0.001152297994</v>
      </c>
      <c r="F495" s="197">
        <f t="shared" si="107"/>
        <v>0.0734201976</v>
      </c>
      <c r="G495" s="197">
        <f t="shared" si="107"/>
        <v>0.08763819745</v>
      </c>
      <c r="H495" s="197">
        <f t="shared" si="107"/>
        <v>0.08276524008</v>
      </c>
      <c r="I495" s="197">
        <f t="shared" si="107"/>
        <v>0.04013860385</v>
      </c>
      <c r="J495" s="197">
        <f t="shared" si="107"/>
        <v>0.07759945889</v>
      </c>
      <c r="K495" s="197">
        <f t="shared" si="107"/>
        <v>0.1562912562</v>
      </c>
      <c r="L495" s="197">
        <f t="shared" si="107"/>
        <v>-0.00197058168</v>
      </c>
      <c r="M495" s="197">
        <f t="shared" si="107"/>
        <v>-0.3632192347</v>
      </c>
      <c r="N495" s="197">
        <f t="shared" si="107"/>
        <v>2.580862658</v>
      </c>
      <c r="O495" s="197">
        <f t="shared" si="107"/>
        <v>0.5315806246</v>
      </c>
      <c r="P495" s="197">
        <f t="shared" si="107"/>
        <v>-6.561605779</v>
      </c>
      <c r="Q495" s="15"/>
      <c r="R495" s="237" t="s">
        <v>400</v>
      </c>
      <c r="S495" s="188">
        <v>74.42</v>
      </c>
      <c r="T495" s="188">
        <v>74.26</v>
      </c>
      <c r="U495" s="188">
        <v>73.77</v>
      </c>
      <c r="V495" s="188">
        <v>73.72</v>
      </c>
      <c r="W495" s="188">
        <v>72.9</v>
      </c>
      <c r="X495" s="188">
        <v>73.0</v>
      </c>
      <c r="Y495" s="188">
        <v>72.71</v>
      </c>
      <c r="Z495" s="188">
        <v>72.77</v>
      </c>
      <c r="AA495" s="188">
        <v>72.06</v>
      </c>
      <c r="AB495" s="188">
        <v>71.13</v>
      </c>
      <c r="AC495" s="188">
        <v>71.73</v>
      </c>
      <c r="AD495" s="188">
        <v>60.45</v>
      </c>
      <c r="AE495" s="188">
        <v>60.11</v>
      </c>
      <c r="AF495" s="188">
        <v>60.64</v>
      </c>
      <c r="AG495" s="241"/>
      <c r="AH495" s="241"/>
      <c r="AI495" s="241"/>
      <c r="AJ495" s="241"/>
      <c r="AK495" s="241"/>
      <c r="AL495" s="242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249"/>
      <c r="AZ495" s="248"/>
      <c r="BA495" s="248"/>
      <c r="BB495" s="248"/>
      <c r="BC495" s="249"/>
      <c r="BD495" s="249"/>
      <c r="BE495" s="249"/>
      <c r="BF495" s="249"/>
      <c r="BG495" s="249"/>
      <c r="BH495" s="249"/>
      <c r="BI495" s="249"/>
      <c r="BJ495" s="249"/>
      <c r="BK495" s="249"/>
      <c r="BL495" s="249"/>
      <c r="BM495" s="249"/>
      <c r="BN495" s="249"/>
      <c r="BO495" s="249"/>
      <c r="BP495" s="249"/>
      <c r="BQ495" s="249"/>
      <c r="BR495" s="249"/>
      <c r="BS495" s="246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</row>
    <row r="496">
      <c r="A496" s="15"/>
      <c r="B496" s="15"/>
      <c r="C496" s="197">
        <f t="shared" ref="C496:P496" si="108">C469/C453</f>
        <v>0.00720090581</v>
      </c>
      <c r="D496" s="197">
        <f t="shared" si="108"/>
        <v>0.01880175467</v>
      </c>
      <c r="E496" s="197">
        <f t="shared" si="108"/>
        <v>0.003198875495</v>
      </c>
      <c r="F496" s="197">
        <f t="shared" si="108"/>
        <v>0.0433824017</v>
      </c>
      <c r="G496" s="197">
        <f t="shared" si="108"/>
        <v>0.01699456908</v>
      </c>
      <c r="H496" s="197">
        <f t="shared" si="108"/>
        <v>0.02206482416</v>
      </c>
      <c r="I496" s="197">
        <f t="shared" si="108"/>
        <v>-0.005727967639</v>
      </c>
      <c r="J496" s="197">
        <f t="shared" si="108"/>
        <v>0.04730574515</v>
      </c>
      <c r="K496" s="197">
        <f t="shared" si="108"/>
        <v>0.1020953928</v>
      </c>
      <c r="L496" s="197">
        <f t="shared" si="108"/>
        <v>-0.08709605527</v>
      </c>
      <c r="M496" s="197">
        <f t="shared" si="108"/>
        <v>1.006546144</v>
      </c>
      <c r="N496" s="197">
        <f t="shared" si="108"/>
        <v>0.4102706197</v>
      </c>
      <c r="O496" s="197">
        <f t="shared" si="108"/>
        <v>0.08135117909</v>
      </c>
      <c r="P496" s="197">
        <f t="shared" si="108"/>
        <v>3.147659397</v>
      </c>
      <c r="Q496" s="15"/>
      <c r="R496" s="237" t="s">
        <v>403</v>
      </c>
      <c r="S496" s="172">
        <v>15340.0</v>
      </c>
      <c r="T496" s="172">
        <v>15340.0</v>
      </c>
      <c r="U496" s="172">
        <v>15340.0</v>
      </c>
      <c r="V496" s="172">
        <v>15340.0</v>
      </c>
      <c r="W496" s="172">
        <v>15340.0</v>
      </c>
      <c r="X496" s="172">
        <v>15340.0</v>
      </c>
      <c r="Y496" s="172">
        <v>15340.0</v>
      </c>
      <c r="Z496" s="172">
        <v>15340.0</v>
      </c>
      <c r="AA496" s="172">
        <v>15340.0</v>
      </c>
      <c r="AB496" s="172">
        <v>15340.0</v>
      </c>
      <c r="AC496" s="172">
        <v>15340.0</v>
      </c>
      <c r="AD496" s="172">
        <v>11451.0</v>
      </c>
      <c r="AE496" s="172">
        <v>11451.0</v>
      </c>
      <c r="AF496" s="172">
        <v>9115.0</v>
      </c>
      <c r="AG496" s="232"/>
      <c r="AH496" s="232"/>
      <c r="AI496" s="232"/>
      <c r="AJ496" s="232"/>
      <c r="AK496" s="232"/>
      <c r="AL496" s="23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249"/>
      <c r="AZ496" s="248"/>
      <c r="BA496" s="248"/>
      <c r="BB496" s="254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237" t="s">
        <v>406</v>
      </c>
      <c r="S497" s="172">
        <v>39661.0</v>
      </c>
      <c r="T497" s="172">
        <v>39661.0</v>
      </c>
      <c r="U497" s="172">
        <v>39661.0</v>
      </c>
      <c r="V497" s="172">
        <v>39661.0</v>
      </c>
      <c r="W497" s="172">
        <v>39661.0</v>
      </c>
      <c r="X497" s="172">
        <v>39661.0</v>
      </c>
      <c r="Y497" s="172">
        <v>39661.0</v>
      </c>
      <c r="Z497" s="172">
        <v>39661.0</v>
      </c>
      <c r="AA497" s="172">
        <v>27224.0</v>
      </c>
      <c r="AB497" s="172">
        <v>27224.0</v>
      </c>
      <c r="AC497" s="172">
        <v>27224.0</v>
      </c>
      <c r="AD497" s="172">
        <v>17516.0</v>
      </c>
      <c r="AE497" s="172">
        <v>17516.0</v>
      </c>
      <c r="AF497" s="188">
        <v>4.89</v>
      </c>
      <c r="AG497" s="232"/>
      <c r="AH497" s="232"/>
      <c r="AI497" s="232"/>
      <c r="AJ497" s="232"/>
      <c r="AK497" s="232"/>
      <c r="AL497" s="23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348"/>
      <c r="AZ497" s="249"/>
      <c r="BA497" s="249"/>
      <c r="BB497" s="246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237" t="s">
        <v>408</v>
      </c>
      <c r="S498" s="172">
        <v>50838.0</v>
      </c>
      <c r="T498" s="172">
        <v>50838.0</v>
      </c>
      <c r="U498" s="172">
        <v>50600.0</v>
      </c>
      <c r="V498" s="172">
        <v>49795.0</v>
      </c>
      <c r="W498" s="172">
        <v>39645.0</v>
      </c>
      <c r="X498" s="172">
        <v>39390.0</v>
      </c>
      <c r="Y498" s="172">
        <v>39390.0</v>
      </c>
      <c r="Z498" s="172">
        <v>39390.0</v>
      </c>
      <c r="AA498" s="172">
        <v>38586.0</v>
      </c>
      <c r="AB498" s="172">
        <v>38586.0</v>
      </c>
      <c r="AC498" s="172">
        <v>40176.0</v>
      </c>
      <c r="AD498" s="172">
        <v>16189.0</v>
      </c>
      <c r="AE498" s="172">
        <v>16157.0</v>
      </c>
      <c r="AF498" s="172">
        <v>3616.0</v>
      </c>
      <c r="AG498" s="232"/>
      <c r="AH498" s="232"/>
      <c r="AI498" s="232"/>
      <c r="AJ498" s="232"/>
      <c r="AK498" s="232"/>
      <c r="AL498" s="23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252"/>
      <c r="AZ498" s="248"/>
      <c r="BA498" s="249"/>
      <c r="BB498" s="246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237" t="s">
        <v>409</v>
      </c>
      <c r="S499" s="188" t="s">
        <v>209</v>
      </c>
      <c r="T499" s="188" t="s">
        <v>209</v>
      </c>
      <c r="U499" s="188" t="s">
        <v>209</v>
      </c>
      <c r="V499" s="188" t="s">
        <v>209</v>
      </c>
      <c r="W499" s="188" t="s">
        <v>209</v>
      </c>
      <c r="X499" s="188" t="s">
        <v>209</v>
      </c>
      <c r="Y499" s="188" t="s">
        <v>209</v>
      </c>
      <c r="Z499" s="188" t="s">
        <v>209</v>
      </c>
      <c r="AA499" s="188" t="s">
        <v>209</v>
      </c>
      <c r="AB499" s="188" t="s">
        <v>209</v>
      </c>
      <c r="AC499" s="188" t="s">
        <v>209</v>
      </c>
      <c r="AD499" s="172">
        <v>76142.0</v>
      </c>
      <c r="AE499" s="172">
        <v>48855.0</v>
      </c>
      <c r="AF499" s="172">
        <v>48842.0</v>
      </c>
      <c r="AG499" s="232"/>
      <c r="AH499" s="241"/>
      <c r="AI499" s="241"/>
      <c r="AJ499" s="241"/>
      <c r="AK499" s="241"/>
      <c r="AL499" s="242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250"/>
      <c r="AX499" s="15"/>
      <c r="AY499" s="252"/>
      <c r="AZ499" s="248"/>
      <c r="BA499" s="248"/>
      <c r="BB499" s="254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249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70"/>
      <c r="AX500" s="164"/>
      <c r="AY500" s="252"/>
      <c r="AZ500" s="15"/>
      <c r="BA500" s="56"/>
      <c r="BB500" s="56"/>
      <c r="BC500" s="56"/>
      <c r="BD500" s="56"/>
      <c r="BE500" s="56"/>
      <c r="BF500" s="56"/>
      <c r="BG500" s="56"/>
      <c r="BH500" s="56"/>
      <c r="BI500" s="56"/>
      <c r="BJ500" s="56"/>
      <c r="BK500" s="56"/>
      <c r="BL500" s="56"/>
      <c r="BM500" s="56"/>
      <c r="BN500" s="56"/>
      <c r="BO500" s="56"/>
      <c r="BP500" s="56"/>
      <c r="BQ500" s="56"/>
      <c r="BR500" s="56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248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248"/>
      <c r="AX501" s="164"/>
      <c r="AY501" s="252"/>
      <c r="AZ501" s="164"/>
      <c r="BA501" s="56"/>
      <c r="BB501" s="56"/>
      <c r="BC501" s="56"/>
      <c r="BD501" s="56"/>
      <c r="BE501" s="56"/>
      <c r="BF501" s="56"/>
      <c r="BG501" s="56"/>
      <c r="BH501" s="56"/>
      <c r="BI501" s="56"/>
      <c r="BJ501" s="56"/>
      <c r="BK501" s="56"/>
      <c r="BL501" s="56"/>
      <c r="BM501" s="56"/>
      <c r="BN501" s="56"/>
      <c r="BO501" s="56"/>
      <c r="BP501" s="56"/>
      <c r="BQ501" s="56"/>
      <c r="BR501" s="56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249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249"/>
      <c r="AX502" s="15"/>
      <c r="AY502" s="252"/>
      <c r="AZ502" s="347"/>
      <c r="BA502" s="347"/>
      <c r="BB502" s="347"/>
      <c r="BC502" s="347"/>
      <c r="BD502" s="347"/>
      <c r="BE502" s="347"/>
      <c r="BF502" s="347"/>
      <c r="BG502" s="347"/>
      <c r="BH502" s="347"/>
      <c r="BI502" s="347"/>
      <c r="BJ502" s="347"/>
      <c r="BK502" s="347"/>
      <c r="BL502" s="347"/>
      <c r="BM502" s="347"/>
      <c r="BN502" s="347"/>
      <c r="BO502" s="347"/>
      <c r="BP502" s="347"/>
      <c r="BQ502" s="347"/>
      <c r="BR502" s="347"/>
      <c r="BS502" s="251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248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252"/>
      <c r="AX503" s="15"/>
      <c r="AY503" s="252"/>
      <c r="AZ503" s="170"/>
      <c r="BA503" s="170"/>
      <c r="BB503" s="170"/>
      <c r="BC503" s="170"/>
      <c r="BD503" s="170"/>
      <c r="BE503" s="170"/>
      <c r="BF503" s="170"/>
      <c r="BG503" s="170"/>
      <c r="BH503" s="170"/>
      <c r="BI503" s="170"/>
      <c r="BJ503" s="170"/>
      <c r="BK503" s="170"/>
      <c r="BL503" s="170"/>
      <c r="BM503" s="170"/>
      <c r="BN503" s="170"/>
      <c r="BO503" s="170"/>
      <c r="BP503" s="170"/>
      <c r="BQ503" s="170"/>
      <c r="BR503" s="170"/>
      <c r="BS503" s="170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248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249"/>
      <c r="AX504" s="15"/>
      <c r="AY504" s="249"/>
      <c r="AZ504" s="249"/>
      <c r="BA504" s="249"/>
      <c r="BB504" s="249"/>
      <c r="BC504" s="249"/>
      <c r="BD504" s="249"/>
      <c r="BE504" s="249"/>
      <c r="BF504" s="249"/>
      <c r="BG504" s="249"/>
      <c r="BH504" s="249"/>
      <c r="BI504" s="249"/>
      <c r="BJ504" s="249"/>
      <c r="BK504" s="249"/>
      <c r="BL504" s="249"/>
      <c r="BM504" s="249"/>
      <c r="BN504" s="249"/>
      <c r="BO504" s="249"/>
      <c r="BP504" s="249"/>
      <c r="BQ504" s="249"/>
      <c r="BR504" s="249"/>
      <c r="BS504" s="246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248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248"/>
      <c r="AX505" s="164"/>
      <c r="AY505" s="248"/>
      <c r="AZ505" s="248"/>
      <c r="BA505" s="248"/>
      <c r="BB505" s="248"/>
      <c r="BC505" s="249"/>
      <c r="BD505" s="249"/>
      <c r="BE505" s="249"/>
      <c r="BF505" s="249"/>
      <c r="BG505" s="249"/>
      <c r="BH505" s="249"/>
      <c r="BI505" s="249"/>
      <c r="BJ505" s="249"/>
      <c r="BK505" s="249"/>
      <c r="BL505" s="249"/>
      <c r="BM505" s="249"/>
      <c r="BN505" s="249"/>
      <c r="BO505" s="249"/>
      <c r="BP505" s="249"/>
      <c r="BQ505" s="249"/>
      <c r="BR505" s="249"/>
      <c r="BS505" s="246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249"/>
      <c r="T506" s="249"/>
      <c r="U506" s="249"/>
      <c r="V506" s="249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248"/>
      <c r="AX506" s="164"/>
      <c r="AY506" s="248"/>
      <c r="AZ506" s="248"/>
      <c r="BA506" s="248"/>
      <c r="BB506" s="248"/>
      <c r="BC506" s="249"/>
      <c r="BD506" s="249"/>
      <c r="BE506" s="249"/>
      <c r="BF506" s="249"/>
      <c r="BG506" s="249"/>
      <c r="BH506" s="249"/>
      <c r="BI506" s="249"/>
      <c r="BJ506" s="249"/>
      <c r="BK506" s="249"/>
      <c r="BL506" s="249"/>
      <c r="BM506" s="249"/>
      <c r="BN506" s="249"/>
      <c r="BO506" s="249"/>
      <c r="BP506" s="249"/>
      <c r="BQ506" s="249"/>
      <c r="BR506" s="249"/>
      <c r="BS506" s="246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64"/>
      <c r="AX507" s="15"/>
      <c r="AY507" s="15"/>
      <c r="AZ507" s="248"/>
      <c r="BA507" s="248"/>
      <c r="BB507" s="248"/>
      <c r="BC507" s="249"/>
      <c r="BD507" s="249"/>
      <c r="BE507" s="249"/>
      <c r="BF507" s="249"/>
      <c r="BG507" s="249"/>
      <c r="BH507" s="249"/>
      <c r="BI507" s="249"/>
      <c r="BJ507" s="249"/>
      <c r="BK507" s="249"/>
      <c r="BL507" s="249"/>
      <c r="BM507" s="249"/>
      <c r="BN507" s="249"/>
      <c r="BO507" s="249"/>
      <c r="BP507" s="249"/>
      <c r="BQ507" s="249"/>
      <c r="BR507" s="249"/>
      <c r="BS507" s="246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64"/>
      <c r="AX508" s="15"/>
      <c r="AY508" s="15"/>
      <c r="AZ508" s="164"/>
      <c r="BA508" s="164"/>
      <c r="BB508" s="164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250"/>
      <c r="BA512" s="250"/>
      <c r="BB512" s="250"/>
      <c r="BC512" s="250"/>
      <c r="BD512" s="250"/>
      <c r="BE512" s="250"/>
      <c r="BF512" s="250"/>
      <c r="BG512" s="250"/>
      <c r="BH512" s="250"/>
      <c r="BI512" s="250"/>
      <c r="BJ512" s="250"/>
      <c r="BK512" s="250"/>
      <c r="BL512" s="250"/>
      <c r="BM512" s="250"/>
      <c r="BN512" s="250"/>
      <c r="BO512" s="250"/>
      <c r="BP512" s="250"/>
      <c r="BQ512" s="250"/>
      <c r="BR512" s="250"/>
      <c r="BS512" s="251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70"/>
      <c r="BA513" s="170"/>
      <c r="BB513" s="170"/>
      <c r="BC513" s="170"/>
      <c r="BD513" s="170"/>
      <c r="BE513" s="170"/>
      <c r="BF513" s="170"/>
      <c r="BG513" s="170"/>
      <c r="BH513" s="170"/>
      <c r="BI513" s="170"/>
      <c r="BJ513" s="170"/>
      <c r="BK513" s="170"/>
      <c r="BL513" s="170"/>
      <c r="BM513" s="170"/>
      <c r="BN513" s="170"/>
      <c r="BO513" s="170"/>
      <c r="BP513" s="170"/>
      <c r="BQ513" s="170"/>
      <c r="BR513" s="170"/>
      <c r="BS513" s="170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250"/>
      <c r="AX514" s="15"/>
      <c r="AY514" s="15"/>
      <c r="AZ514" s="252"/>
      <c r="BA514" s="252"/>
      <c r="BB514" s="252"/>
      <c r="BC514" s="252"/>
      <c r="BD514" s="252"/>
      <c r="BE514" s="252"/>
      <c r="BF514" s="252"/>
      <c r="BG514" s="252"/>
      <c r="BH514" s="252"/>
      <c r="BI514" s="252"/>
      <c r="BJ514" s="252"/>
      <c r="BK514" s="252"/>
      <c r="BL514" s="252"/>
      <c r="BM514" s="252"/>
      <c r="BN514" s="252"/>
      <c r="BO514" s="252"/>
      <c r="BP514" s="252"/>
      <c r="BQ514" s="252"/>
      <c r="BR514" s="252"/>
      <c r="BS514" s="253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70"/>
      <c r="AX515" s="15"/>
      <c r="AY515" s="15"/>
      <c r="AZ515" s="252"/>
      <c r="BA515" s="252"/>
      <c r="BB515" s="252"/>
      <c r="BC515" s="252"/>
      <c r="BD515" s="252"/>
      <c r="BE515" s="252"/>
      <c r="BF515" s="252"/>
      <c r="BG515" s="252"/>
      <c r="BH515" s="252"/>
      <c r="BI515" s="252"/>
      <c r="BJ515" s="252"/>
      <c r="BK515" s="252"/>
      <c r="BL515" s="252"/>
      <c r="BM515" s="252"/>
      <c r="BN515" s="252"/>
      <c r="BO515" s="252"/>
      <c r="BP515" s="252"/>
      <c r="BQ515" s="252"/>
      <c r="BR515" s="252"/>
      <c r="BS515" s="253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248"/>
      <c r="AX516" s="15"/>
      <c r="AY516" s="15"/>
      <c r="AZ516" s="248"/>
      <c r="BA516" s="248"/>
      <c r="BB516" s="248"/>
      <c r="BC516" s="249"/>
      <c r="BD516" s="249"/>
      <c r="BE516" s="249"/>
      <c r="BF516" s="252"/>
      <c r="BG516" s="249"/>
      <c r="BH516" s="249"/>
      <c r="BI516" s="249"/>
      <c r="BJ516" s="249"/>
      <c r="BK516" s="249"/>
      <c r="BL516" s="249"/>
      <c r="BM516" s="249"/>
      <c r="BN516" s="249"/>
      <c r="BO516" s="249"/>
      <c r="BP516" s="249"/>
      <c r="BQ516" s="249"/>
      <c r="BR516" s="249"/>
      <c r="BS516" s="246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249"/>
      <c r="BA517" s="249"/>
      <c r="BB517" s="252"/>
      <c r="BC517" s="249"/>
      <c r="BD517" s="249"/>
      <c r="BE517" s="249"/>
      <c r="BF517" s="249"/>
      <c r="BG517" s="249"/>
      <c r="BH517" s="249"/>
      <c r="BI517" s="249"/>
      <c r="BJ517" s="249"/>
      <c r="BK517" s="249"/>
      <c r="BL517" s="249"/>
      <c r="BM517" s="249"/>
      <c r="BN517" s="249"/>
      <c r="BO517" s="249"/>
      <c r="BP517" s="249"/>
      <c r="BQ517" s="249"/>
      <c r="BR517" s="249"/>
      <c r="BS517" s="246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252"/>
      <c r="BA518" s="252"/>
      <c r="BB518" s="249"/>
      <c r="BC518" s="249"/>
      <c r="BD518" s="252"/>
      <c r="BE518" s="252"/>
      <c r="BF518" s="249"/>
      <c r="BG518" s="249"/>
      <c r="BH518" s="249"/>
      <c r="BI518" s="249"/>
      <c r="BJ518" s="249"/>
      <c r="BK518" s="249"/>
      <c r="BL518" s="249"/>
      <c r="BM518" s="249"/>
      <c r="BN518" s="249"/>
      <c r="BO518" s="249"/>
      <c r="BP518" s="252"/>
      <c r="BQ518" s="252"/>
      <c r="BR518" s="252"/>
      <c r="BS518" s="253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64"/>
      <c r="AJ519" s="15"/>
      <c r="AK519" s="164"/>
      <c r="AL519" s="164"/>
      <c r="AM519" s="164"/>
      <c r="AN519" s="164"/>
      <c r="AO519" s="164"/>
      <c r="AP519" s="164"/>
      <c r="AQ519" s="164"/>
      <c r="AR519" s="164"/>
      <c r="AS519" s="164"/>
      <c r="AT519" s="164"/>
      <c r="AU519" s="164"/>
      <c r="AV519" s="164"/>
      <c r="AW519" s="164"/>
      <c r="AX519" s="15"/>
      <c r="AY519" s="15"/>
      <c r="AZ519" s="164"/>
      <c r="BA519" s="164"/>
      <c r="BB519" s="164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64"/>
      <c r="AJ520" s="15"/>
      <c r="AK520" s="164"/>
      <c r="AL520" s="164"/>
      <c r="AM520" s="164"/>
      <c r="AN520" s="164"/>
      <c r="AO520" s="164"/>
      <c r="AP520" s="164"/>
      <c r="AQ520" s="164"/>
      <c r="AR520" s="164"/>
      <c r="AS520" s="164"/>
      <c r="AT520" s="164"/>
      <c r="AU520" s="164"/>
      <c r="AV520" s="164"/>
      <c r="AW520" s="164"/>
      <c r="AX520" s="15"/>
      <c r="AY520" s="15"/>
      <c r="AZ520" s="164"/>
      <c r="BA520" s="164"/>
      <c r="BB520" s="164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64"/>
      <c r="AJ521" s="15"/>
      <c r="AK521" s="164"/>
      <c r="AL521" s="164"/>
      <c r="AM521" s="164"/>
      <c r="AN521" s="164"/>
      <c r="AO521" s="164"/>
      <c r="AP521" s="164"/>
      <c r="AQ521" s="164"/>
      <c r="AR521" s="164"/>
      <c r="AS521" s="164"/>
      <c r="AT521" s="164"/>
      <c r="AU521" s="164"/>
      <c r="AV521" s="164"/>
      <c r="AW521" s="164"/>
      <c r="AX521" s="15"/>
      <c r="AY521" s="15"/>
      <c r="AZ521" s="164"/>
      <c r="BA521" s="164"/>
      <c r="BB521" s="164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64"/>
      <c r="AJ522" s="15"/>
      <c r="AK522" s="164"/>
      <c r="AL522" s="164"/>
      <c r="AM522" s="164"/>
      <c r="AN522" s="164"/>
      <c r="AO522" s="164"/>
      <c r="AP522" s="164"/>
      <c r="AQ522" s="164"/>
      <c r="AR522" s="164"/>
      <c r="AS522" s="164"/>
      <c r="AT522" s="164"/>
      <c r="AU522" s="164"/>
      <c r="AV522" s="164"/>
      <c r="AW522" s="164"/>
      <c r="AX522" s="15"/>
      <c r="AY522" s="15"/>
      <c r="AZ522" s="164"/>
      <c r="BA522" s="164"/>
      <c r="BB522" s="164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64"/>
      <c r="AJ523" s="15"/>
      <c r="AK523" s="164"/>
      <c r="AL523" s="164"/>
      <c r="AM523" s="164"/>
      <c r="AN523" s="164"/>
      <c r="AO523" s="164"/>
      <c r="AP523" s="164"/>
      <c r="AQ523" s="164"/>
      <c r="AR523" s="164"/>
      <c r="AS523" s="164"/>
      <c r="AT523" s="164"/>
      <c r="AU523" s="164"/>
      <c r="AV523" s="164"/>
      <c r="AW523" s="164"/>
      <c r="AX523" s="15"/>
      <c r="AY523" s="15"/>
      <c r="AZ523" s="164"/>
      <c r="BA523" s="164"/>
      <c r="BB523" s="164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64"/>
      <c r="AJ524" s="15"/>
      <c r="AK524" s="164"/>
      <c r="AL524" s="164"/>
      <c r="AM524" s="164"/>
      <c r="AN524" s="164"/>
      <c r="AO524" s="164"/>
      <c r="AP524" s="164"/>
      <c r="AQ524" s="164"/>
      <c r="AR524" s="164"/>
      <c r="AS524" s="164"/>
      <c r="AT524" s="164"/>
      <c r="AU524" s="164"/>
      <c r="AV524" s="164"/>
      <c r="AW524" s="164"/>
      <c r="AX524" s="15"/>
      <c r="AY524" s="15"/>
      <c r="AZ524" s="164"/>
      <c r="BA524" s="164"/>
      <c r="BB524" s="164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64"/>
      <c r="AJ525" s="15"/>
      <c r="AK525" s="164"/>
      <c r="AL525" s="164"/>
      <c r="AM525" s="164"/>
      <c r="AN525" s="164"/>
      <c r="AO525" s="164"/>
      <c r="AP525" s="164"/>
      <c r="AQ525" s="164"/>
      <c r="AR525" s="164"/>
      <c r="AS525" s="164"/>
      <c r="AT525" s="164"/>
      <c r="AU525" s="164"/>
      <c r="AV525" s="164"/>
      <c r="AW525" s="164"/>
      <c r="AX525" s="15"/>
      <c r="AY525" s="15"/>
      <c r="AZ525" s="164"/>
      <c r="BA525" s="164"/>
      <c r="BB525" s="164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64"/>
      <c r="AJ526" s="15"/>
      <c r="AK526" s="164"/>
      <c r="AL526" s="164"/>
      <c r="AM526" s="164"/>
      <c r="AN526" s="164"/>
      <c r="AO526" s="164"/>
      <c r="AP526" s="164"/>
      <c r="AQ526" s="164"/>
      <c r="AR526" s="164"/>
      <c r="AS526" s="164"/>
      <c r="AT526" s="164"/>
      <c r="AU526" s="164"/>
      <c r="AV526" s="164"/>
      <c r="AW526" s="164"/>
      <c r="AX526" s="15"/>
      <c r="AY526" s="15"/>
      <c r="AZ526" s="164"/>
      <c r="BA526" s="164"/>
      <c r="BB526" s="164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64"/>
      <c r="AJ527" s="15"/>
      <c r="AK527" s="164"/>
      <c r="AL527" s="164"/>
      <c r="AM527" s="164"/>
      <c r="AN527" s="164"/>
      <c r="AO527" s="164"/>
      <c r="AP527" s="164"/>
      <c r="AQ527" s="164"/>
      <c r="AR527" s="164"/>
      <c r="AS527" s="164"/>
      <c r="AT527" s="164"/>
      <c r="AU527" s="164"/>
      <c r="AV527" s="164"/>
      <c r="AW527" s="164"/>
      <c r="AX527" s="15"/>
      <c r="AY527" s="15"/>
      <c r="AZ527" s="164"/>
      <c r="BA527" s="164"/>
      <c r="BB527" s="164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60"/>
      <c r="S528" s="165"/>
      <c r="T528" s="165"/>
      <c r="U528" s="165"/>
      <c r="V528" s="16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60"/>
      <c r="AI528" s="175"/>
      <c r="AJ528" s="165"/>
      <c r="AK528" s="175"/>
      <c r="AL528" s="175"/>
      <c r="AM528" s="175"/>
      <c r="AN528" s="175"/>
      <c r="AO528" s="175"/>
      <c r="AP528" s="175"/>
      <c r="AQ528" s="175"/>
      <c r="AR528" s="175"/>
      <c r="AS528" s="175"/>
      <c r="AT528" s="175"/>
      <c r="AU528" s="175"/>
      <c r="AV528" s="175"/>
      <c r="AW528" s="175"/>
      <c r="AX528" s="15"/>
      <c r="AY528" s="15"/>
      <c r="AZ528" s="175"/>
      <c r="BA528" s="175"/>
      <c r="BB528" s="17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60"/>
      <c r="S529" s="165"/>
      <c r="T529" s="165"/>
      <c r="U529" s="165"/>
      <c r="V529" s="16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60"/>
      <c r="AI529" s="175"/>
      <c r="AJ529" s="165"/>
      <c r="AK529" s="175"/>
      <c r="AL529" s="175"/>
      <c r="AM529" s="175"/>
      <c r="AN529" s="175"/>
      <c r="AO529" s="175"/>
      <c r="AP529" s="175"/>
      <c r="AQ529" s="175"/>
      <c r="AR529" s="175"/>
      <c r="AS529" s="175"/>
      <c r="AT529" s="175"/>
      <c r="AU529" s="175"/>
      <c r="AV529" s="175"/>
      <c r="AW529" s="175"/>
      <c r="AX529" s="15"/>
      <c r="AY529" s="15"/>
      <c r="AZ529" s="175"/>
      <c r="BA529" s="175"/>
      <c r="BB529" s="17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60"/>
      <c r="S530" s="165"/>
      <c r="T530" s="165"/>
      <c r="U530" s="165"/>
      <c r="V530" s="16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60"/>
      <c r="AI530" s="175"/>
      <c r="AJ530" s="165"/>
      <c r="AK530" s="175"/>
      <c r="AL530" s="175"/>
      <c r="AM530" s="175"/>
      <c r="AN530" s="175"/>
      <c r="AO530" s="175"/>
      <c r="AP530" s="175"/>
      <c r="AQ530" s="175"/>
      <c r="AR530" s="175"/>
      <c r="AS530" s="175"/>
      <c r="AT530" s="175"/>
      <c r="AU530" s="175"/>
      <c r="AV530" s="175"/>
      <c r="AW530" s="175"/>
      <c r="AX530" s="15"/>
      <c r="AY530" s="15"/>
      <c r="AZ530" s="175"/>
      <c r="BA530" s="175"/>
      <c r="BB530" s="17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60"/>
      <c r="S531" s="165"/>
      <c r="T531" s="165"/>
      <c r="U531" s="165"/>
      <c r="V531" s="16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60"/>
      <c r="AI531" s="175"/>
      <c r="AJ531" s="165"/>
      <c r="AK531" s="175"/>
      <c r="AL531" s="175"/>
      <c r="AM531" s="175"/>
      <c r="AN531" s="175"/>
      <c r="AO531" s="175"/>
      <c r="AP531" s="175"/>
      <c r="AQ531" s="175"/>
      <c r="AR531" s="175"/>
      <c r="AS531" s="175"/>
      <c r="AT531" s="175"/>
      <c r="AU531" s="175"/>
      <c r="AV531" s="175"/>
      <c r="AW531" s="175"/>
      <c r="AX531" s="15"/>
      <c r="AY531" s="15"/>
      <c r="AZ531" s="175"/>
      <c r="BA531" s="175"/>
      <c r="BB531" s="17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60"/>
      <c r="S532" s="165"/>
      <c r="T532" s="165"/>
      <c r="U532" s="165"/>
      <c r="V532" s="16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60"/>
      <c r="AI532" s="175"/>
      <c r="AJ532" s="165"/>
      <c r="AK532" s="175"/>
      <c r="AL532" s="175"/>
      <c r="AM532" s="175"/>
      <c r="AN532" s="175"/>
      <c r="AO532" s="175"/>
      <c r="AP532" s="175"/>
      <c r="AQ532" s="175"/>
      <c r="AR532" s="175"/>
      <c r="AS532" s="175"/>
      <c r="AT532" s="175"/>
      <c r="AU532" s="175"/>
      <c r="AV532" s="175"/>
      <c r="AW532" s="175"/>
      <c r="AX532" s="15"/>
      <c r="AY532" s="15"/>
      <c r="AZ532" s="175"/>
      <c r="BA532" s="175"/>
      <c r="BB532" s="17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60"/>
      <c r="S533" s="165"/>
      <c r="T533" s="165"/>
      <c r="U533" s="165"/>
      <c r="V533" s="16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60"/>
      <c r="AI533" s="175"/>
      <c r="AJ533" s="165"/>
      <c r="AK533" s="175"/>
      <c r="AL533" s="175"/>
      <c r="AM533" s="175"/>
      <c r="AN533" s="175"/>
      <c r="AO533" s="175"/>
      <c r="AP533" s="175"/>
      <c r="AQ533" s="175"/>
      <c r="AR533" s="175"/>
      <c r="AS533" s="175"/>
      <c r="AT533" s="175"/>
      <c r="AU533" s="175"/>
      <c r="AV533" s="175"/>
      <c r="AW533" s="175"/>
      <c r="AX533" s="15"/>
      <c r="AY533" s="15"/>
      <c r="AZ533" s="175"/>
      <c r="BA533" s="175"/>
      <c r="BB533" s="17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60"/>
      <c r="S534" s="165"/>
      <c r="T534" s="165"/>
      <c r="U534" s="165"/>
      <c r="V534" s="16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60"/>
      <c r="AI534" s="175"/>
      <c r="AJ534" s="165"/>
      <c r="AK534" s="175"/>
      <c r="AL534" s="175"/>
      <c r="AM534" s="175"/>
      <c r="AN534" s="175"/>
      <c r="AO534" s="175"/>
      <c r="AP534" s="175"/>
      <c r="AQ534" s="175"/>
      <c r="AR534" s="175"/>
      <c r="AS534" s="175"/>
      <c r="AT534" s="175"/>
      <c r="AU534" s="175"/>
      <c r="AV534" s="175"/>
      <c r="AW534" s="175"/>
      <c r="AX534" s="15"/>
      <c r="AY534" s="15"/>
      <c r="AZ534" s="175"/>
      <c r="BA534" s="175"/>
      <c r="BB534" s="17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60"/>
      <c r="S535" s="165"/>
      <c r="T535" s="165"/>
      <c r="U535" s="165"/>
      <c r="V535" s="16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60"/>
      <c r="AI535" s="175"/>
      <c r="AJ535" s="165"/>
      <c r="AK535" s="175"/>
      <c r="AL535" s="175"/>
      <c r="AM535" s="175"/>
      <c r="AN535" s="175"/>
      <c r="AO535" s="175"/>
      <c r="AP535" s="175"/>
      <c r="AQ535" s="175"/>
      <c r="AR535" s="175"/>
      <c r="AS535" s="175"/>
      <c r="AT535" s="175"/>
      <c r="AU535" s="175"/>
      <c r="AV535" s="175"/>
      <c r="AW535" s="175"/>
      <c r="AX535" s="15"/>
      <c r="AY535" s="15"/>
      <c r="AZ535" s="175"/>
      <c r="BA535" s="175"/>
      <c r="BB535" s="17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60"/>
      <c r="S536" s="165"/>
      <c r="T536" s="165"/>
      <c r="U536" s="165"/>
      <c r="V536" s="16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60"/>
      <c r="AI536" s="175"/>
      <c r="AJ536" s="165"/>
      <c r="AK536" s="175"/>
      <c r="AL536" s="175"/>
      <c r="AM536" s="175"/>
      <c r="AN536" s="175"/>
      <c r="AO536" s="175"/>
      <c r="AP536" s="175"/>
      <c r="AQ536" s="175"/>
      <c r="AR536" s="175"/>
      <c r="AS536" s="175"/>
      <c r="AT536" s="175"/>
      <c r="AU536" s="175"/>
      <c r="AV536" s="175"/>
      <c r="AW536" s="175"/>
      <c r="AX536" s="15"/>
      <c r="AY536" s="15"/>
      <c r="AZ536" s="175"/>
      <c r="BA536" s="175"/>
      <c r="BB536" s="17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60"/>
      <c r="S537" s="165"/>
      <c r="T537" s="165"/>
      <c r="U537" s="165"/>
      <c r="V537" s="16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60"/>
      <c r="AI537" s="175"/>
      <c r="AJ537" s="165"/>
      <c r="AK537" s="175"/>
      <c r="AL537" s="175"/>
      <c r="AM537" s="175"/>
      <c r="AN537" s="175"/>
      <c r="AO537" s="175"/>
      <c r="AP537" s="175"/>
      <c r="AQ537" s="175"/>
      <c r="AR537" s="175"/>
      <c r="AS537" s="175"/>
      <c r="AT537" s="175"/>
      <c r="AU537" s="175"/>
      <c r="AV537" s="175"/>
      <c r="AW537" s="175"/>
      <c r="AX537" s="15"/>
      <c r="AY537" s="15"/>
      <c r="AZ537" s="175"/>
      <c r="BA537" s="175"/>
      <c r="BB537" s="17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60"/>
      <c r="S538" s="165"/>
      <c r="T538" s="165"/>
      <c r="U538" s="165"/>
      <c r="V538" s="16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60"/>
      <c r="AI538" s="175"/>
      <c r="AJ538" s="165"/>
      <c r="AK538" s="175"/>
      <c r="AL538" s="175"/>
      <c r="AM538" s="175"/>
      <c r="AN538" s="175"/>
      <c r="AO538" s="175"/>
      <c r="AP538" s="175"/>
      <c r="AQ538" s="175"/>
      <c r="AR538" s="175"/>
      <c r="AS538" s="175"/>
      <c r="AT538" s="175"/>
      <c r="AU538" s="175"/>
      <c r="AV538" s="175"/>
      <c r="AW538" s="175"/>
      <c r="AX538" s="15"/>
      <c r="AY538" s="15"/>
      <c r="AZ538" s="175"/>
      <c r="BA538" s="175"/>
      <c r="BB538" s="17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60"/>
      <c r="S539" s="165"/>
      <c r="T539" s="165"/>
      <c r="U539" s="165"/>
      <c r="V539" s="16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60"/>
      <c r="AI539" s="175"/>
      <c r="AJ539" s="165"/>
      <c r="AK539" s="175"/>
      <c r="AL539" s="175"/>
      <c r="AM539" s="175"/>
      <c r="AN539" s="175"/>
      <c r="AO539" s="175"/>
      <c r="AP539" s="175"/>
      <c r="AQ539" s="175"/>
      <c r="AR539" s="175"/>
      <c r="AS539" s="175"/>
      <c r="AT539" s="175"/>
      <c r="AU539" s="175"/>
      <c r="AV539" s="175"/>
      <c r="AW539" s="175"/>
      <c r="AX539" s="15"/>
      <c r="AY539" s="15"/>
      <c r="AZ539" s="175"/>
      <c r="BA539" s="175"/>
      <c r="BB539" s="17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60"/>
      <c r="S540" s="165"/>
      <c r="T540" s="165"/>
      <c r="U540" s="165"/>
      <c r="V540" s="16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60"/>
      <c r="AI540" s="175"/>
      <c r="AJ540" s="165"/>
      <c r="AK540" s="175"/>
      <c r="AL540" s="175"/>
      <c r="AM540" s="175"/>
      <c r="AN540" s="175"/>
      <c r="AO540" s="175"/>
      <c r="AP540" s="175"/>
      <c r="AQ540" s="175"/>
      <c r="AR540" s="175"/>
      <c r="AS540" s="175"/>
      <c r="AT540" s="175"/>
      <c r="AU540" s="175"/>
      <c r="AV540" s="175"/>
      <c r="AW540" s="175"/>
      <c r="AX540" s="15"/>
      <c r="AY540" s="15"/>
      <c r="AZ540" s="175"/>
      <c r="BA540" s="175"/>
      <c r="BB540" s="17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60"/>
      <c r="S541" s="165"/>
      <c r="T541" s="165"/>
      <c r="U541" s="165"/>
      <c r="V541" s="16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60"/>
      <c r="AI541" s="175"/>
      <c r="AJ541" s="165"/>
      <c r="AK541" s="175"/>
      <c r="AL541" s="175"/>
      <c r="AM541" s="175"/>
      <c r="AN541" s="175"/>
      <c r="AO541" s="175"/>
      <c r="AP541" s="175"/>
      <c r="AQ541" s="175"/>
      <c r="AR541" s="175"/>
      <c r="AS541" s="175"/>
      <c r="AT541" s="175"/>
      <c r="AU541" s="175"/>
      <c r="AV541" s="175"/>
      <c r="AW541" s="175"/>
      <c r="AX541" s="15"/>
      <c r="AY541" s="15"/>
      <c r="AZ541" s="175"/>
      <c r="BA541" s="175"/>
      <c r="BB541" s="17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60"/>
      <c r="S542" s="165"/>
      <c r="T542" s="165"/>
      <c r="U542" s="165"/>
      <c r="V542" s="16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60"/>
      <c r="AI542" s="175"/>
      <c r="AJ542" s="165"/>
      <c r="AK542" s="175"/>
      <c r="AL542" s="175"/>
      <c r="AM542" s="175"/>
      <c r="AN542" s="175"/>
      <c r="AO542" s="175"/>
      <c r="AP542" s="175"/>
      <c r="AQ542" s="175"/>
      <c r="AR542" s="175"/>
      <c r="AS542" s="175"/>
      <c r="AT542" s="175"/>
      <c r="AU542" s="175"/>
      <c r="AV542" s="175"/>
      <c r="AW542" s="175"/>
      <c r="AX542" s="15"/>
      <c r="AY542" s="15"/>
      <c r="AZ542" s="175"/>
      <c r="BA542" s="175"/>
      <c r="BB542" s="17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60"/>
      <c r="S543" s="165"/>
      <c r="T543" s="165"/>
      <c r="U543" s="165"/>
      <c r="V543" s="16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60"/>
      <c r="AI543" s="175"/>
      <c r="AJ543" s="165"/>
      <c r="AK543" s="175"/>
      <c r="AL543" s="175"/>
      <c r="AM543" s="175"/>
      <c r="AN543" s="175"/>
      <c r="AO543" s="175"/>
      <c r="AP543" s="175"/>
      <c r="AQ543" s="175"/>
      <c r="AR543" s="175"/>
      <c r="AS543" s="175"/>
      <c r="AT543" s="175"/>
      <c r="AU543" s="175"/>
      <c r="AV543" s="175"/>
      <c r="AW543" s="175"/>
      <c r="AX543" s="15"/>
      <c r="AY543" s="15"/>
      <c r="AZ543" s="175"/>
      <c r="BA543" s="175"/>
      <c r="BB543" s="17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60"/>
      <c r="S544" s="165"/>
      <c r="T544" s="165"/>
      <c r="U544" s="165"/>
      <c r="V544" s="16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60"/>
      <c r="AI544" s="175"/>
      <c r="AJ544" s="165"/>
      <c r="AK544" s="175"/>
      <c r="AL544" s="175"/>
      <c r="AM544" s="175"/>
      <c r="AN544" s="175"/>
      <c r="AO544" s="175"/>
      <c r="AP544" s="175"/>
      <c r="AQ544" s="175"/>
      <c r="AR544" s="175"/>
      <c r="AS544" s="175"/>
      <c r="AT544" s="175"/>
      <c r="AU544" s="175"/>
      <c r="AV544" s="175"/>
      <c r="AW544" s="175"/>
      <c r="AX544" s="15"/>
      <c r="AY544" s="15"/>
      <c r="AZ544" s="175"/>
      <c r="BA544" s="175"/>
      <c r="BB544" s="17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60"/>
      <c r="S545" s="165"/>
      <c r="T545" s="165"/>
      <c r="U545" s="165"/>
      <c r="V545" s="16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60"/>
      <c r="AI545" s="175"/>
      <c r="AJ545" s="165"/>
      <c r="AK545" s="175"/>
      <c r="AL545" s="175"/>
      <c r="AM545" s="175"/>
      <c r="AN545" s="175"/>
      <c r="AO545" s="175"/>
      <c r="AP545" s="175"/>
      <c r="AQ545" s="175"/>
      <c r="AR545" s="175"/>
      <c r="AS545" s="175"/>
      <c r="AT545" s="175"/>
      <c r="AU545" s="175"/>
      <c r="AV545" s="175"/>
      <c r="AW545" s="175"/>
      <c r="AX545" s="15"/>
      <c r="AY545" s="15"/>
      <c r="AZ545" s="175"/>
      <c r="BA545" s="175"/>
      <c r="BB545" s="17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60"/>
      <c r="S546" s="165"/>
      <c r="T546" s="165"/>
      <c r="U546" s="165"/>
      <c r="V546" s="16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60"/>
      <c r="AI546" s="175"/>
      <c r="AJ546" s="165"/>
      <c r="AK546" s="175"/>
      <c r="AL546" s="175"/>
      <c r="AM546" s="175"/>
      <c r="AN546" s="175"/>
      <c r="AO546" s="175"/>
      <c r="AP546" s="175"/>
      <c r="AQ546" s="175"/>
      <c r="AR546" s="175"/>
      <c r="AS546" s="175"/>
      <c r="AT546" s="175"/>
      <c r="AU546" s="175"/>
      <c r="AV546" s="175"/>
      <c r="AW546" s="175"/>
      <c r="AX546" s="15"/>
      <c r="AY546" s="15"/>
      <c r="AZ546" s="175"/>
      <c r="BA546" s="175"/>
      <c r="BB546" s="17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60"/>
      <c r="S547" s="165"/>
      <c r="T547" s="165"/>
      <c r="U547" s="165"/>
      <c r="V547" s="16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60"/>
      <c r="AI547" s="175"/>
      <c r="AJ547" s="165"/>
      <c r="AK547" s="175"/>
      <c r="AL547" s="175"/>
      <c r="AM547" s="175"/>
      <c r="AN547" s="175"/>
      <c r="AO547" s="175"/>
      <c r="AP547" s="175"/>
      <c r="AQ547" s="175"/>
      <c r="AR547" s="175"/>
      <c r="AS547" s="175"/>
      <c r="AT547" s="175"/>
      <c r="AU547" s="175"/>
      <c r="AV547" s="175"/>
      <c r="AW547" s="175"/>
      <c r="AX547" s="15"/>
      <c r="AY547" s="15"/>
      <c r="AZ547" s="175"/>
      <c r="BA547" s="175"/>
      <c r="BB547" s="17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60"/>
      <c r="S548" s="165"/>
      <c r="T548" s="165"/>
      <c r="U548" s="165"/>
      <c r="V548" s="16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60"/>
      <c r="AI548" s="175"/>
      <c r="AJ548" s="165"/>
      <c r="AK548" s="175"/>
      <c r="AL548" s="175"/>
      <c r="AM548" s="175"/>
      <c r="AN548" s="175"/>
      <c r="AO548" s="175"/>
      <c r="AP548" s="175"/>
      <c r="AQ548" s="175"/>
      <c r="AR548" s="175"/>
      <c r="AS548" s="175"/>
      <c r="AT548" s="175"/>
      <c r="AU548" s="175"/>
      <c r="AV548" s="175"/>
      <c r="AW548" s="175"/>
      <c r="AX548" s="15"/>
      <c r="AY548" s="15"/>
      <c r="AZ548" s="175"/>
      <c r="BA548" s="175"/>
      <c r="BB548" s="17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60"/>
      <c r="S549" s="165"/>
      <c r="T549" s="165"/>
      <c r="U549" s="165"/>
      <c r="V549" s="16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60"/>
      <c r="AI549" s="175"/>
      <c r="AJ549" s="165"/>
      <c r="AK549" s="175"/>
      <c r="AL549" s="175"/>
      <c r="AM549" s="175"/>
      <c r="AN549" s="175"/>
      <c r="AO549" s="175"/>
      <c r="AP549" s="175"/>
      <c r="AQ549" s="175"/>
      <c r="AR549" s="175"/>
      <c r="AS549" s="175"/>
      <c r="AT549" s="175"/>
      <c r="AU549" s="175"/>
      <c r="AV549" s="175"/>
      <c r="AW549" s="175"/>
      <c r="AX549" s="15"/>
      <c r="AY549" s="15"/>
      <c r="AZ549" s="175"/>
      <c r="BA549" s="175"/>
      <c r="BB549" s="17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60"/>
      <c r="S550" s="165"/>
      <c r="T550" s="165"/>
      <c r="U550" s="165"/>
      <c r="V550" s="16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60"/>
      <c r="AI550" s="175"/>
      <c r="AJ550" s="165"/>
      <c r="AK550" s="175"/>
      <c r="AL550" s="175"/>
      <c r="AM550" s="175"/>
      <c r="AN550" s="175"/>
      <c r="AO550" s="175"/>
      <c r="AP550" s="175"/>
      <c r="AQ550" s="175"/>
      <c r="AR550" s="175"/>
      <c r="AS550" s="175"/>
      <c r="AT550" s="175"/>
      <c r="AU550" s="175"/>
      <c r="AV550" s="175"/>
      <c r="AW550" s="175"/>
      <c r="AX550" s="15"/>
      <c r="AY550" s="15"/>
      <c r="AZ550" s="175"/>
      <c r="BA550" s="175"/>
      <c r="BB550" s="17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60"/>
      <c r="S551" s="165"/>
      <c r="T551" s="165"/>
      <c r="U551" s="165"/>
      <c r="V551" s="16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60"/>
      <c r="AI551" s="175"/>
      <c r="AJ551" s="165"/>
      <c r="AK551" s="175"/>
      <c r="AL551" s="175"/>
      <c r="AM551" s="175"/>
      <c r="AN551" s="175"/>
      <c r="AO551" s="175"/>
      <c r="AP551" s="175"/>
      <c r="AQ551" s="175"/>
      <c r="AR551" s="175"/>
      <c r="AS551" s="175"/>
      <c r="AT551" s="175"/>
      <c r="AU551" s="175"/>
      <c r="AV551" s="175"/>
      <c r="AW551" s="175"/>
      <c r="AX551" s="15"/>
      <c r="AY551" s="15"/>
      <c r="AZ551" s="175"/>
      <c r="BA551" s="175"/>
      <c r="BB551" s="17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60"/>
      <c r="S552" s="165"/>
      <c r="T552" s="165"/>
      <c r="U552" s="165"/>
      <c r="V552" s="16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60"/>
      <c r="AI552" s="175"/>
      <c r="AJ552" s="165"/>
      <c r="AK552" s="175"/>
      <c r="AL552" s="175"/>
      <c r="AM552" s="175"/>
      <c r="AN552" s="175"/>
      <c r="AO552" s="175"/>
      <c r="AP552" s="175"/>
      <c r="AQ552" s="175"/>
      <c r="AR552" s="175"/>
      <c r="AS552" s="175"/>
      <c r="AT552" s="175"/>
      <c r="AU552" s="175"/>
      <c r="AV552" s="175"/>
      <c r="AW552" s="175"/>
      <c r="AX552" s="15"/>
      <c r="AY552" s="15"/>
      <c r="AZ552" s="175"/>
      <c r="BA552" s="175"/>
      <c r="BB552" s="17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60"/>
      <c r="S553" s="165"/>
      <c r="T553" s="165"/>
      <c r="U553" s="165"/>
      <c r="V553" s="16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60"/>
      <c r="AI553" s="175"/>
      <c r="AJ553" s="165"/>
      <c r="AK553" s="175"/>
      <c r="AL553" s="175"/>
      <c r="AM553" s="175"/>
      <c r="AN553" s="175"/>
      <c r="AO553" s="175"/>
      <c r="AP553" s="175"/>
      <c r="AQ553" s="175"/>
      <c r="AR553" s="175"/>
      <c r="AS553" s="175"/>
      <c r="AT553" s="175"/>
      <c r="AU553" s="175"/>
      <c r="AV553" s="175"/>
      <c r="AW553" s="175"/>
      <c r="AX553" s="15"/>
      <c r="AY553" s="15"/>
      <c r="AZ553" s="175"/>
      <c r="BA553" s="175"/>
      <c r="BB553" s="17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60"/>
      <c r="S554" s="165"/>
      <c r="T554" s="165"/>
      <c r="U554" s="165"/>
      <c r="V554" s="16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60"/>
      <c r="AI554" s="175"/>
      <c r="AJ554" s="165"/>
      <c r="AK554" s="175"/>
      <c r="AL554" s="175"/>
      <c r="AM554" s="175"/>
      <c r="AN554" s="175"/>
      <c r="AO554" s="175"/>
      <c r="AP554" s="175"/>
      <c r="AQ554" s="175"/>
      <c r="AR554" s="175"/>
      <c r="AS554" s="175"/>
      <c r="AT554" s="175"/>
      <c r="AU554" s="175"/>
      <c r="AV554" s="175"/>
      <c r="AW554" s="175"/>
      <c r="AX554" s="15"/>
      <c r="AY554" s="15"/>
      <c r="AZ554" s="175"/>
      <c r="BA554" s="175"/>
      <c r="BB554" s="17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60"/>
      <c r="S555" s="165"/>
      <c r="T555" s="165"/>
      <c r="U555" s="165"/>
      <c r="V555" s="16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60"/>
      <c r="AI555" s="175"/>
      <c r="AJ555" s="165"/>
      <c r="AK555" s="175"/>
      <c r="AL555" s="175"/>
      <c r="AM555" s="175"/>
      <c r="AN555" s="175"/>
      <c r="AO555" s="175"/>
      <c r="AP555" s="175"/>
      <c r="AQ555" s="175"/>
      <c r="AR555" s="175"/>
      <c r="AS555" s="175"/>
      <c r="AT555" s="175"/>
      <c r="AU555" s="175"/>
      <c r="AV555" s="175"/>
      <c r="AW555" s="175"/>
      <c r="AX555" s="15"/>
      <c r="AY555" s="15"/>
      <c r="AZ555" s="175"/>
      <c r="BA555" s="175"/>
      <c r="BB555" s="17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60"/>
      <c r="S556" s="165"/>
      <c r="T556" s="165"/>
      <c r="U556" s="165"/>
      <c r="V556" s="16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60"/>
      <c r="AI556" s="175"/>
      <c r="AJ556" s="165"/>
      <c r="AK556" s="175"/>
      <c r="AL556" s="175"/>
      <c r="AM556" s="175"/>
      <c r="AN556" s="175"/>
      <c r="AO556" s="175"/>
      <c r="AP556" s="175"/>
      <c r="AQ556" s="175"/>
      <c r="AR556" s="175"/>
      <c r="AS556" s="175"/>
      <c r="AT556" s="175"/>
      <c r="AU556" s="175"/>
      <c r="AV556" s="175"/>
      <c r="AW556" s="175"/>
      <c r="AX556" s="15"/>
      <c r="AY556" s="15"/>
      <c r="AZ556" s="175"/>
      <c r="BA556" s="175"/>
      <c r="BB556" s="17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60"/>
      <c r="S557" s="165"/>
      <c r="T557" s="165"/>
      <c r="U557" s="165"/>
      <c r="V557" s="16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60"/>
      <c r="AI557" s="175"/>
      <c r="AJ557" s="165"/>
      <c r="AK557" s="175"/>
      <c r="AL557" s="175"/>
      <c r="AM557" s="175"/>
      <c r="AN557" s="175"/>
      <c r="AO557" s="175"/>
      <c r="AP557" s="175"/>
      <c r="AQ557" s="175"/>
      <c r="AR557" s="175"/>
      <c r="AS557" s="175"/>
      <c r="AT557" s="175"/>
      <c r="AU557" s="175"/>
      <c r="AV557" s="175"/>
      <c r="AW557" s="175"/>
      <c r="AX557" s="15"/>
      <c r="AY557" s="15"/>
      <c r="AZ557" s="175"/>
      <c r="BA557" s="175"/>
      <c r="BB557" s="17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60"/>
      <c r="S558" s="165"/>
      <c r="T558" s="165"/>
      <c r="U558" s="165"/>
      <c r="V558" s="16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60"/>
      <c r="AI558" s="175"/>
      <c r="AJ558" s="165"/>
      <c r="AK558" s="175"/>
      <c r="AL558" s="175"/>
      <c r="AM558" s="175"/>
      <c r="AN558" s="175"/>
      <c r="AO558" s="175"/>
      <c r="AP558" s="175"/>
      <c r="AQ558" s="175"/>
      <c r="AR558" s="175"/>
      <c r="AS558" s="175"/>
      <c r="AT558" s="175"/>
      <c r="AU558" s="175"/>
      <c r="AV558" s="175"/>
      <c r="AW558" s="175"/>
      <c r="AX558" s="15"/>
      <c r="AY558" s="15"/>
      <c r="AZ558" s="175"/>
      <c r="BA558" s="175"/>
      <c r="BB558" s="17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60"/>
      <c r="S559" s="165"/>
      <c r="T559" s="165"/>
      <c r="U559" s="165"/>
      <c r="V559" s="16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60"/>
      <c r="AI559" s="175"/>
      <c r="AJ559" s="165"/>
      <c r="AK559" s="175"/>
      <c r="AL559" s="175"/>
      <c r="AM559" s="175"/>
      <c r="AN559" s="175"/>
      <c r="AO559" s="175"/>
      <c r="AP559" s="175"/>
      <c r="AQ559" s="175"/>
      <c r="AR559" s="175"/>
      <c r="AS559" s="175"/>
      <c r="AT559" s="175"/>
      <c r="AU559" s="175"/>
      <c r="AV559" s="175"/>
      <c r="AW559" s="175"/>
      <c r="AX559" s="15"/>
      <c r="AY559" s="15"/>
      <c r="AZ559" s="175"/>
      <c r="BA559" s="175"/>
      <c r="BB559" s="17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60"/>
      <c r="S560" s="165"/>
      <c r="T560" s="165"/>
      <c r="U560" s="165"/>
      <c r="V560" s="16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60"/>
      <c r="AI560" s="175"/>
      <c r="AJ560" s="165"/>
      <c r="AK560" s="175"/>
      <c r="AL560" s="175"/>
      <c r="AM560" s="175"/>
      <c r="AN560" s="175"/>
      <c r="AO560" s="175"/>
      <c r="AP560" s="175"/>
      <c r="AQ560" s="175"/>
      <c r="AR560" s="175"/>
      <c r="AS560" s="175"/>
      <c r="AT560" s="175"/>
      <c r="AU560" s="175"/>
      <c r="AV560" s="175"/>
      <c r="AW560" s="175"/>
      <c r="AX560" s="15"/>
      <c r="AY560" s="15"/>
      <c r="AZ560" s="175"/>
      <c r="BA560" s="175"/>
      <c r="BB560" s="17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60"/>
      <c r="S561" s="165"/>
      <c r="T561" s="165"/>
      <c r="U561" s="165"/>
      <c r="V561" s="16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60"/>
      <c r="AI561" s="175"/>
      <c r="AJ561" s="165"/>
      <c r="AK561" s="175"/>
      <c r="AL561" s="175"/>
      <c r="AM561" s="175"/>
      <c r="AN561" s="175"/>
      <c r="AO561" s="175"/>
      <c r="AP561" s="175"/>
      <c r="AQ561" s="175"/>
      <c r="AR561" s="175"/>
      <c r="AS561" s="175"/>
      <c r="AT561" s="175"/>
      <c r="AU561" s="175"/>
      <c r="AV561" s="175"/>
      <c r="AW561" s="175"/>
      <c r="AX561" s="15"/>
      <c r="AY561" s="15"/>
      <c r="AZ561" s="175"/>
      <c r="BA561" s="175"/>
      <c r="BB561" s="17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60"/>
      <c r="S562" s="165"/>
      <c r="T562" s="165"/>
      <c r="U562" s="165"/>
      <c r="V562" s="16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60"/>
      <c r="AI562" s="175"/>
      <c r="AJ562" s="165"/>
      <c r="AK562" s="175"/>
      <c r="AL562" s="175"/>
      <c r="AM562" s="175"/>
      <c r="AN562" s="175"/>
      <c r="AO562" s="175"/>
      <c r="AP562" s="175"/>
      <c r="AQ562" s="175"/>
      <c r="AR562" s="175"/>
      <c r="AS562" s="175"/>
      <c r="AT562" s="175"/>
      <c r="AU562" s="175"/>
      <c r="AV562" s="175"/>
      <c r="AW562" s="175"/>
      <c r="AX562" s="15"/>
      <c r="AY562" s="15"/>
      <c r="AZ562" s="175"/>
      <c r="BA562" s="175"/>
      <c r="BB562" s="17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60"/>
      <c r="S563" s="165"/>
      <c r="T563" s="165"/>
      <c r="U563" s="165"/>
      <c r="V563" s="16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60"/>
      <c r="AI563" s="175"/>
      <c r="AJ563" s="165"/>
      <c r="AK563" s="175"/>
      <c r="AL563" s="175"/>
      <c r="AM563" s="175"/>
      <c r="AN563" s="175"/>
      <c r="AO563" s="175"/>
      <c r="AP563" s="175"/>
      <c r="AQ563" s="175"/>
      <c r="AR563" s="175"/>
      <c r="AS563" s="175"/>
      <c r="AT563" s="175"/>
      <c r="AU563" s="175"/>
      <c r="AV563" s="175"/>
      <c r="AW563" s="175"/>
      <c r="AX563" s="15"/>
      <c r="AY563" s="15"/>
      <c r="AZ563" s="175"/>
      <c r="BA563" s="175"/>
      <c r="BB563" s="17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60"/>
      <c r="S564" s="165"/>
      <c r="T564" s="165"/>
      <c r="U564" s="165"/>
      <c r="V564" s="16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60"/>
      <c r="AI564" s="175"/>
      <c r="AJ564" s="165"/>
      <c r="AK564" s="175"/>
      <c r="AL564" s="175"/>
      <c r="AM564" s="175"/>
      <c r="AN564" s="175"/>
      <c r="AO564" s="175"/>
      <c r="AP564" s="175"/>
      <c r="AQ564" s="175"/>
      <c r="AR564" s="175"/>
      <c r="AS564" s="175"/>
      <c r="AT564" s="175"/>
      <c r="AU564" s="175"/>
      <c r="AV564" s="175"/>
      <c r="AW564" s="175"/>
      <c r="AX564" s="15"/>
      <c r="AY564" s="15"/>
      <c r="AZ564" s="175"/>
      <c r="BA564" s="175"/>
      <c r="BB564" s="17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</row>
    <row r="565">
      <c r="I565" s="60"/>
      <c r="J565" s="60"/>
      <c r="K565" s="60"/>
      <c r="L565" s="60"/>
      <c r="M565" s="60"/>
      <c r="R565" s="349"/>
      <c r="S565" s="350"/>
      <c r="T565" s="350"/>
      <c r="U565" s="350"/>
      <c r="V565" s="350"/>
      <c r="AH565" s="351"/>
      <c r="AI565" s="352"/>
      <c r="AJ565" s="353"/>
      <c r="AK565" s="352"/>
      <c r="AL565" s="352"/>
      <c r="AM565" s="352"/>
      <c r="AN565" s="352"/>
      <c r="AO565" s="352"/>
      <c r="AP565" s="352"/>
      <c r="AQ565" s="352"/>
      <c r="AR565" s="352"/>
      <c r="AS565" s="352"/>
      <c r="AT565" s="352"/>
      <c r="AU565" s="352"/>
      <c r="AV565" s="352"/>
      <c r="AW565" s="352"/>
      <c r="AY565" s="2"/>
      <c r="AZ565" s="352"/>
      <c r="BA565" s="352"/>
      <c r="BB565" s="352"/>
    </row>
    <row r="566">
      <c r="I566" s="60"/>
      <c r="J566" s="60"/>
      <c r="K566" s="60"/>
      <c r="L566" s="60"/>
      <c r="M566" s="60"/>
      <c r="R566" s="349"/>
      <c r="S566" s="350"/>
      <c r="T566" s="350"/>
      <c r="U566" s="350"/>
      <c r="V566" s="350"/>
      <c r="AH566" s="351"/>
      <c r="AI566" s="352"/>
      <c r="AJ566" s="353"/>
      <c r="AK566" s="352"/>
      <c r="AL566" s="352"/>
      <c r="AM566" s="352"/>
      <c r="AN566" s="352"/>
      <c r="AO566" s="352"/>
      <c r="AP566" s="352"/>
      <c r="AQ566" s="352"/>
      <c r="AR566" s="352"/>
      <c r="AS566" s="352"/>
      <c r="AT566" s="352"/>
      <c r="AU566" s="352"/>
      <c r="AV566" s="352"/>
      <c r="AW566" s="352"/>
      <c r="AY566" s="2"/>
      <c r="AZ566" s="352"/>
      <c r="BA566" s="352"/>
      <c r="BB566" s="352"/>
    </row>
    <row r="567">
      <c r="I567" s="60"/>
      <c r="J567" s="60"/>
      <c r="K567" s="60"/>
      <c r="L567" s="60"/>
      <c r="M567" s="60"/>
      <c r="R567" s="349"/>
      <c r="S567" s="350"/>
      <c r="T567" s="350"/>
      <c r="U567" s="350"/>
      <c r="V567" s="350"/>
      <c r="AH567" s="351"/>
      <c r="AI567" s="352"/>
      <c r="AJ567" s="353"/>
      <c r="AK567" s="352"/>
      <c r="AL567" s="352"/>
      <c r="AM567" s="352"/>
      <c r="AN567" s="352"/>
      <c r="AO567" s="352"/>
      <c r="AP567" s="352"/>
      <c r="AQ567" s="352"/>
      <c r="AR567" s="352"/>
      <c r="AS567" s="352"/>
      <c r="AT567" s="352"/>
      <c r="AU567" s="352"/>
      <c r="AV567" s="352"/>
      <c r="AW567" s="352"/>
      <c r="AY567" s="2"/>
      <c r="AZ567" s="352"/>
      <c r="BA567" s="352"/>
      <c r="BB567" s="352"/>
    </row>
    <row r="568">
      <c r="I568" s="60"/>
      <c r="J568" s="60"/>
      <c r="K568" s="60"/>
      <c r="L568" s="60"/>
      <c r="M568" s="60"/>
      <c r="R568" s="349"/>
      <c r="S568" s="350"/>
      <c r="T568" s="350"/>
      <c r="U568" s="350"/>
      <c r="V568" s="350"/>
      <c r="AH568" s="351"/>
      <c r="AI568" s="352"/>
      <c r="AJ568" s="353"/>
      <c r="AK568" s="352"/>
      <c r="AL568" s="352"/>
      <c r="AM568" s="352"/>
      <c r="AN568" s="352"/>
      <c r="AO568" s="352"/>
      <c r="AP568" s="352"/>
      <c r="AQ568" s="352"/>
      <c r="AR568" s="352"/>
      <c r="AS568" s="352"/>
      <c r="AT568" s="352"/>
      <c r="AU568" s="352"/>
      <c r="AV568" s="352"/>
      <c r="AW568" s="352"/>
      <c r="AY568" s="2"/>
      <c r="AZ568" s="352"/>
      <c r="BA568" s="352"/>
      <c r="BB568" s="352"/>
    </row>
    <row r="569">
      <c r="I569" s="60"/>
      <c r="J569" s="60"/>
      <c r="K569" s="60"/>
      <c r="L569" s="60"/>
      <c r="M569" s="60"/>
      <c r="R569" s="349"/>
      <c r="S569" s="350"/>
      <c r="T569" s="350"/>
      <c r="U569" s="350"/>
      <c r="V569" s="350"/>
      <c r="AH569" s="351"/>
      <c r="AI569" s="352"/>
      <c r="AJ569" s="353"/>
      <c r="AK569" s="352"/>
      <c r="AL569" s="352"/>
      <c r="AM569" s="352"/>
      <c r="AN569" s="352"/>
      <c r="AO569" s="352"/>
      <c r="AP569" s="352"/>
      <c r="AQ569" s="352"/>
      <c r="AR569" s="352"/>
      <c r="AS569" s="352"/>
      <c r="AT569" s="352"/>
      <c r="AU569" s="352"/>
      <c r="AV569" s="352"/>
      <c r="AW569" s="352"/>
      <c r="AY569" s="2"/>
      <c r="AZ569" s="352"/>
      <c r="BA569" s="352"/>
      <c r="BB569" s="352"/>
    </row>
    <row r="570">
      <c r="I570" s="60"/>
      <c r="J570" s="60"/>
      <c r="K570" s="60"/>
      <c r="L570" s="60"/>
      <c r="M570" s="60"/>
      <c r="R570" s="349"/>
      <c r="S570" s="350"/>
      <c r="T570" s="350"/>
      <c r="U570" s="350"/>
      <c r="V570" s="350"/>
      <c r="AH570" s="351"/>
      <c r="AI570" s="352"/>
      <c r="AJ570" s="353"/>
      <c r="AK570" s="352"/>
      <c r="AL570" s="352"/>
      <c r="AM570" s="352"/>
      <c r="AN570" s="352"/>
      <c r="AO570" s="352"/>
      <c r="AP570" s="352"/>
      <c r="AQ570" s="352"/>
      <c r="AR570" s="352"/>
      <c r="AS570" s="352"/>
      <c r="AT570" s="352"/>
      <c r="AU570" s="352"/>
      <c r="AV570" s="352"/>
      <c r="AW570" s="352"/>
      <c r="AY570" s="2"/>
      <c r="AZ570" s="352"/>
      <c r="BA570" s="352"/>
      <c r="BB570" s="352"/>
    </row>
    <row r="571">
      <c r="I571" s="60"/>
      <c r="J571" s="60"/>
      <c r="K571" s="60"/>
      <c r="L571" s="60"/>
      <c r="M571" s="60"/>
      <c r="R571" s="349"/>
      <c r="S571" s="350"/>
      <c r="T571" s="350"/>
      <c r="U571" s="350"/>
      <c r="V571" s="350"/>
      <c r="AH571" s="351"/>
      <c r="AI571" s="352"/>
      <c r="AJ571" s="353"/>
      <c r="AK571" s="352"/>
      <c r="AL571" s="352"/>
      <c r="AM571" s="352"/>
      <c r="AN571" s="352"/>
      <c r="AO571" s="352"/>
      <c r="AP571" s="352"/>
      <c r="AQ571" s="352"/>
      <c r="AR571" s="352"/>
      <c r="AS571" s="352"/>
      <c r="AT571" s="352"/>
      <c r="AU571" s="352"/>
      <c r="AV571" s="352"/>
      <c r="AW571" s="352"/>
      <c r="AY571" s="2"/>
      <c r="AZ571" s="352"/>
      <c r="BA571" s="352"/>
      <c r="BB571" s="352"/>
    </row>
    <row r="572">
      <c r="I572" s="60"/>
      <c r="J572" s="60"/>
      <c r="K572" s="60"/>
      <c r="L572" s="60"/>
      <c r="M572" s="60"/>
      <c r="R572" s="349"/>
      <c r="S572" s="350"/>
      <c r="T572" s="350"/>
      <c r="U572" s="350"/>
      <c r="V572" s="350"/>
      <c r="AH572" s="351"/>
      <c r="AI572" s="352"/>
      <c r="AJ572" s="353"/>
      <c r="AK572" s="352"/>
      <c r="AL572" s="352"/>
      <c r="AM572" s="352"/>
      <c r="AN572" s="352"/>
      <c r="AO572" s="352"/>
      <c r="AP572" s="352"/>
      <c r="AQ572" s="352"/>
      <c r="AR572" s="352"/>
      <c r="AS572" s="352"/>
      <c r="AT572" s="352"/>
      <c r="AU572" s="352"/>
      <c r="AV572" s="352"/>
      <c r="AW572" s="352"/>
      <c r="AY572" s="2"/>
      <c r="AZ572" s="352"/>
      <c r="BA572" s="352"/>
      <c r="BB572" s="352"/>
    </row>
    <row r="573">
      <c r="I573" s="60"/>
      <c r="J573" s="60"/>
      <c r="K573" s="60"/>
      <c r="L573" s="60"/>
      <c r="M573" s="60"/>
      <c r="R573" s="349"/>
      <c r="S573" s="350"/>
      <c r="T573" s="350"/>
      <c r="U573" s="350"/>
      <c r="V573" s="350"/>
      <c r="AH573" s="351"/>
      <c r="AI573" s="352"/>
      <c r="AJ573" s="353"/>
      <c r="AK573" s="352"/>
      <c r="AL573" s="352"/>
      <c r="AM573" s="352"/>
      <c r="AN573" s="352"/>
      <c r="AO573" s="352"/>
      <c r="AP573" s="352"/>
      <c r="AQ573" s="352"/>
      <c r="AR573" s="352"/>
      <c r="AS573" s="352"/>
      <c r="AT573" s="352"/>
      <c r="AU573" s="352"/>
      <c r="AV573" s="352"/>
      <c r="AW573" s="352"/>
      <c r="AY573" s="2"/>
      <c r="AZ573" s="352"/>
      <c r="BA573" s="352"/>
      <c r="BB573" s="352"/>
    </row>
    <row r="574">
      <c r="I574" s="60"/>
      <c r="J574" s="60"/>
      <c r="K574" s="60"/>
      <c r="L574" s="60"/>
      <c r="M574" s="60"/>
      <c r="R574" s="349"/>
      <c r="S574" s="350"/>
      <c r="T574" s="350"/>
      <c r="U574" s="350"/>
      <c r="V574" s="350"/>
      <c r="AH574" s="351"/>
      <c r="AI574" s="352"/>
      <c r="AJ574" s="353"/>
      <c r="AK574" s="352"/>
      <c r="AL574" s="352"/>
      <c r="AM574" s="352"/>
      <c r="AN574" s="352"/>
      <c r="AO574" s="352"/>
      <c r="AP574" s="352"/>
      <c r="AQ574" s="352"/>
      <c r="AR574" s="352"/>
      <c r="AS574" s="352"/>
      <c r="AT574" s="352"/>
      <c r="AU574" s="352"/>
      <c r="AV574" s="352"/>
      <c r="AW574" s="352"/>
      <c r="AY574" s="2"/>
      <c r="AZ574" s="352"/>
      <c r="BA574" s="352"/>
      <c r="BB574" s="352"/>
    </row>
    <row r="575">
      <c r="I575" s="60"/>
      <c r="J575" s="60"/>
      <c r="K575" s="60"/>
      <c r="L575" s="60"/>
      <c r="M575" s="60"/>
      <c r="R575" s="349"/>
      <c r="S575" s="350"/>
      <c r="T575" s="350"/>
      <c r="U575" s="350"/>
      <c r="V575" s="350"/>
      <c r="AH575" s="351"/>
      <c r="AI575" s="352"/>
      <c r="AJ575" s="353"/>
      <c r="AK575" s="352"/>
      <c r="AL575" s="352"/>
      <c r="AM575" s="352"/>
      <c r="AN575" s="352"/>
      <c r="AO575" s="352"/>
      <c r="AP575" s="352"/>
      <c r="AQ575" s="352"/>
      <c r="AR575" s="352"/>
      <c r="AS575" s="352"/>
      <c r="AT575" s="352"/>
      <c r="AU575" s="352"/>
      <c r="AV575" s="352"/>
      <c r="AW575" s="352"/>
      <c r="AY575" s="2"/>
      <c r="AZ575" s="352"/>
      <c r="BA575" s="352"/>
      <c r="BB575" s="352"/>
    </row>
    <row r="576">
      <c r="I576" s="60"/>
      <c r="J576" s="60"/>
      <c r="K576" s="60"/>
      <c r="L576" s="60"/>
      <c r="M576" s="60"/>
      <c r="R576" s="349"/>
      <c r="S576" s="350"/>
      <c r="T576" s="350"/>
      <c r="U576" s="350"/>
      <c r="V576" s="350"/>
      <c r="AH576" s="351"/>
      <c r="AI576" s="352"/>
      <c r="AJ576" s="353"/>
      <c r="AK576" s="352"/>
      <c r="AL576" s="352"/>
      <c r="AM576" s="352"/>
      <c r="AN576" s="352"/>
      <c r="AO576" s="352"/>
      <c r="AP576" s="352"/>
      <c r="AQ576" s="352"/>
      <c r="AR576" s="352"/>
      <c r="AS576" s="352"/>
      <c r="AT576" s="352"/>
      <c r="AU576" s="352"/>
      <c r="AV576" s="352"/>
      <c r="AW576" s="352"/>
      <c r="AY576" s="2"/>
      <c r="AZ576" s="352"/>
      <c r="BA576" s="352"/>
      <c r="BB576" s="352"/>
    </row>
    <row r="577">
      <c r="I577" s="60"/>
      <c r="J577" s="60"/>
      <c r="K577" s="60"/>
      <c r="L577" s="60"/>
      <c r="M577" s="60"/>
      <c r="R577" s="349"/>
      <c r="S577" s="350"/>
      <c r="T577" s="350"/>
      <c r="U577" s="350"/>
      <c r="V577" s="350"/>
      <c r="AH577" s="351"/>
      <c r="AI577" s="352"/>
      <c r="AJ577" s="353"/>
      <c r="AK577" s="352"/>
      <c r="AL577" s="352"/>
      <c r="AM577" s="352"/>
      <c r="AN577" s="352"/>
      <c r="AO577" s="352"/>
      <c r="AP577" s="352"/>
      <c r="AQ577" s="352"/>
      <c r="AR577" s="352"/>
      <c r="AS577" s="352"/>
      <c r="AT577" s="352"/>
      <c r="AU577" s="352"/>
      <c r="AV577" s="352"/>
      <c r="AW577" s="352"/>
      <c r="AY577" s="2"/>
      <c r="AZ577" s="352"/>
      <c r="BA577" s="352"/>
      <c r="BB577" s="352"/>
    </row>
    <row r="578">
      <c r="I578" s="60"/>
      <c r="J578" s="60"/>
      <c r="K578" s="60"/>
      <c r="L578" s="60"/>
      <c r="M578" s="60"/>
      <c r="R578" s="349"/>
      <c r="S578" s="350"/>
      <c r="T578" s="350"/>
      <c r="U578" s="350"/>
      <c r="V578" s="350"/>
      <c r="AH578" s="351"/>
      <c r="AI578" s="352"/>
      <c r="AJ578" s="353"/>
      <c r="AK578" s="352"/>
      <c r="AL578" s="352"/>
      <c r="AM578" s="352"/>
      <c r="AN578" s="352"/>
      <c r="AO578" s="352"/>
      <c r="AP578" s="352"/>
      <c r="AQ578" s="352"/>
      <c r="AR578" s="352"/>
      <c r="AS578" s="352"/>
      <c r="AT578" s="352"/>
      <c r="AU578" s="352"/>
      <c r="AV578" s="352"/>
      <c r="AW578" s="352"/>
      <c r="AY578" s="2"/>
      <c r="AZ578" s="352"/>
      <c r="BA578" s="352"/>
      <c r="BB578" s="352"/>
    </row>
    <row r="579">
      <c r="I579" s="60"/>
      <c r="J579" s="60"/>
      <c r="K579" s="60"/>
      <c r="L579" s="60"/>
      <c r="M579" s="60"/>
      <c r="R579" s="349"/>
      <c r="S579" s="350"/>
      <c r="T579" s="350"/>
      <c r="U579" s="350"/>
      <c r="V579" s="350"/>
      <c r="AH579" s="351"/>
      <c r="AI579" s="352"/>
      <c r="AJ579" s="353"/>
      <c r="AK579" s="352"/>
      <c r="AL579" s="352"/>
      <c r="AM579" s="352"/>
      <c r="AN579" s="352"/>
      <c r="AO579" s="352"/>
      <c r="AP579" s="352"/>
      <c r="AQ579" s="352"/>
      <c r="AR579" s="352"/>
      <c r="AS579" s="352"/>
      <c r="AT579" s="352"/>
      <c r="AU579" s="352"/>
      <c r="AV579" s="352"/>
      <c r="AW579" s="352"/>
      <c r="AY579" s="2"/>
      <c r="AZ579" s="352"/>
      <c r="BA579" s="352"/>
      <c r="BB579" s="352"/>
    </row>
    <row r="580">
      <c r="I580" s="60"/>
      <c r="J580" s="60"/>
      <c r="K580" s="60"/>
      <c r="L580" s="60"/>
      <c r="M580" s="60"/>
      <c r="R580" s="349"/>
      <c r="S580" s="350"/>
      <c r="T580" s="350"/>
      <c r="U580" s="350"/>
      <c r="V580" s="350"/>
      <c r="AH580" s="351"/>
      <c r="AI580" s="352"/>
      <c r="AJ580" s="353"/>
      <c r="AK580" s="352"/>
      <c r="AL580" s="352"/>
      <c r="AM580" s="352"/>
      <c r="AN580" s="352"/>
      <c r="AO580" s="352"/>
      <c r="AP580" s="352"/>
      <c r="AQ580" s="352"/>
      <c r="AR580" s="352"/>
      <c r="AS580" s="352"/>
      <c r="AT580" s="352"/>
      <c r="AU580" s="352"/>
      <c r="AV580" s="352"/>
      <c r="AW580" s="352"/>
      <c r="AY580" s="2"/>
      <c r="AZ580" s="352"/>
      <c r="BA580" s="352"/>
      <c r="BB580" s="352"/>
    </row>
    <row r="581">
      <c r="I581" s="60"/>
      <c r="J581" s="60"/>
      <c r="K581" s="60"/>
      <c r="L581" s="60"/>
      <c r="M581" s="60"/>
      <c r="R581" s="349"/>
      <c r="S581" s="350"/>
      <c r="T581" s="350"/>
      <c r="U581" s="350"/>
      <c r="V581" s="350"/>
      <c r="AH581" s="351"/>
      <c r="AI581" s="352"/>
      <c r="AJ581" s="353"/>
      <c r="AK581" s="352"/>
      <c r="AL581" s="352"/>
      <c r="AM581" s="352"/>
      <c r="AN581" s="352"/>
      <c r="AO581" s="352"/>
      <c r="AP581" s="352"/>
      <c r="AQ581" s="352"/>
      <c r="AR581" s="352"/>
      <c r="AS581" s="352"/>
      <c r="AT581" s="352"/>
      <c r="AU581" s="352"/>
      <c r="AV581" s="352"/>
      <c r="AW581" s="352"/>
      <c r="AY581" s="2"/>
      <c r="AZ581" s="352"/>
      <c r="BA581" s="352"/>
      <c r="BB581" s="352"/>
    </row>
    <row r="582">
      <c r="I582" s="60"/>
      <c r="J582" s="60"/>
      <c r="K582" s="60"/>
      <c r="L582" s="60"/>
      <c r="M582" s="60"/>
      <c r="R582" s="349"/>
      <c r="S582" s="350"/>
      <c r="T582" s="350"/>
      <c r="U582" s="350"/>
      <c r="V582" s="350"/>
      <c r="AH582" s="351"/>
      <c r="AI582" s="352"/>
      <c r="AJ582" s="353"/>
      <c r="AK582" s="352"/>
      <c r="AL582" s="352"/>
      <c r="AM582" s="352"/>
      <c r="AN582" s="352"/>
      <c r="AO582" s="352"/>
      <c r="AP582" s="352"/>
      <c r="AQ582" s="352"/>
      <c r="AR582" s="352"/>
      <c r="AS582" s="352"/>
      <c r="AT582" s="352"/>
      <c r="AU582" s="352"/>
      <c r="AV582" s="352"/>
      <c r="AW582" s="352"/>
      <c r="AY582" s="2"/>
      <c r="AZ582" s="352"/>
      <c r="BA582" s="352"/>
      <c r="BB582" s="352"/>
    </row>
    <row r="583">
      <c r="I583" s="60"/>
      <c r="J583" s="60"/>
      <c r="K583" s="60"/>
      <c r="L583" s="60"/>
      <c r="M583" s="60"/>
      <c r="R583" s="349"/>
      <c r="S583" s="350"/>
      <c r="T583" s="350"/>
      <c r="U583" s="350"/>
      <c r="V583" s="350"/>
      <c r="AH583" s="351"/>
      <c r="AI583" s="352"/>
      <c r="AJ583" s="353"/>
      <c r="AK583" s="352"/>
      <c r="AL583" s="352"/>
      <c r="AM583" s="352"/>
      <c r="AN583" s="352"/>
      <c r="AO583" s="352"/>
      <c r="AP583" s="352"/>
      <c r="AQ583" s="352"/>
      <c r="AR583" s="352"/>
      <c r="AS583" s="352"/>
      <c r="AT583" s="352"/>
      <c r="AU583" s="352"/>
      <c r="AV583" s="352"/>
      <c r="AW583" s="352"/>
      <c r="AY583" s="2"/>
      <c r="AZ583" s="352"/>
      <c r="BA583" s="352"/>
      <c r="BB583" s="352"/>
    </row>
    <row r="584">
      <c r="I584" s="60"/>
      <c r="J584" s="60"/>
      <c r="K584" s="60"/>
      <c r="L584" s="60"/>
      <c r="M584" s="60"/>
      <c r="R584" s="349"/>
      <c r="S584" s="350"/>
      <c r="T584" s="350"/>
      <c r="U584" s="350"/>
      <c r="V584" s="350"/>
      <c r="AH584" s="351"/>
      <c r="AI584" s="352"/>
      <c r="AJ584" s="353"/>
      <c r="AK584" s="352"/>
      <c r="AL584" s="352"/>
      <c r="AM584" s="352"/>
      <c r="AN584" s="352"/>
      <c r="AO584" s="352"/>
      <c r="AP584" s="352"/>
      <c r="AQ584" s="352"/>
      <c r="AR584" s="352"/>
      <c r="AS584" s="352"/>
      <c r="AT584" s="352"/>
      <c r="AU584" s="352"/>
      <c r="AV584" s="352"/>
      <c r="AW584" s="352"/>
      <c r="AY584" s="2"/>
      <c r="AZ584" s="352"/>
      <c r="BA584" s="352"/>
      <c r="BB584" s="352"/>
    </row>
    <row r="585">
      <c r="I585" s="60"/>
      <c r="J585" s="60"/>
      <c r="K585" s="60"/>
      <c r="L585" s="60"/>
      <c r="M585" s="60"/>
      <c r="R585" s="349"/>
      <c r="S585" s="350"/>
      <c r="T585" s="350"/>
      <c r="U585" s="350"/>
      <c r="V585" s="350"/>
      <c r="AH585" s="351"/>
      <c r="AI585" s="352"/>
      <c r="AJ585" s="353"/>
      <c r="AK585" s="352"/>
      <c r="AL585" s="352"/>
      <c r="AM585" s="352"/>
      <c r="AN585" s="352"/>
      <c r="AO585" s="352"/>
      <c r="AP585" s="352"/>
      <c r="AQ585" s="352"/>
      <c r="AR585" s="352"/>
      <c r="AS585" s="352"/>
      <c r="AT585" s="352"/>
      <c r="AU585" s="352"/>
      <c r="AV585" s="352"/>
      <c r="AW585" s="352"/>
      <c r="AY585" s="2"/>
      <c r="AZ585" s="352"/>
      <c r="BA585" s="352"/>
      <c r="BB585" s="352"/>
    </row>
    <row r="586">
      <c r="I586" s="60"/>
      <c r="J586" s="60"/>
      <c r="K586" s="60"/>
      <c r="L586" s="60"/>
      <c r="M586" s="60"/>
      <c r="R586" s="349"/>
      <c r="S586" s="350"/>
      <c r="T586" s="350"/>
      <c r="U586" s="350"/>
      <c r="V586" s="350"/>
      <c r="AH586" s="351"/>
      <c r="AI586" s="352"/>
      <c r="AJ586" s="353"/>
      <c r="AK586" s="352"/>
      <c r="AL586" s="352"/>
      <c r="AM586" s="352"/>
      <c r="AN586" s="352"/>
      <c r="AO586" s="352"/>
      <c r="AP586" s="352"/>
      <c r="AQ586" s="352"/>
      <c r="AR586" s="352"/>
      <c r="AS586" s="352"/>
      <c r="AT586" s="352"/>
      <c r="AU586" s="352"/>
      <c r="AV586" s="352"/>
      <c r="AW586" s="352"/>
      <c r="AY586" s="2"/>
      <c r="AZ586" s="352"/>
      <c r="BA586" s="352"/>
      <c r="BB586" s="352"/>
    </row>
    <row r="587">
      <c r="I587" s="60"/>
      <c r="J587" s="60"/>
      <c r="K587" s="60"/>
      <c r="L587" s="60"/>
      <c r="M587" s="60"/>
      <c r="R587" s="349"/>
      <c r="S587" s="350"/>
      <c r="T587" s="350"/>
      <c r="U587" s="350"/>
      <c r="V587" s="350"/>
      <c r="AH587" s="351"/>
      <c r="AI587" s="352"/>
      <c r="AJ587" s="353"/>
      <c r="AK587" s="352"/>
      <c r="AL587" s="352"/>
      <c r="AM587" s="352"/>
      <c r="AN587" s="352"/>
      <c r="AO587" s="352"/>
      <c r="AP587" s="352"/>
      <c r="AQ587" s="352"/>
      <c r="AR587" s="352"/>
      <c r="AS587" s="352"/>
      <c r="AT587" s="352"/>
      <c r="AU587" s="352"/>
      <c r="AV587" s="352"/>
      <c r="AW587" s="352"/>
      <c r="AY587" s="2"/>
      <c r="AZ587" s="352"/>
      <c r="BA587" s="352"/>
      <c r="BB587" s="352"/>
    </row>
    <row r="588">
      <c r="I588" s="60"/>
      <c r="J588" s="60"/>
      <c r="K588" s="60"/>
      <c r="L588" s="60"/>
      <c r="M588" s="60"/>
      <c r="R588" s="349"/>
      <c r="S588" s="350"/>
      <c r="T588" s="350"/>
      <c r="U588" s="350"/>
      <c r="V588" s="350"/>
      <c r="AH588" s="351"/>
      <c r="AI588" s="352"/>
      <c r="AJ588" s="353"/>
      <c r="AK588" s="352"/>
      <c r="AL588" s="352"/>
      <c r="AM588" s="352"/>
      <c r="AN588" s="352"/>
      <c r="AO588" s="352"/>
      <c r="AP588" s="352"/>
      <c r="AQ588" s="352"/>
      <c r="AR588" s="352"/>
      <c r="AS588" s="352"/>
      <c r="AT588" s="352"/>
      <c r="AU588" s="352"/>
      <c r="AV588" s="352"/>
      <c r="AW588" s="352"/>
      <c r="AY588" s="2"/>
      <c r="AZ588" s="352"/>
      <c r="BA588" s="352"/>
      <c r="BB588" s="352"/>
    </row>
    <row r="589">
      <c r="I589" s="60"/>
      <c r="J589" s="60"/>
      <c r="K589" s="60"/>
      <c r="L589" s="60"/>
      <c r="M589" s="60"/>
      <c r="R589" s="349"/>
      <c r="S589" s="350"/>
      <c r="T589" s="350"/>
      <c r="U589" s="350"/>
      <c r="V589" s="350"/>
      <c r="AH589" s="351"/>
      <c r="AI589" s="352"/>
      <c r="AJ589" s="353"/>
      <c r="AK589" s="352"/>
      <c r="AL589" s="352"/>
      <c r="AM589" s="352"/>
      <c r="AN589" s="352"/>
      <c r="AO589" s="352"/>
      <c r="AP589" s="352"/>
      <c r="AQ589" s="352"/>
      <c r="AR589" s="352"/>
      <c r="AS589" s="352"/>
      <c r="AT589" s="352"/>
      <c r="AU589" s="352"/>
      <c r="AV589" s="352"/>
      <c r="AW589" s="352"/>
      <c r="AY589" s="2"/>
      <c r="AZ589" s="352"/>
      <c r="BA589" s="352"/>
      <c r="BB589" s="352"/>
    </row>
    <row r="590">
      <c r="I590" s="60"/>
      <c r="J590" s="60"/>
      <c r="K590" s="60"/>
      <c r="L590" s="60"/>
      <c r="M590" s="60"/>
      <c r="R590" s="349"/>
      <c r="S590" s="350"/>
      <c r="T590" s="350"/>
      <c r="U590" s="350"/>
      <c r="V590" s="350"/>
      <c r="AH590" s="351"/>
      <c r="AI590" s="352"/>
      <c r="AJ590" s="353"/>
      <c r="AK590" s="352"/>
      <c r="AL590" s="352"/>
      <c r="AM590" s="352"/>
      <c r="AN590" s="352"/>
      <c r="AO590" s="352"/>
      <c r="AP590" s="352"/>
      <c r="AQ590" s="352"/>
      <c r="AR590" s="352"/>
      <c r="AS590" s="352"/>
      <c r="AT590" s="352"/>
      <c r="AU590" s="352"/>
      <c r="AV590" s="352"/>
      <c r="AW590" s="352"/>
      <c r="AY590" s="2"/>
      <c r="AZ590" s="352"/>
      <c r="BA590" s="352"/>
      <c r="BB590" s="352"/>
    </row>
    <row r="591">
      <c r="I591" s="60"/>
      <c r="J591" s="60"/>
      <c r="K591" s="60"/>
      <c r="L591" s="60"/>
      <c r="M591" s="60"/>
      <c r="R591" s="349"/>
      <c r="S591" s="350"/>
      <c r="T591" s="350"/>
      <c r="U591" s="350"/>
      <c r="V591" s="350"/>
      <c r="AH591" s="351"/>
      <c r="AI591" s="352"/>
      <c r="AJ591" s="353"/>
      <c r="AK591" s="352"/>
      <c r="AL591" s="352"/>
      <c r="AM591" s="352"/>
      <c r="AN591" s="352"/>
      <c r="AO591" s="352"/>
      <c r="AP591" s="352"/>
      <c r="AQ591" s="352"/>
      <c r="AR591" s="352"/>
      <c r="AS591" s="352"/>
      <c r="AT591" s="352"/>
      <c r="AU591" s="352"/>
      <c r="AV591" s="352"/>
      <c r="AW591" s="352"/>
      <c r="AY591" s="2"/>
      <c r="AZ591" s="352"/>
      <c r="BA591" s="352"/>
      <c r="BB591" s="352"/>
    </row>
    <row r="592">
      <c r="I592" s="60"/>
      <c r="J592" s="60"/>
      <c r="K592" s="60"/>
      <c r="L592" s="60"/>
      <c r="M592" s="60"/>
      <c r="R592" s="349"/>
      <c r="S592" s="350"/>
      <c r="T592" s="350"/>
      <c r="U592" s="350"/>
      <c r="V592" s="350"/>
      <c r="AH592" s="351"/>
      <c r="AI592" s="352"/>
      <c r="AJ592" s="353"/>
      <c r="AK592" s="352"/>
      <c r="AL592" s="352"/>
      <c r="AM592" s="352"/>
      <c r="AN592" s="352"/>
      <c r="AO592" s="352"/>
      <c r="AP592" s="352"/>
      <c r="AQ592" s="352"/>
      <c r="AR592" s="352"/>
      <c r="AS592" s="352"/>
      <c r="AT592" s="352"/>
      <c r="AU592" s="352"/>
      <c r="AV592" s="352"/>
      <c r="AW592" s="352"/>
      <c r="AY592" s="2"/>
      <c r="AZ592" s="352"/>
      <c r="BA592" s="352"/>
      <c r="BB592" s="352"/>
    </row>
    <row r="593">
      <c r="I593" s="60"/>
      <c r="J593" s="60"/>
      <c r="K593" s="60"/>
      <c r="L593" s="60"/>
      <c r="M593" s="60"/>
      <c r="R593" s="349"/>
      <c r="S593" s="350"/>
      <c r="T593" s="350"/>
      <c r="U593" s="350"/>
      <c r="V593" s="350"/>
      <c r="AH593" s="351"/>
      <c r="AI593" s="352"/>
      <c r="AJ593" s="353"/>
      <c r="AK593" s="352"/>
      <c r="AL593" s="352"/>
      <c r="AM593" s="352"/>
      <c r="AN593" s="352"/>
      <c r="AO593" s="352"/>
      <c r="AP593" s="352"/>
      <c r="AQ593" s="352"/>
      <c r="AR593" s="352"/>
      <c r="AS593" s="352"/>
      <c r="AT593" s="352"/>
      <c r="AU593" s="352"/>
      <c r="AV593" s="352"/>
      <c r="AW593" s="352"/>
      <c r="AY593" s="2"/>
      <c r="AZ593" s="352"/>
      <c r="BA593" s="352"/>
      <c r="BB593" s="352"/>
    </row>
    <row r="594">
      <c r="I594" s="60"/>
      <c r="J594" s="60"/>
      <c r="K594" s="60"/>
      <c r="L594" s="60"/>
      <c r="M594" s="60"/>
      <c r="R594" s="349"/>
      <c r="S594" s="350"/>
      <c r="T594" s="350"/>
      <c r="U594" s="350"/>
      <c r="V594" s="350"/>
      <c r="AH594" s="351"/>
      <c r="AI594" s="352"/>
      <c r="AJ594" s="353"/>
      <c r="AK594" s="352"/>
      <c r="AL594" s="352"/>
      <c r="AM594" s="352"/>
      <c r="AN594" s="352"/>
      <c r="AO594" s="352"/>
      <c r="AP594" s="352"/>
      <c r="AQ594" s="352"/>
      <c r="AR594" s="352"/>
      <c r="AS594" s="352"/>
      <c r="AT594" s="352"/>
      <c r="AU594" s="352"/>
      <c r="AV594" s="352"/>
      <c r="AW594" s="352"/>
      <c r="AY594" s="2"/>
      <c r="AZ594" s="352"/>
      <c r="BA594" s="352"/>
      <c r="BB594" s="352"/>
    </row>
    <row r="595">
      <c r="I595" s="60"/>
      <c r="J595" s="60"/>
      <c r="K595" s="60"/>
      <c r="L595" s="60"/>
      <c r="M595" s="60"/>
      <c r="R595" s="349"/>
      <c r="S595" s="350"/>
      <c r="T595" s="350"/>
      <c r="U595" s="350"/>
      <c r="V595" s="350"/>
      <c r="AH595" s="351"/>
      <c r="AI595" s="352"/>
      <c r="AJ595" s="353"/>
      <c r="AK595" s="352"/>
      <c r="AL595" s="352"/>
      <c r="AM595" s="352"/>
      <c r="AN595" s="352"/>
      <c r="AO595" s="352"/>
      <c r="AP595" s="352"/>
      <c r="AQ595" s="352"/>
      <c r="AR595" s="352"/>
      <c r="AS595" s="352"/>
      <c r="AT595" s="352"/>
      <c r="AU595" s="352"/>
      <c r="AV595" s="352"/>
      <c r="AW595" s="352"/>
      <c r="AY595" s="2"/>
      <c r="AZ595" s="352"/>
      <c r="BA595" s="352"/>
      <c r="BB595" s="352"/>
    </row>
    <row r="596">
      <c r="I596" s="60"/>
      <c r="J596" s="60"/>
      <c r="K596" s="60"/>
      <c r="L596" s="60"/>
      <c r="M596" s="60"/>
      <c r="R596" s="349"/>
      <c r="S596" s="350"/>
      <c r="T596" s="350"/>
      <c r="U596" s="350"/>
      <c r="V596" s="350"/>
      <c r="AH596" s="351"/>
      <c r="AI596" s="352"/>
      <c r="AJ596" s="353"/>
      <c r="AK596" s="352"/>
      <c r="AL596" s="352"/>
      <c r="AM596" s="352"/>
      <c r="AN596" s="352"/>
      <c r="AO596" s="352"/>
      <c r="AP596" s="352"/>
      <c r="AQ596" s="352"/>
      <c r="AR596" s="352"/>
      <c r="AS596" s="352"/>
      <c r="AT596" s="352"/>
      <c r="AU596" s="352"/>
      <c r="AV596" s="352"/>
      <c r="AW596" s="352"/>
      <c r="AY596" s="2"/>
      <c r="AZ596" s="352"/>
      <c r="BA596" s="352"/>
      <c r="BB596" s="352"/>
    </row>
    <row r="597">
      <c r="I597" s="60"/>
      <c r="J597" s="60"/>
      <c r="K597" s="60"/>
      <c r="L597" s="60"/>
      <c r="M597" s="60"/>
      <c r="R597" s="349"/>
      <c r="S597" s="350"/>
      <c r="T597" s="350"/>
      <c r="U597" s="350"/>
      <c r="V597" s="350"/>
      <c r="AH597" s="351"/>
      <c r="AI597" s="352"/>
      <c r="AJ597" s="353"/>
      <c r="AK597" s="352"/>
      <c r="AL597" s="352"/>
      <c r="AM597" s="352"/>
      <c r="AN597" s="352"/>
      <c r="AO597" s="352"/>
      <c r="AP597" s="352"/>
      <c r="AQ597" s="352"/>
      <c r="AR597" s="352"/>
      <c r="AS597" s="352"/>
      <c r="AT597" s="352"/>
      <c r="AU597" s="352"/>
      <c r="AV597" s="352"/>
      <c r="AW597" s="352"/>
      <c r="AY597" s="2"/>
      <c r="AZ597" s="352"/>
      <c r="BA597" s="352"/>
      <c r="BB597" s="352"/>
    </row>
    <row r="598">
      <c r="I598" s="60"/>
      <c r="J598" s="60"/>
      <c r="K598" s="60"/>
      <c r="L598" s="60"/>
      <c r="M598" s="60"/>
      <c r="R598" s="349"/>
      <c r="S598" s="350"/>
      <c r="T598" s="350"/>
      <c r="U598" s="350"/>
      <c r="V598" s="350"/>
      <c r="AH598" s="351"/>
      <c r="AI598" s="352"/>
      <c r="AJ598" s="353"/>
      <c r="AK598" s="352"/>
      <c r="AL598" s="352"/>
      <c r="AM598" s="352"/>
      <c r="AN598" s="352"/>
      <c r="AO598" s="352"/>
      <c r="AP598" s="352"/>
      <c r="AQ598" s="352"/>
      <c r="AR598" s="352"/>
      <c r="AS598" s="352"/>
      <c r="AT598" s="352"/>
      <c r="AU598" s="352"/>
      <c r="AV598" s="352"/>
      <c r="AW598" s="352"/>
      <c r="AY598" s="2"/>
      <c r="AZ598" s="352"/>
      <c r="BA598" s="352"/>
      <c r="BB598" s="352"/>
    </row>
    <row r="599">
      <c r="I599" s="60"/>
      <c r="J599" s="60"/>
      <c r="K599" s="60"/>
      <c r="L599" s="60"/>
      <c r="M599" s="60"/>
      <c r="R599" s="349"/>
      <c r="S599" s="350"/>
      <c r="T599" s="350"/>
      <c r="U599" s="350"/>
      <c r="V599" s="350"/>
      <c r="AH599" s="351"/>
      <c r="AI599" s="352"/>
      <c r="AJ599" s="353"/>
      <c r="AK599" s="352"/>
      <c r="AL599" s="352"/>
      <c r="AM599" s="352"/>
      <c r="AN599" s="352"/>
      <c r="AO599" s="352"/>
      <c r="AP599" s="352"/>
      <c r="AQ599" s="352"/>
      <c r="AR599" s="352"/>
      <c r="AS599" s="352"/>
      <c r="AT599" s="352"/>
      <c r="AU599" s="352"/>
      <c r="AV599" s="352"/>
      <c r="AW599" s="352"/>
      <c r="AY599" s="2"/>
      <c r="AZ599" s="352"/>
      <c r="BA599" s="352"/>
      <c r="BB599" s="352"/>
    </row>
    <row r="600">
      <c r="I600" s="60"/>
      <c r="J600" s="60"/>
      <c r="K600" s="60"/>
      <c r="L600" s="60"/>
      <c r="M600" s="60"/>
      <c r="R600" s="349"/>
      <c r="S600" s="350"/>
      <c r="T600" s="350"/>
      <c r="U600" s="350"/>
      <c r="V600" s="350"/>
      <c r="AH600" s="351"/>
      <c r="AI600" s="352"/>
      <c r="AJ600" s="353"/>
      <c r="AK600" s="352"/>
      <c r="AL600" s="352"/>
      <c r="AM600" s="352"/>
      <c r="AN600" s="352"/>
      <c r="AO600" s="352"/>
      <c r="AP600" s="352"/>
      <c r="AQ600" s="352"/>
      <c r="AR600" s="352"/>
      <c r="AS600" s="352"/>
      <c r="AT600" s="352"/>
      <c r="AU600" s="352"/>
      <c r="AV600" s="352"/>
      <c r="AW600" s="352"/>
      <c r="AY600" s="2"/>
      <c r="AZ600" s="352"/>
      <c r="BA600" s="352"/>
      <c r="BB600" s="352"/>
    </row>
    <row r="601">
      <c r="I601" s="60"/>
      <c r="J601" s="60"/>
      <c r="K601" s="60"/>
      <c r="L601" s="60"/>
      <c r="M601" s="60"/>
      <c r="R601" s="349"/>
      <c r="S601" s="350"/>
      <c r="T601" s="350"/>
      <c r="U601" s="350"/>
      <c r="V601" s="350"/>
      <c r="AH601" s="351"/>
      <c r="AI601" s="352"/>
      <c r="AJ601" s="353"/>
      <c r="AK601" s="352"/>
      <c r="AL601" s="352"/>
      <c r="AM601" s="352"/>
      <c r="AN601" s="352"/>
      <c r="AO601" s="352"/>
      <c r="AP601" s="352"/>
      <c r="AQ601" s="352"/>
      <c r="AR601" s="352"/>
      <c r="AS601" s="352"/>
      <c r="AT601" s="352"/>
      <c r="AU601" s="352"/>
      <c r="AV601" s="352"/>
      <c r="AW601" s="352"/>
      <c r="AY601" s="2"/>
      <c r="AZ601" s="352"/>
      <c r="BA601" s="352"/>
      <c r="BB601" s="352"/>
    </row>
    <row r="602">
      <c r="I602" s="60"/>
      <c r="J602" s="60"/>
      <c r="K602" s="60"/>
      <c r="L602" s="60"/>
      <c r="M602" s="60"/>
      <c r="R602" s="349"/>
      <c r="S602" s="350"/>
      <c r="T602" s="350"/>
      <c r="U602" s="350"/>
      <c r="V602" s="350"/>
      <c r="AH602" s="351"/>
      <c r="AI602" s="352"/>
      <c r="AJ602" s="353"/>
      <c r="AK602" s="352"/>
      <c r="AL602" s="352"/>
      <c r="AM602" s="352"/>
      <c r="AN602" s="352"/>
      <c r="AO602" s="352"/>
      <c r="AP602" s="352"/>
      <c r="AQ602" s="352"/>
      <c r="AR602" s="352"/>
      <c r="AS602" s="352"/>
      <c r="AT602" s="352"/>
      <c r="AU602" s="352"/>
      <c r="AV602" s="352"/>
      <c r="AW602" s="352"/>
      <c r="AY602" s="2"/>
      <c r="AZ602" s="352"/>
      <c r="BA602" s="352"/>
      <c r="BB602" s="352"/>
    </row>
    <row r="603">
      <c r="I603" s="60"/>
      <c r="J603" s="60"/>
      <c r="K603" s="60"/>
      <c r="L603" s="60"/>
      <c r="M603" s="60"/>
      <c r="R603" s="349"/>
      <c r="S603" s="350"/>
      <c r="T603" s="350"/>
      <c r="U603" s="350"/>
      <c r="V603" s="350"/>
      <c r="AH603" s="351"/>
      <c r="AI603" s="352"/>
      <c r="AJ603" s="353"/>
      <c r="AK603" s="352"/>
      <c r="AL603" s="352"/>
      <c r="AM603" s="352"/>
      <c r="AN603" s="352"/>
      <c r="AO603" s="352"/>
      <c r="AP603" s="352"/>
      <c r="AQ603" s="352"/>
      <c r="AR603" s="352"/>
      <c r="AS603" s="352"/>
      <c r="AT603" s="352"/>
      <c r="AU603" s="352"/>
      <c r="AV603" s="352"/>
      <c r="AW603" s="352"/>
      <c r="AY603" s="2"/>
      <c r="AZ603" s="352"/>
      <c r="BA603" s="352"/>
      <c r="BB603" s="352"/>
    </row>
    <row r="604">
      <c r="I604" s="60"/>
      <c r="J604" s="60"/>
      <c r="K604" s="60"/>
      <c r="L604" s="60"/>
      <c r="M604" s="60"/>
      <c r="R604" s="349"/>
      <c r="S604" s="350"/>
      <c r="T604" s="350"/>
      <c r="U604" s="350"/>
      <c r="V604" s="350"/>
      <c r="AH604" s="351"/>
      <c r="AI604" s="352"/>
      <c r="AJ604" s="353"/>
      <c r="AK604" s="352"/>
      <c r="AL604" s="352"/>
      <c r="AM604" s="352"/>
      <c r="AN604" s="352"/>
      <c r="AO604" s="352"/>
      <c r="AP604" s="352"/>
      <c r="AQ604" s="352"/>
      <c r="AR604" s="352"/>
      <c r="AS604" s="352"/>
      <c r="AT604" s="352"/>
      <c r="AU604" s="352"/>
      <c r="AV604" s="352"/>
      <c r="AW604" s="352"/>
      <c r="AY604" s="2"/>
      <c r="AZ604" s="352"/>
      <c r="BA604" s="352"/>
      <c r="BB604" s="352"/>
    </row>
    <row r="605">
      <c r="I605" s="60"/>
      <c r="J605" s="60"/>
      <c r="K605" s="60"/>
      <c r="L605" s="60"/>
      <c r="M605" s="60"/>
      <c r="R605" s="349"/>
      <c r="S605" s="350"/>
      <c r="T605" s="350"/>
      <c r="U605" s="350"/>
      <c r="V605" s="350"/>
      <c r="AH605" s="351"/>
      <c r="AI605" s="352"/>
      <c r="AJ605" s="353"/>
      <c r="AK605" s="352"/>
      <c r="AL605" s="352"/>
      <c r="AM605" s="352"/>
      <c r="AN605" s="352"/>
      <c r="AO605" s="352"/>
      <c r="AP605" s="352"/>
      <c r="AQ605" s="352"/>
      <c r="AR605" s="352"/>
      <c r="AS605" s="352"/>
      <c r="AT605" s="352"/>
      <c r="AU605" s="352"/>
      <c r="AV605" s="352"/>
      <c r="AW605" s="352"/>
      <c r="AY605" s="2"/>
      <c r="AZ605" s="352"/>
      <c r="BA605" s="352"/>
      <c r="BB605" s="352"/>
    </row>
    <row r="606">
      <c r="I606" s="60"/>
      <c r="J606" s="60"/>
      <c r="K606" s="60"/>
      <c r="L606" s="60"/>
      <c r="M606" s="60"/>
      <c r="R606" s="349"/>
      <c r="S606" s="350"/>
      <c r="T606" s="350"/>
      <c r="U606" s="350"/>
      <c r="V606" s="350"/>
      <c r="AH606" s="351"/>
      <c r="AI606" s="352"/>
      <c r="AJ606" s="353"/>
      <c r="AK606" s="352"/>
      <c r="AL606" s="352"/>
      <c r="AM606" s="352"/>
      <c r="AN606" s="352"/>
      <c r="AO606" s="352"/>
      <c r="AP606" s="352"/>
      <c r="AQ606" s="352"/>
      <c r="AR606" s="352"/>
      <c r="AS606" s="352"/>
      <c r="AT606" s="352"/>
      <c r="AU606" s="352"/>
      <c r="AV606" s="352"/>
      <c r="AW606" s="352"/>
      <c r="AY606" s="2"/>
      <c r="AZ606" s="352"/>
      <c r="BA606" s="352"/>
      <c r="BB606" s="352"/>
    </row>
    <row r="607">
      <c r="I607" s="60"/>
      <c r="J607" s="60"/>
      <c r="K607" s="60"/>
      <c r="L607" s="60"/>
      <c r="M607" s="60"/>
      <c r="R607" s="349"/>
      <c r="S607" s="350"/>
      <c r="T607" s="350"/>
      <c r="U607" s="350"/>
      <c r="V607" s="350"/>
      <c r="AH607" s="351"/>
      <c r="AI607" s="352"/>
      <c r="AJ607" s="353"/>
      <c r="AK607" s="352"/>
      <c r="AL607" s="352"/>
      <c r="AM607" s="352"/>
      <c r="AN607" s="352"/>
      <c r="AO607" s="352"/>
      <c r="AP607" s="352"/>
      <c r="AQ607" s="352"/>
      <c r="AR607" s="352"/>
      <c r="AS607" s="352"/>
      <c r="AT607" s="352"/>
      <c r="AU607" s="352"/>
      <c r="AV607" s="352"/>
      <c r="AW607" s="352"/>
      <c r="AY607" s="2"/>
      <c r="AZ607" s="352"/>
      <c r="BA607" s="352"/>
      <c r="BB607" s="352"/>
    </row>
    <row r="608">
      <c r="I608" s="60"/>
      <c r="J608" s="60"/>
      <c r="K608" s="60"/>
      <c r="L608" s="60"/>
      <c r="M608" s="60"/>
      <c r="R608" s="349"/>
      <c r="S608" s="350"/>
      <c r="T608" s="350"/>
      <c r="U608" s="350"/>
      <c r="V608" s="350"/>
      <c r="AH608" s="351"/>
      <c r="AI608" s="352"/>
      <c r="AJ608" s="353"/>
      <c r="AK608" s="352"/>
      <c r="AL608" s="352"/>
      <c r="AM608" s="352"/>
      <c r="AN608" s="352"/>
      <c r="AO608" s="352"/>
      <c r="AP608" s="352"/>
      <c r="AQ608" s="352"/>
      <c r="AR608" s="352"/>
      <c r="AS608" s="352"/>
      <c r="AT608" s="352"/>
      <c r="AU608" s="352"/>
      <c r="AV608" s="352"/>
      <c r="AW608" s="352"/>
      <c r="AY608" s="2"/>
      <c r="AZ608" s="352"/>
      <c r="BA608" s="352"/>
      <c r="BB608" s="352"/>
    </row>
    <row r="609">
      <c r="I609" s="60"/>
      <c r="J609" s="60"/>
      <c r="K609" s="60"/>
      <c r="L609" s="60"/>
      <c r="M609" s="60"/>
      <c r="R609" s="349"/>
      <c r="S609" s="350"/>
      <c r="T609" s="350"/>
      <c r="U609" s="350"/>
      <c r="V609" s="350"/>
      <c r="AH609" s="351"/>
      <c r="AI609" s="352"/>
      <c r="AJ609" s="353"/>
      <c r="AK609" s="352"/>
      <c r="AL609" s="352"/>
      <c r="AM609" s="352"/>
      <c r="AN609" s="352"/>
      <c r="AO609" s="352"/>
      <c r="AP609" s="352"/>
      <c r="AQ609" s="352"/>
      <c r="AR609" s="352"/>
      <c r="AS609" s="352"/>
      <c r="AT609" s="352"/>
      <c r="AU609" s="352"/>
      <c r="AV609" s="352"/>
      <c r="AW609" s="352"/>
      <c r="AY609" s="2"/>
      <c r="AZ609" s="352"/>
      <c r="BA609" s="352"/>
      <c r="BB609" s="352"/>
    </row>
    <row r="610">
      <c r="I610" s="60"/>
      <c r="J610" s="60"/>
      <c r="K610" s="60"/>
      <c r="L610" s="60"/>
      <c r="M610" s="60"/>
      <c r="R610" s="349"/>
      <c r="S610" s="350"/>
      <c r="T610" s="350"/>
      <c r="U610" s="350"/>
      <c r="V610" s="350"/>
      <c r="AH610" s="351"/>
      <c r="AI610" s="352"/>
      <c r="AJ610" s="353"/>
      <c r="AK610" s="352"/>
      <c r="AL610" s="352"/>
      <c r="AM610" s="352"/>
      <c r="AN610" s="352"/>
      <c r="AO610" s="352"/>
      <c r="AP610" s="352"/>
      <c r="AQ610" s="352"/>
      <c r="AR610" s="352"/>
      <c r="AS610" s="352"/>
      <c r="AT610" s="352"/>
      <c r="AU610" s="352"/>
      <c r="AV610" s="352"/>
      <c r="AW610" s="352"/>
      <c r="AY610" s="2"/>
      <c r="AZ610" s="352"/>
      <c r="BA610" s="352"/>
      <c r="BB610" s="352"/>
    </row>
    <row r="611">
      <c r="R611" s="349"/>
      <c r="S611" s="350"/>
      <c r="T611" s="350"/>
      <c r="U611" s="350"/>
      <c r="V611" s="350"/>
      <c r="AH611" s="351"/>
      <c r="AI611" s="352"/>
      <c r="AJ611" s="353"/>
      <c r="AK611" s="352"/>
      <c r="AL611" s="352"/>
      <c r="AM611" s="352"/>
      <c r="AN611" s="352"/>
      <c r="AO611" s="352"/>
      <c r="AP611" s="352"/>
      <c r="AQ611" s="352"/>
      <c r="AR611" s="352"/>
      <c r="AS611" s="352"/>
      <c r="AT611" s="352"/>
      <c r="AU611" s="352"/>
      <c r="AV611" s="352"/>
      <c r="AW611" s="352"/>
      <c r="AY611" s="2"/>
      <c r="AZ611" s="352"/>
      <c r="BA611" s="352"/>
      <c r="BB611" s="352"/>
    </row>
    <row r="612">
      <c r="R612" s="349"/>
      <c r="S612" s="350"/>
      <c r="T612" s="350"/>
      <c r="U612" s="350"/>
      <c r="V612" s="350"/>
      <c r="AH612" s="351"/>
      <c r="AI612" s="352"/>
      <c r="AJ612" s="353"/>
      <c r="AK612" s="352"/>
      <c r="AL612" s="352"/>
      <c r="AM612" s="352"/>
      <c r="AN612" s="352"/>
      <c r="AO612" s="352"/>
      <c r="AP612" s="352"/>
      <c r="AQ612" s="352"/>
      <c r="AR612" s="352"/>
      <c r="AS612" s="352"/>
      <c r="AT612" s="352"/>
      <c r="AU612" s="352"/>
      <c r="AV612" s="352"/>
      <c r="AW612" s="352"/>
      <c r="AY612" s="2"/>
      <c r="AZ612" s="352"/>
      <c r="BA612" s="352"/>
      <c r="BB612" s="352"/>
    </row>
    <row r="613">
      <c r="R613" s="349"/>
      <c r="S613" s="350"/>
      <c r="T613" s="350"/>
      <c r="U613" s="350"/>
      <c r="V613" s="350"/>
      <c r="AH613" s="351"/>
      <c r="AI613" s="352"/>
      <c r="AJ613" s="353"/>
      <c r="AK613" s="352"/>
      <c r="AL613" s="352"/>
      <c r="AM613" s="352"/>
      <c r="AN613" s="352"/>
      <c r="AO613" s="352"/>
      <c r="AP613" s="352"/>
      <c r="AQ613" s="352"/>
      <c r="AR613" s="352"/>
      <c r="AS613" s="352"/>
      <c r="AT613" s="352"/>
      <c r="AU613" s="352"/>
      <c r="AV613" s="352"/>
      <c r="AW613" s="352"/>
      <c r="AY613" s="2"/>
      <c r="AZ613" s="352"/>
      <c r="BA613" s="352"/>
      <c r="BB613" s="352"/>
    </row>
    <row r="614">
      <c r="R614" s="349"/>
      <c r="S614" s="350"/>
      <c r="T614" s="350"/>
      <c r="U614" s="350"/>
      <c r="V614" s="350"/>
    </row>
    <row r="615">
      <c r="R615" s="354"/>
    </row>
    <row r="616"/>
    <row r="617">
      <c r="I617" s="1"/>
      <c r="L617" s="1"/>
    </row>
    <row r="618"/>
    <row r="619"/>
    <row r="620"/>
    <row r="621">
      <c r="M621" s="47"/>
    </row>
    <row r="622"/>
    <row r="623">
      <c r="G623" s="47"/>
    </row>
    <row r="624"/>
    <row r="625">
      <c r="I625" s="2"/>
      <c r="AY625" s="2"/>
      <c r="AZ625" s="355">
        <v>1.17</v>
      </c>
      <c r="BA625" s="355">
        <v>-1.19</v>
      </c>
      <c r="BB625" s="321" t="s">
        <v>209</v>
      </c>
      <c r="BC625" s="321"/>
    </row>
    <row r="626">
      <c r="AY626" s="2"/>
    </row>
    <row r="627">
      <c r="B627" s="2"/>
      <c r="AY627" s="2"/>
    </row>
    <row r="628">
      <c r="AY628" s="2"/>
    </row>
    <row r="629">
      <c r="AY629" s="2"/>
    </row>
    <row r="630">
      <c r="AY630" s="2"/>
    </row>
    <row r="631">
      <c r="AY631" s="2"/>
    </row>
    <row r="632">
      <c r="AY632" s="2"/>
    </row>
    <row r="633">
      <c r="I633" s="1"/>
      <c r="P633" s="356"/>
      <c r="AY633" s="2"/>
    </row>
    <row r="634">
      <c r="AY634" s="2"/>
    </row>
    <row r="635">
      <c r="AY635" s="2"/>
    </row>
    <row r="636">
      <c r="L636" s="1"/>
      <c r="AY636" s="2"/>
    </row>
    <row r="637">
      <c r="P637" s="47"/>
      <c r="AY637" s="2"/>
    </row>
    <row r="638">
      <c r="M638" s="47"/>
      <c r="AY638" s="2"/>
    </row>
    <row r="639">
      <c r="AY639" s="2"/>
    </row>
    <row r="640">
      <c r="AY640" s="2"/>
    </row>
    <row r="641">
      <c r="AY641" s="2"/>
    </row>
    <row r="642">
      <c r="AY642" s="2"/>
    </row>
    <row r="643">
      <c r="AY643" s="2"/>
    </row>
    <row r="644">
      <c r="AY644" s="2"/>
    </row>
    <row r="645">
      <c r="AY645" s="2"/>
    </row>
    <row r="646">
      <c r="AY646" s="2"/>
    </row>
    <row r="647">
      <c r="AY647" s="2"/>
    </row>
    <row r="648">
      <c r="AY648" s="2"/>
    </row>
    <row r="649">
      <c r="I649" s="1"/>
      <c r="AY649" s="2"/>
    </row>
    <row r="650">
      <c r="AY650" s="2"/>
    </row>
    <row r="651">
      <c r="AY651" s="2"/>
    </row>
    <row r="652">
      <c r="AY652" s="2"/>
    </row>
    <row r="653">
      <c r="AY653" s="2"/>
    </row>
    <row r="654">
      <c r="AY654" s="2"/>
    </row>
    <row r="655">
      <c r="AY655" s="2"/>
    </row>
    <row r="656">
      <c r="AY656" s="2"/>
    </row>
    <row r="657">
      <c r="K657" s="47"/>
      <c r="AY657" s="2"/>
    </row>
    <row r="658">
      <c r="AY658" s="2"/>
    </row>
    <row r="659">
      <c r="AY659" s="2"/>
    </row>
    <row r="660">
      <c r="AY660" s="2"/>
    </row>
    <row r="661">
      <c r="D661" s="47"/>
      <c r="AY661" s="2"/>
    </row>
    <row r="662">
      <c r="AY662" s="2"/>
    </row>
    <row r="663">
      <c r="AY663" s="2"/>
    </row>
    <row r="664">
      <c r="AY664" s="2"/>
    </row>
    <row r="665">
      <c r="AY665" s="2"/>
    </row>
    <row r="666">
      <c r="AY666" s="2"/>
    </row>
    <row r="667">
      <c r="AY667" s="2"/>
    </row>
    <row r="668">
      <c r="AY668" s="2"/>
    </row>
    <row r="669">
      <c r="AY669" s="2"/>
    </row>
    <row r="670">
      <c r="AY670" s="2"/>
    </row>
    <row r="671"/>
    <row r="672">
      <c r="AY672" s="2"/>
    </row>
    <row r="673">
      <c r="AY673" s="2"/>
    </row>
    <row r="674">
      <c r="AY674" s="2"/>
    </row>
    <row r="675">
      <c r="B675" s="357"/>
      <c r="AY675" s="2"/>
    </row>
    <row r="676">
      <c r="AY676" s="2"/>
    </row>
    <row r="677">
      <c r="AY677" s="2"/>
    </row>
    <row r="678">
      <c r="AY678" s="2"/>
    </row>
    <row r="679">
      <c r="AY679" s="2"/>
    </row>
    <row r="680">
      <c r="C680" s="356"/>
      <c r="AY680" s="2"/>
    </row>
    <row r="681">
      <c r="AY681" s="2"/>
    </row>
    <row r="682">
      <c r="AY682" s="2"/>
    </row>
    <row r="683">
      <c r="AY683" s="2"/>
    </row>
    <row r="684">
      <c r="C684" s="47"/>
      <c r="AY684" s="2"/>
    </row>
    <row r="685">
      <c r="AY685" s="2"/>
    </row>
    <row r="686">
      <c r="AY686" s="2"/>
    </row>
    <row r="687">
      <c r="AY687" s="2"/>
    </row>
    <row r="688">
      <c r="AY688" s="2"/>
    </row>
    <row r="689">
      <c r="AY689" s="2"/>
    </row>
    <row r="690">
      <c r="AY690" s="2"/>
    </row>
    <row r="691">
      <c r="AY691" s="2"/>
    </row>
    <row r="692">
      <c r="AY692" s="2"/>
    </row>
    <row r="693">
      <c r="AY693" s="2"/>
    </row>
    <row r="694">
      <c r="AY694" s="2"/>
    </row>
    <row r="695">
      <c r="AY695" s="2"/>
    </row>
    <row r="696">
      <c r="AY696" s="2"/>
    </row>
    <row r="697">
      <c r="AY697" s="2"/>
    </row>
    <row r="698">
      <c r="AY698" s="2"/>
    </row>
    <row r="699">
      <c r="AY699" s="2"/>
    </row>
    <row r="700">
      <c r="AY700" s="2"/>
    </row>
    <row r="701">
      <c r="AY701" s="2"/>
    </row>
    <row r="702">
      <c r="AY702" s="2"/>
    </row>
    <row r="703">
      <c r="AY703" s="2"/>
    </row>
    <row r="704">
      <c r="AY704" s="2"/>
    </row>
    <row r="705">
      <c r="C705" s="47"/>
      <c r="AY705" s="2"/>
    </row>
    <row r="706">
      <c r="AY706" s="2"/>
    </row>
    <row r="707">
      <c r="AY707" s="2"/>
    </row>
    <row r="708">
      <c r="AY708" s="2"/>
    </row>
    <row r="709">
      <c r="AY709" s="2"/>
    </row>
    <row r="710">
      <c r="AY710" s="2"/>
    </row>
    <row r="711">
      <c r="AY711" s="2"/>
    </row>
    <row r="712">
      <c r="AY712" s="2"/>
    </row>
    <row r="713">
      <c r="AY713" s="2"/>
    </row>
    <row r="714">
      <c r="AY714" s="2"/>
    </row>
    <row r="715">
      <c r="AY715" s="2"/>
    </row>
    <row r="716">
      <c r="AY716" s="2"/>
    </row>
    <row r="717">
      <c r="AY717" s="2"/>
    </row>
    <row r="718">
      <c r="AY718" s="2"/>
    </row>
    <row r="719">
      <c r="AY719" s="2"/>
    </row>
    <row r="720">
      <c r="AY720" s="2"/>
    </row>
    <row r="721">
      <c r="AY721" s="2"/>
    </row>
    <row r="722">
      <c r="AY722" s="2"/>
    </row>
    <row r="723">
      <c r="AY723" s="2"/>
    </row>
    <row r="724">
      <c r="AY724" s="2"/>
    </row>
    <row r="725">
      <c r="AY725" s="2"/>
    </row>
    <row r="726">
      <c r="AY726" s="2"/>
    </row>
    <row r="727">
      <c r="AY727" s="2"/>
    </row>
    <row r="728">
      <c r="AY728" s="2"/>
    </row>
    <row r="729">
      <c r="AY729" s="2"/>
    </row>
    <row r="730">
      <c r="AY730" s="2"/>
    </row>
    <row r="731">
      <c r="AY731" s="2"/>
    </row>
    <row r="732">
      <c r="AY732" s="2"/>
    </row>
    <row r="733">
      <c r="AY733" s="2"/>
    </row>
    <row r="734">
      <c r="AY734" s="2"/>
    </row>
    <row r="735">
      <c r="AY735" s="2"/>
    </row>
    <row r="736">
      <c r="AY736" s="2"/>
    </row>
    <row r="737">
      <c r="AY737" s="2"/>
    </row>
    <row r="738">
      <c r="AY738" s="2"/>
    </row>
    <row r="739">
      <c r="AY739" s="2"/>
    </row>
    <row r="740">
      <c r="AY740" s="2"/>
    </row>
    <row r="741">
      <c r="AY741" s="2"/>
    </row>
    <row r="742">
      <c r="AY742" s="2"/>
    </row>
    <row r="743">
      <c r="AY743" s="2"/>
    </row>
    <row r="744">
      <c r="AY744" s="2"/>
    </row>
    <row r="745">
      <c r="AY745" s="2"/>
    </row>
    <row r="746">
      <c r="AY746" s="2"/>
    </row>
    <row r="747">
      <c r="AY747" s="2"/>
    </row>
    <row r="748">
      <c r="AY748" s="2"/>
    </row>
    <row r="749"/>
    <row r="750">
      <c r="AY750" s="2"/>
    </row>
    <row r="751">
      <c r="AY751" s="2"/>
    </row>
    <row r="752">
      <c r="AY752" s="2"/>
    </row>
    <row r="753">
      <c r="AY753" s="2"/>
    </row>
    <row r="754">
      <c r="AY754" s="2"/>
    </row>
    <row r="755">
      <c r="AY755" s="2"/>
    </row>
    <row r="756">
      <c r="AY756" s="2"/>
    </row>
    <row r="757">
      <c r="AY757" s="2"/>
    </row>
    <row r="758"/>
    <row r="759">
      <c r="AY759" s="2"/>
    </row>
    <row r="760"/>
    <row r="761"/>
    <row r="762"/>
    <row r="763">
      <c r="AY763" s="2"/>
    </row>
    <row r="764"/>
    <row r="765"/>
    <row r="766">
      <c r="AY766" s="2"/>
    </row>
    <row r="767">
      <c r="AY767" s="2"/>
    </row>
    <row r="768">
      <c r="AY768" s="2"/>
    </row>
    <row r="769"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Y769" s="2"/>
    </row>
    <row r="770">
      <c r="AY770" s="2"/>
    </row>
    <row r="771">
      <c r="AY771" s="2"/>
    </row>
    <row r="772">
      <c r="AY772" s="2"/>
    </row>
    <row r="773"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Y773" s="2"/>
    </row>
    <row r="774">
      <c r="A774" s="358"/>
      <c r="AY774" s="2"/>
    </row>
    <row r="775">
      <c r="AY775" s="2"/>
    </row>
    <row r="776">
      <c r="AY776" s="2"/>
    </row>
    <row r="777">
      <c r="A777" s="359"/>
      <c r="B777" s="360"/>
      <c r="C777" s="360"/>
      <c r="D777" s="360"/>
      <c r="E777" s="360"/>
      <c r="F777" s="360"/>
      <c r="G777" s="360"/>
      <c r="H777" s="360"/>
      <c r="I777" s="360"/>
      <c r="J777" s="360"/>
      <c r="K777" s="360"/>
      <c r="L777" s="360"/>
      <c r="M777" s="360"/>
      <c r="N777" s="360"/>
      <c r="O777" s="360"/>
      <c r="P777" s="360"/>
      <c r="Q777" s="360"/>
      <c r="R777" s="360"/>
      <c r="S777" s="360"/>
      <c r="T777" s="360"/>
      <c r="U777" s="360"/>
      <c r="V777" s="360"/>
      <c r="W777" s="360"/>
      <c r="X777" s="360"/>
      <c r="Y777" s="360"/>
      <c r="Z777" s="360"/>
      <c r="AA777" s="360"/>
      <c r="AB777" s="360"/>
      <c r="AY777" s="2"/>
    </row>
    <row r="778">
      <c r="AY778" s="2"/>
    </row>
    <row r="779">
      <c r="AY779" s="2"/>
    </row>
    <row r="780">
      <c r="A780" s="358"/>
      <c r="AY780" s="2"/>
    </row>
    <row r="781">
      <c r="AY781" s="2"/>
    </row>
    <row r="782">
      <c r="AY782" s="2"/>
    </row>
    <row r="783">
      <c r="AY783" s="2"/>
    </row>
    <row r="784">
      <c r="AY784" s="2"/>
    </row>
    <row r="785">
      <c r="AY785" s="2"/>
    </row>
    <row r="786">
      <c r="AY786" s="2"/>
    </row>
    <row r="787">
      <c r="AY787" s="2"/>
    </row>
    <row r="788">
      <c r="AY788" s="2"/>
    </row>
    <row r="789">
      <c r="AY789" s="2"/>
    </row>
    <row r="790">
      <c r="AY790" s="2"/>
    </row>
    <row r="791">
      <c r="AY791" s="2"/>
    </row>
    <row r="792">
      <c r="AY792" s="2"/>
    </row>
    <row r="793">
      <c r="AY793" s="2"/>
    </row>
    <row r="794">
      <c r="AY794" s="2"/>
    </row>
    <row r="795">
      <c r="AY795" s="2"/>
    </row>
    <row r="796">
      <c r="AY796" s="2"/>
    </row>
    <row r="797">
      <c r="AY797" s="2"/>
    </row>
    <row r="798">
      <c r="AY798" s="2"/>
    </row>
    <row r="799">
      <c r="AY799" s="2"/>
    </row>
    <row r="800">
      <c r="AY800" s="2"/>
    </row>
    <row r="801">
      <c r="AY801" s="2"/>
    </row>
    <row r="802">
      <c r="AY802" s="2"/>
    </row>
    <row r="803">
      <c r="AY803" s="2"/>
    </row>
    <row r="804">
      <c r="AY804" s="2"/>
    </row>
    <row r="805">
      <c r="AY805" s="2"/>
    </row>
    <row r="806">
      <c r="AY806" s="2"/>
    </row>
    <row r="807">
      <c r="AY807" s="2"/>
    </row>
    <row r="808">
      <c r="AY808" s="2"/>
    </row>
    <row r="809">
      <c r="AY809" s="2"/>
    </row>
    <row r="810">
      <c r="AY810" s="2"/>
    </row>
    <row r="811">
      <c r="AY811" s="2"/>
    </row>
    <row r="812">
      <c r="AY812" s="2"/>
    </row>
    <row r="813">
      <c r="AY813" s="2"/>
    </row>
    <row r="814">
      <c r="AY814" s="2"/>
    </row>
    <row r="815">
      <c r="AY815" s="2"/>
    </row>
    <row r="816">
      <c r="AY816" s="2"/>
    </row>
    <row r="817">
      <c r="AY817" s="2"/>
    </row>
    <row r="818">
      <c r="AY818" s="2"/>
    </row>
    <row r="819">
      <c r="AY819" s="2"/>
    </row>
    <row r="820">
      <c r="AY820" s="2"/>
    </row>
    <row r="821">
      <c r="AY821" s="2"/>
    </row>
    <row r="822">
      <c r="AY822" s="2"/>
    </row>
    <row r="823">
      <c r="AY823" s="2"/>
    </row>
    <row r="824">
      <c r="AY824" s="2"/>
    </row>
    <row r="825">
      <c r="AY825" s="2"/>
    </row>
  </sheetData>
  <mergeCells count="61">
    <mergeCell ref="C39:G39"/>
    <mergeCell ref="J39:N39"/>
    <mergeCell ref="R39:AE39"/>
    <mergeCell ref="AI39:AV39"/>
    <mergeCell ref="C47:G47"/>
    <mergeCell ref="J47:N47"/>
    <mergeCell ref="R47:AE47"/>
    <mergeCell ref="AI47:AV47"/>
    <mergeCell ref="C61:G61"/>
    <mergeCell ref="C68:G68"/>
    <mergeCell ref="Q68:Q69"/>
    <mergeCell ref="R68:AE68"/>
    <mergeCell ref="C75:G75"/>
    <mergeCell ref="Q75:Q76"/>
    <mergeCell ref="R75:AE75"/>
    <mergeCell ref="J365:P386"/>
    <mergeCell ref="Q39:Q40"/>
    <mergeCell ref="Q47:Q48"/>
    <mergeCell ref="C54:G54"/>
    <mergeCell ref="J54:N54"/>
    <mergeCell ref="R54:AE54"/>
    <mergeCell ref="J61:N61"/>
    <mergeCell ref="AI61:AV61"/>
    <mergeCell ref="AY3:BD3"/>
    <mergeCell ref="BF3:BK3"/>
    <mergeCell ref="BM3:BR3"/>
    <mergeCell ref="BT3:BY3"/>
    <mergeCell ref="CA3:CF3"/>
    <mergeCell ref="CH3:CM3"/>
    <mergeCell ref="CO3:CT3"/>
    <mergeCell ref="CV3:DA3"/>
    <mergeCell ref="B3:G3"/>
    <mergeCell ref="I3:N3"/>
    <mergeCell ref="P3:U3"/>
    <mergeCell ref="W3:AB3"/>
    <mergeCell ref="AD3:AI3"/>
    <mergeCell ref="AK3:AP3"/>
    <mergeCell ref="AR3:AW3"/>
    <mergeCell ref="AY19:BD19"/>
    <mergeCell ref="BF19:BK19"/>
    <mergeCell ref="BM19:BR19"/>
    <mergeCell ref="BT19:BY19"/>
    <mergeCell ref="CA19:CF19"/>
    <mergeCell ref="CH19:CM19"/>
    <mergeCell ref="CO19:CT19"/>
    <mergeCell ref="CV19:DA19"/>
    <mergeCell ref="B19:G19"/>
    <mergeCell ref="I19:N19"/>
    <mergeCell ref="P19:U19"/>
    <mergeCell ref="W19:AB19"/>
    <mergeCell ref="AD19:AI19"/>
    <mergeCell ref="AK19:AP19"/>
    <mergeCell ref="AR19:AW19"/>
    <mergeCell ref="AH39:AH40"/>
    <mergeCell ref="AH47:AH48"/>
    <mergeCell ref="AH54:AH55"/>
    <mergeCell ref="AI54:AV54"/>
    <mergeCell ref="Q54:Q55"/>
    <mergeCell ref="Q61:Q62"/>
    <mergeCell ref="R61:AE61"/>
    <mergeCell ref="AH61:AH62"/>
  </mergeCells>
  <hyperlinks>
    <hyperlink r:id="rId1" ref="B87"/>
    <hyperlink r:id="rId2" ref="Z87"/>
    <hyperlink r:id="rId3" ref="B131"/>
    <hyperlink r:id="rId4" ref="B140"/>
    <hyperlink r:id="rId5" ref="AX140"/>
    <hyperlink r:id="rId6" ref="B225"/>
    <hyperlink r:id="rId7" ref="Z225"/>
    <hyperlink r:id="rId8" ref="B270"/>
    <hyperlink r:id="rId9" ref="B285"/>
    <hyperlink r:id="rId10" ref="AX286"/>
    <hyperlink r:id="rId11" ref="B332"/>
    <hyperlink r:id="rId12" ref="B402"/>
    <hyperlink r:id="rId13" ref="Z402"/>
    <hyperlink r:id="rId14" ref="B444"/>
    <hyperlink r:id="rId15" ref="B453"/>
    <hyperlink r:id="rId16" ref="AX453"/>
  </hyperlinks>
  <drawing r:id="rId17"/>
</worksheet>
</file>